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FTE พี่ยะ\"/>
    </mc:Choice>
  </mc:AlternateContent>
  <xr:revisionPtr revIDLastSave="0" documentId="13_ncr:1_{F22A5EAD-2116-4B7E-91BE-F4221C6C0B4E}" xr6:coauthVersionLast="47" xr6:coauthVersionMax="47" xr10:uidLastSave="{00000000-0000-0000-0000-000000000000}"/>
  <bookViews>
    <workbookView xWindow="6000" yWindow="876" windowWidth="17280" windowHeight="8880" tabRatio="819" activeTab="4" xr2:uid="{00000000-000D-0000-FFFF-FFFF00000000}"/>
  </bookViews>
  <sheets>
    <sheet name="คู่มือการใช้งาน" sheetId="28" r:id="rId1"/>
    <sheet name="ต้นฉบับ" sheetId="12" r:id="rId2"/>
    <sheet name="ต.ค" sheetId="13" r:id="rId3"/>
    <sheet name="พย" sheetId="14" r:id="rId4"/>
    <sheet name="ธค" sheetId="15" r:id="rId5"/>
    <sheet name="มค" sheetId="16" r:id="rId6"/>
    <sheet name="กพ" sheetId="17" r:id="rId7"/>
    <sheet name="มีค" sheetId="18" r:id="rId8"/>
    <sheet name="ต.ค-มี.ค" sheetId="25" r:id="rId9"/>
    <sheet name="เมย" sheetId="19" r:id="rId10"/>
    <sheet name="พค" sheetId="20" r:id="rId11"/>
    <sheet name="มิย" sheetId="21" r:id="rId12"/>
    <sheet name="กค" sheetId="22" r:id="rId13"/>
    <sheet name="สค" sheetId="23" r:id="rId14"/>
    <sheet name="กย" sheetId="24" r:id="rId15"/>
    <sheet name="เม.ย-ก.ย" sheetId="26" r:id="rId16"/>
    <sheet name="ต.ค-ก.ย" sheetId="27" r:id="rId17"/>
    <sheet name="อัตราครองเตียง" sheetId="2" r:id="rId18"/>
    <sheet name="Sheet3" sheetId="3" r:id="rId19"/>
    <sheet name="Sheet3 (2)" sheetId="29" r:id="rId20"/>
  </sheets>
  <definedNames>
    <definedName name="_xlnm._FilterDatabase" localSheetId="17" hidden="1">อัตราครองเตียง!$A$2:$H$94</definedName>
  </definedNames>
  <calcPr calcId="191029"/>
</workbook>
</file>

<file path=xl/calcChain.xml><?xml version="1.0" encoding="utf-8"?>
<calcChain xmlns="http://schemas.openxmlformats.org/spreadsheetml/2006/main">
  <c r="T70" i="14" l="1"/>
  <c r="U42" i="14" l="1"/>
  <c r="U41" i="14"/>
  <c r="N42" i="14"/>
  <c r="N41" i="14"/>
  <c r="N11" i="13" l="1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81" i="13"/>
  <c r="N82" i="13"/>
  <c r="N83" i="13"/>
  <c r="N84" i="13"/>
  <c r="N85" i="13"/>
  <c r="N86" i="13"/>
  <c r="N87" i="13"/>
  <c r="N88" i="13"/>
  <c r="N89" i="13"/>
  <c r="N90" i="13"/>
  <c r="N91" i="13"/>
  <c r="N92" i="13"/>
  <c r="N93" i="13"/>
  <c r="N94" i="13"/>
  <c r="N95" i="13"/>
  <c r="N96" i="13"/>
  <c r="N97" i="13"/>
  <c r="N98" i="13"/>
  <c r="N99" i="13"/>
  <c r="N100" i="13"/>
  <c r="N101" i="13"/>
  <c r="N102" i="13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N61" i="14"/>
  <c r="N62" i="14"/>
  <c r="N63" i="14"/>
  <c r="N64" i="14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80" i="14"/>
  <c r="N81" i="14"/>
  <c r="N82" i="14"/>
  <c r="N83" i="14"/>
  <c r="N84" i="14"/>
  <c r="N85" i="14"/>
  <c r="N86" i="14"/>
  <c r="N87" i="14"/>
  <c r="N88" i="14"/>
  <c r="N89" i="14"/>
  <c r="N90" i="14"/>
  <c r="N91" i="14"/>
  <c r="N92" i="14"/>
  <c r="N93" i="14"/>
  <c r="N94" i="14"/>
  <c r="N95" i="14"/>
  <c r="N96" i="14"/>
  <c r="N97" i="14"/>
  <c r="N98" i="14"/>
  <c r="N99" i="14"/>
  <c r="N100" i="14"/>
  <c r="N101" i="14"/>
  <c r="N102" i="14"/>
  <c r="N11" i="15"/>
  <c r="N12" i="15"/>
  <c r="N13" i="15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N33" i="15"/>
  <c r="N34" i="15"/>
  <c r="N35" i="15"/>
  <c r="N36" i="15"/>
  <c r="N37" i="15"/>
  <c r="N38" i="15"/>
  <c r="N39" i="15"/>
  <c r="N40" i="15"/>
  <c r="N41" i="15"/>
  <c r="N42" i="15"/>
  <c r="N43" i="15"/>
  <c r="N44" i="15"/>
  <c r="N45" i="15"/>
  <c r="N46" i="15"/>
  <c r="N47" i="15"/>
  <c r="N48" i="15"/>
  <c r="N49" i="15"/>
  <c r="N50" i="15"/>
  <c r="N51" i="15"/>
  <c r="N52" i="15"/>
  <c r="N53" i="15"/>
  <c r="N54" i="15"/>
  <c r="N55" i="15"/>
  <c r="N56" i="15"/>
  <c r="N57" i="15"/>
  <c r="N58" i="15"/>
  <c r="N59" i="15"/>
  <c r="N60" i="15"/>
  <c r="N61" i="15"/>
  <c r="N62" i="15"/>
  <c r="N63" i="15"/>
  <c r="N64" i="15"/>
  <c r="N65" i="15"/>
  <c r="N66" i="15"/>
  <c r="N67" i="15"/>
  <c r="N68" i="15"/>
  <c r="N69" i="15"/>
  <c r="N70" i="15"/>
  <c r="N71" i="15"/>
  <c r="N72" i="15"/>
  <c r="N73" i="15"/>
  <c r="N74" i="15"/>
  <c r="N75" i="15"/>
  <c r="N76" i="15"/>
  <c r="N77" i="15"/>
  <c r="N78" i="15"/>
  <c r="N79" i="15"/>
  <c r="N80" i="15"/>
  <c r="N81" i="15"/>
  <c r="N82" i="15"/>
  <c r="N83" i="15"/>
  <c r="N84" i="15"/>
  <c r="N85" i="15"/>
  <c r="N86" i="15"/>
  <c r="N87" i="15"/>
  <c r="N88" i="15"/>
  <c r="N89" i="15"/>
  <c r="N90" i="15"/>
  <c r="N91" i="15"/>
  <c r="N92" i="15"/>
  <c r="N93" i="15"/>
  <c r="N94" i="15"/>
  <c r="N95" i="15"/>
  <c r="N96" i="15"/>
  <c r="N97" i="15"/>
  <c r="N98" i="15"/>
  <c r="N99" i="15"/>
  <c r="N100" i="15"/>
  <c r="N101" i="15"/>
  <c r="N102" i="15"/>
  <c r="N11" i="16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36" i="16"/>
  <c r="N37" i="16"/>
  <c r="N38" i="16"/>
  <c r="N39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N52" i="16"/>
  <c r="N53" i="16"/>
  <c r="N54" i="16"/>
  <c r="N55" i="16"/>
  <c r="N56" i="16"/>
  <c r="N57" i="16"/>
  <c r="N58" i="16"/>
  <c r="N59" i="16"/>
  <c r="N60" i="16"/>
  <c r="N61" i="16"/>
  <c r="N62" i="16"/>
  <c r="N63" i="16"/>
  <c r="N64" i="16"/>
  <c r="N65" i="16"/>
  <c r="N66" i="16"/>
  <c r="N67" i="16"/>
  <c r="N68" i="16"/>
  <c r="N69" i="16"/>
  <c r="N70" i="16"/>
  <c r="N71" i="16"/>
  <c r="N72" i="16"/>
  <c r="N73" i="16"/>
  <c r="N74" i="16"/>
  <c r="N75" i="16"/>
  <c r="N76" i="16"/>
  <c r="N77" i="16"/>
  <c r="N78" i="16"/>
  <c r="N79" i="16"/>
  <c r="N80" i="16"/>
  <c r="N81" i="16"/>
  <c r="N82" i="16"/>
  <c r="N83" i="16"/>
  <c r="N84" i="16"/>
  <c r="N85" i="16"/>
  <c r="N86" i="16"/>
  <c r="N87" i="16"/>
  <c r="N88" i="16"/>
  <c r="N89" i="16"/>
  <c r="N90" i="16"/>
  <c r="N91" i="16"/>
  <c r="N92" i="16"/>
  <c r="N93" i="16"/>
  <c r="N94" i="16"/>
  <c r="N95" i="16"/>
  <c r="N96" i="16"/>
  <c r="N97" i="16"/>
  <c r="N98" i="16"/>
  <c r="N99" i="16"/>
  <c r="N100" i="16"/>
  <c r="N101" i="16"/>
  <c r="N102" i="16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44" i="17"/>
  <c r="N45" i="17"/>
  <c r="N46" i="17"/>
  <c r="N47" i="17"/>
  <c r="N48" i="17"/>
  <c r="N49" i="17"/>
  <c r="N50" i="17"/>
  <c r="N51" i="17"/>
  <c r="N52" i="17"/>
  <c r="N53" i="17"/>
  <c r="N54" i="17"/>
  <c r="N55" i="17"/>
  <c r="N56" i="17"/>
  <c r="N57" i="17"/>
  <c r="N58" i="17"/>
  <c r="N59" i="17"/>
  <c r="N60" i="17"/>
  <c r="N61" i="17"/>
  <c r="N62" i="17"/>
  <c r="N63" i="17"/>
  <c r="N64" i="17"/>
  <c r="N65" i="17"/>
  <c r="N66" i="17"/>
  <c r="N67" i="17"/>
  <c r="N68" i="17"/>
  <c r="N69" i="17"/>
  <c r="N70" i="17"/>
  <c r="N71" i="17"/>
  <c r="N72" i="17"/>
  <c r="N73" i="17"/>
  <c r="N74" i="17"/>
  <c r="N75" i="17"/>
  <c r="N76" i="17"/>
  <c r="N77" i="17"/>
  <c r="N78" i="17"/>
  <c r="N79" i="17"/>
  <c r="N80" i="17"/>
  <c r="N81" i="17"/>
  <c r="N82" i="17"/>
  <c r="N83" i="17"/>
  <c r="N84" i="17"/>
  <c r="N85" i="17"/>
  <c r="N86" i="17"/>
  <c r="N87" i="17"/>
  <c r="N88" i="17"/>
  <c r="N89" i="17"/>
  <c r="N90" i="17"/>
  <c r="N91" i="17"/>
  <c r="N92" i="17"/>
  <c r="N93" i="17"/>
  <c r="N94" i="17"/>
  <c r="N95" i="17"/>
  <c r="N96" i="17"/>
  <c r="N97" i="17"/>
  <c r="N98" i="17"/>
  <c r="N99" i="17"/>
  <c r="N100" i="17"/>
  <c r="N101" i="17"/>
  <c r="N102" i="17"/>
  <c r="N11" i="18"/>
  <c r="N12" i="18"/>
  <c r="N13" i="18"/>
  <c r="N14" i="18"/>
  <c r="N15" i="18"/>
  <c r="N16" i="18"/>
  <c r="N17" i="18"/>
  <c r="N18" i="18"/>
  <c r="N19" i="18"/>
  <c r="N20" i="18"/>
  <c r="N21" i="18"/>
  <c r="N22" i="18"/>
  <c r="N23" i="18"/>
  <c r="N24" i="18"/>
  <c r="N25" i="18"/>
  <c r="N26" i="18"/>
  <c r="N27" i="18"/>
  <c r="N28" i="18"/>
  <c r="N29" i="18"/>
  <c r="N30" i="18"/>
  <c r="N31" i="18"/>
  <c r="N32" i="18"/>
  <c r="N33" i="18"/>
  <c r="N34" i="18"/>
  <c r="N35" i="18"/>
  <c r="N36" i="18"/>
  <c r="N37" i="18"/>
  <c r="N38" i="18"/>
  <c r="N39" i="18"/>
  <c r="N40" i="18"/>
  <c r="N41" i="18"/>
  <c r="N42" i="18"/>
  <c r="N43" i="18"/>
  <c r="N44" i="18"/>
  <c r="N45" i="18"/>
  <c r="N46" i="18"/>
  <c r="N47" i="18"/>
  <c r="N48" i="18"/>
  <c r="N49" i="18"/>
  <c r="N50" i="18"/>
  <c r="N51" i="18"/>
  <c r="N52" i="18"/>
  <c r="N53" i="18"/>
  <c r="N54" i="18"/>
  <c r="N55" i="18"/>
  <c r="N56" i="18"/>
  <c r="N57" i="18"/>
  <c r="N58" i="18"/>
  <c r="N59" i="18"/>
  <c r="N60" i="18"/>
  <c r="N61" i="18"/>
  <c r="N62" i="18"/>
  <c r="N63" i="18"/>
  <c r="N64" i="18"/>
  <c r="N65" i="18"/>
  <c r="N66" i="18"/>
  <c r="N67" i="18"/>
  <c r="N68" i="18"/>
  <c r="N69" i="18"/>
  <c r="N70" i="18"/>
  <c r="N71" i="18"/>
  <c r="N72" i="18"/>
  <c r="N73" i="18"/>
  <c r="N74" i="18"/>
  <c r="N75" i="18"/>
  <c r="N76" i="18"/>
  <c r="N77" i="18"/>
  <c r="N78" i="18"/>
  <c r="N79" i="18"/>
  <c r="N80" i="18"/>
  <c r="N81" i="18"/>
  <c r="N82" i="18"/>
  <c r="N83" i="18"/>
  <c r="N84" i="18"/>
  <c r="N85" i="18"/>
  <c r="N86" i="18"/>
  <c r="N87" i="18"/>
  <c r="N88" i="18"/>
  <c r="N89" i="18"/>
  <c r="N90" i="18"/>
  <c r="N91" i="18"/>
  <c r="N92" i="18"/>
  <c r="N93" i="18"/>
  <c r="N94" i="18"/>
  <c r="N95" i="18"/>
  <c r="N96" i="18"/>
  <c r="N97" i="18"/>
  <c r="N98" i="18"/>
  <c r="N99" i="18"/>
  <c r="N100" i="18"/>
  <c r="N101" i="18"/>
  <c r="N102" i="18"/>
  <c r="N11" i="19"/>
  <c r="N12" i="19"/>
  <c r="N13" i="19"/>
  <c r="N14" i="19"/>
  <c r="N15" i="19"/>
  <c r="N16" i="19"/>
  <c r="N17" i="19"/>
  <c r="N18" i="19"/>
  <c r="N19" i="19"/>
  <c r="N20" i="19"/>
  <c r="N21" i="19"/>
  <c r="N22" i="19"/>
  <c r="N23" i="19"/>
  <c r="N24" i="19"/>
  <c r="N25" i="19"/>
  <c r="N26" i="19"/>
  <c r="N27" i="19"/>
  <c r="N28" i="19"/>
  <c r="N29" i="19"/>
  <c r="N30" i="19"/>
  <c r="N31" i="19"/>
  <c r="N32" i="19"/>
  <c r="N33" i="19"/>
  <c r="N34" i="19"/>
  <c r="N35" i="19"/>
  <c r="N36" i="19"/>
  <c r="N37" i="19"/>
  <c r="N38" i="19"/>
  <c r="N39" i="19"/>
  <c r="N40" i="19"/>
  <c r="N41" i="19"/>
  <c r="N42" i="19"/>
  <c r="N43" i="19"/>
  <c r="N44" i="19"/>
  <c r="N45" i="19"/>
  <c r="N46" i="19"/>
  <c r="N47" i="19"/>
  <c r="N48" i="19"/>
  <c r="N49" i="19"/>
  <c r="N50" i="19"/>
  <c r="N51" i="19"/>
  <c r="N52" i="19"/>
  <c r="N53" i="19"/>
  <c r="N54" i="19"/>
  <c r="N55" i="19"/>
  <c r="N56" i="19"/>
  <c r="N57" i="19"/>
  <c r="N58" i="19"/>
  <c r="N59" i="19"/>
  <c r="N60" i="19"/>
  <c r="N61" i="19"/>
  <c r="N62" i="19"/>
  <c r="N63" i="19"/>
  <c r="N64" i="19"/>
  <c r="N65" i="19"/>
  <c r="N66" i="19"/>
  <c r="N67" i="19"/>
  <c r="N68" i="19"/>
  <c r="N69" i="19"/>
  <c r="N70" i="19"/>
  <c r="N71" i="19"/>
  <c r="N72" i="19"/>
  <c r="N73" i="19"/>
  <c r="N74" i="19"/>
  <c r="N75" i="19"/>
  <c r="N76" i="19"/>
  <c r="N77" i="19"/>
  <c r="N78" i="19"/>
  <c r="N79" i="19"/>
  <c r="N80" i="19"/>
  <c r="N81" i="19"/>
  <c r="N82" i="19"/>
  <c r="N83" i="19"/>
  <c r="N84" i="19"/>
  <c r="N85" i="19"/>
  <c r="N86" i="19"/>
  <c r="N87" i="19"/>
  <c r="N88" i="19"/>
  <c r="N89" i="19"/>
  <c r="N90" i="19"/>
  <c r="N91" i="19"/>
  <c r="N92" i="19"/>
  <c r="N93" i="19"/>
  <c r="N94" i="19"/>
  <c r="N95" i="19"/>
  <c r="N96" i="19"/>
  <c r="N97" i="19"/>
  <c r="N98" i="19"/>
  <c r="N99" i="19"/>
  <c r="N100" i="19"/>
  <c r="N101" i="19"/>
  <c r="N102" i="19"/>
  <c r="N11" i="20"/>
  <c r="N12" i="20"/>
  <c r="N13" i="20"/>
  <c r="N14" i="20"/>
  <c r="N15" i="20"/>
  <c r="N16" i="20"/>
  <c r="N17" i="20"/>
  <c r="N18" i="20"/>
  <c r="N19" i="20"/>
  <c r="N20" i="20"/>
  <c r="N21" i="20"/>
  <c r="N22" i="20"/>
  <c r="N23" i="20"/>
  <c r="N24" i="20"/>
  <c r="N25" i="20"/>
  <c r="N26" i="20"/>
  <c r="N27" i="20"/>
  <c r="N28" i="20"/>
  <c r="N29" i="20"/>
  <c r="N30" i="20"/>
  <c r="N31" i="20"/>
  <c r="N32" i="20"/>
  <c r="N33" i="20"/>
  <c r="N34" i="20"/>
  <c r="N35" i="20"/>
  <c r="N36" i="20"/>
  <c r="N37" i="20"/>
  <c r="N38" i="20"/>
  <c r="N39" i="20"/>
  <c r="N40" i="20"/>
  <c r="N41" i="20"/>
  <c r="N42" i="20"/>
  <c r="N43" i="20"/>
  <c r="N44" i="20"/>
  <c r="N45" i="20"/>
  <c r="N46" i="20"/>
  <c r="N47" i="20"/>
  <c r="N48" i="20"/>
  <c r="N49" i="20"/>
  <c r="N50" i="20"/>
  <c r="N51" i="20"/>
  <c r="N52" i="20"/>
  <c r="N53" i="20"/>
  <c r="N54" i="20"/>
  <c r="N55" i="20"/>
  <c r="N56" i="20"/>
  <c r="N57" i="20"/>
  <c r="N58" i="20"/>
  <c r="N59" i="20"/>
  <c r="N60" i="20"/>
  <c r="N61" i="20"/>
  <c r="N62" i="20"/>
  <c r="N63" i="20"/>
  <c r="N64" i="20"/>
  <c r="N65" i="20"/>
  <c r="N66" i="20"/>
  <c r="N67" i="20"/>
  <c r="N68" i="20"/>
  <c r="N69" i="20"/>
  <c r="N70" i="20"/>
  <c r="N71" i="20"/>
  <c r="N72" i="20"/>
  <c r="N73" i="20"/>
  <c r="N74" i="20"/>
  <c r="N75" i="20"/>
  <c r="N76" i="20"/>
  <c r="N77" i="20"/>
  <c r="N78" i="20"/>
  <c r="N79" i="20"/>
  <c r="N80" i="20"/>
  <c r="N81" i="20"/>
  <c r="N82" i="20"/>
  <c r="N83" i="20"/>
  <c r="N84" i="20"/>
  <c r="N85" i="20"/>
  <c r="N86" i="20"/>
  <c r="N87" i="20"/>
  <c r="N88" i="20"/>
  <c r="N89" i="20"/>
  <c r="N90" i="20"/>
  <c r="N91" i="20"/>
  <c r="N92" i="20"/>
  <c r="N93" i="20"/>
  <c r="N94" i="20"/>
  <c r="N95" i="20"/>
  <c r="N96" i="20"/>
  <c r="N97" i="20"/>
  <c r="N98" i="20"/>
  <c r="N99" i="20"/>
  <c r="N100" i="20"/>
  <c r="N101" i="20"/>
  <c r="N102" i="20"/>
  <c r="N11" i="21"/>
  <c r="N12" i="21"/>
  <c r="N13" i="21"/>
  <c r="N14" i="21"/>
  <c r="N15" i="21"/>
  <c r="N16" i="21"/>
  <c r="N17" i="21"/>
  <c r="N18" i="21"/>
  <c r="N19" i="21"/>
  <c r="N20" i="21"/>
  <c r="N21" i="21"/>
  <c r="N22" i="21"/>
  <c r="N23" i="21"/>
  <c r="N24" i="21"/>
  <c r="N25" i="21"/>
  <c r="N26" i="21"/>
  <c r="N27" i="21"/>
  <c r="N28" i="21"/>
  <c r="N29" i="21"/>
  <c r="N30" i="21"/>
  <c r="N31" i="21"/>
  <c r="N32" i="21"/>
  <c r="N33" i="21"/>
  <c r="N34" i="21"/>
  <c r="N35" i="21"/>
  <c r="N36" i="21"/>
  <c r="N37" i="21"/>
  <c r="N38" i="21"/>
  <c r="N39" i="21"/>
  <c r="N40" i="21"/>
  <c r="N41" i="21"/>
  <c r="N42" i="21"/>
  <c r="N43" i="21"/>
  <c r="N44" i="21"/>
  <c r="N45" i="21"/>
  <c r="N46" i="21"/>
  <c r="N47" i="21"/>
  <c r="N48" i="21"/>
  <c r="N49" i="21"/>
  <c r="N50" i="21"/>
  <c r="N51" i="21"/>
  <c r="N52" i="21"/>
  <c r="N53" i="21"/>
  <c r="N54" i="21"/>
  <c r="N55" i="21"/>
  <c r="N56" i="21"/>
  <c r="N57" i="21"/>
  <c r="N58" i="21"/>
  <c r="N59" i="21"/>
  <c r="N60" i="21"/>
  <c r="N61" i="21"/>
  <c r="N62" i="21"/>
  <c r="N63" i="21"/>
  <c r="N64" i="21"/>
  <c r="N65" i="21"/>
  <c r="N66" i="21"/>
  <c r="N67" i="21"/>
  <c r="N68" i="21"/>
  <c r="N69" i="21"/>
  <c r="N70" i="21"/>
  <c r="N71" i="21"/>
  <c r="N72" i="21"/>
  <c r="N73" i="21"/>
  <c r="N74" i="21"/>
  <c r="N75" i="21"/>
  <c r="N76" i="21"/>
  <c r="N77" i="21"/>
  <c r="N78" i="21"/>
  <c r="N79" i="21"/>
  <c r="N80" i="21"/>
  <c r="N81" i="21"/>
  <c r="N82" i="21"/>
  <c r="N83" i="21"/>
  <c r="N84" i="21"/>
  <c r="N85" i="21"/>
  <c r="N86" i="21"/>
  <c r="N87" i="21"/>
  <c r="N88" i="21"/>
  <c r="N89" i="21"/>
  <c r="N90" i="21"/>
  <c r="N91" i="21"/>
  <c r="N92" i="21"/>
  <c r="N93" i="21"/>
  <c r="N94" i="21"/>
  <c r="N95" i="21"/>
  <c r="N96" i="21"/>
  <c r="N97" i="21"/>
  <c r="N98" i="21"/>
  <c r="N99" i="21"/>
  <c r="N100" i="21"/>
  <c r="N101" i="21"/>
  <c r="N102" i="21"/>
  <c r="N11" i="22"/>
  <c r="N12" i="22"/>
  <c r="N13" i="22"/>
  <c r="N14" i="22"/>
  <c r="N15" i="22"/>
  <c r="N16" i="22"/>
  <c r="N17" i="22"/>
  <c r="N18" i="22"/>
  <c r="N19" i="22"/>
  <c r="N20" i="22"/>
  <c r="N21" i="22"/>
  <c r="N22" i="22"/>
  <c r="N23" i="22"/>
  <c r="N24" i="22"/>
  <c r="N25" i="22"/>
  <c r="N26" i="22"/>
  <c r="N27" i="22"/>
  <c r="N28" i="22"/>
  <c r="N29" i="22"/>
  <c r="N30" i="22"/>
  <c r="N31" i="22"/>
  <c r="N32" i="22"/>
  <c r="N33" i="22"/>
  <c r="N34" i="22"/>
  <c r="N35" i="22"/>
  <c r="N36" i="22"/>
  <c r="N37" i="22"/>
  <c r="N38" i="22"/>
  <c r="N39" i="22"/>
  <c r="N40" i="22"/>
  <c r="N41" i="22"/>
  <c r="N42" i="22"/>
  <c r="N43" i="22"/>
  <c r="N44" i="22"/>
  <c r="N45" i="22"/>
  <c r="N46" i="22"/>
  <c r="N47" i="22"/>
  <c r="N48" i="22"/>
  <c r="N49" i="22"/>
  <c r="N50" i="22"/>
  <c r="N51" i="22"/>
  <c r="N52" i="22"/>
  <c r="N53" i="22"/>
  <c r="N54" i="22"/>
  <c r="N55" i="22"/>
  <c r="N56" i="22"/>
  <c r="N57" i="22"/>
  <c r="N58" i="22"/>
  <c r="N59" i="22"/>
  <c r="N60" i="22"/>
  <c r="N61" i="22"/>
  <c r="N62" i="22"/>
  <c r="N63" i="22"/>
  <c r="N64" i="22"/>
  <c r="N65" i="22"/>
  <c r="N66" i="22"/>
  <c r="N67" i="22"/>
  <c r="N68" i="22"/>
  <c r="N69" i="22"/>
  <c r="N70" i="22"/>
  <c r="N71" i="22"/>
  <c r="N72" i="22"/>
  <c r="N73" i="22"/>
  <c r="N74" i="22"/>
  <c r="N75" i="22"/>
  <c r="N76" i="22"/>
  <c r="N77" i="22"/>
  <c r="N78" i="22"/>
  <c r="N79" i="22"/>
  <c r="N80" i="22"/>
  <c r="N81" i="22"/>
  <c r="N82" i="22"/>
  <c r="N83" i="22"/>
  <c r="N84" i="22"/>
  <c r="N85" i="22"/>
  <c r="N86" i="22"/>
  <c r="N87" i="22"/>
  <c r="N88" i="22"/>
  <c r="N89" i="22"/>
  <c r="N90" i="22"/>
  <c r="N91" i="22"/>
  <c r="N92" i="22"/>
  <c r="N93" i="22"/>
  <c r="N94" i="22"/>
  <c r="N95" i="22"/>
  <c r="N96" i="22"/>
  <c r="N97" i="22"/>
  <c r="N98" i="22"/>
  <c r="N99" i="22"/>
  <c r="N100" i="22"/>
  <c r="N101" i="22"/>
  <c r="N102" i="22"/>
  <c r="N11" i="23"/>
  <c r="N12" i="23"/>
  <c r="N13" i="23"/>
  <c r="N14" i="23"/>
  <c r="N15" i="23"/>
  <c r="N16" i="23"/>
  <c r="N17" i="23"/>
  <c r="N18" i="23"/>
  <c r="N19" i="23"/>
  <c r="N20" i="23"/>
  <c r="N21" i="23"/>
  <c r="N22" i="23"/>
  <c r="N23" i="23"/>
  <c r="N24" i="23"/>
  <c r="N25" i="23"/>
  <c r="N26" i="23"/>
  <c r="N27" i="23"/>
  <c r="N28" i="23"/>
  <c r="N29" i="23"/>
  <c r="N30" i="23"/>
  <c r="N31" i="23"/>
  <c r="N32" i="23"/>
  <c r="N33" i="23"/>
  <c r="N34" i="23"/>
  <c r="N35" i="23"/>
  <c r="N36" i="23"/>
  <c r="N37" i="23"/>
  <c r="N38" i="23"/>
  <c r="N39" i="23"/>
  <c r="N40" i="23"/>
  <c r="N41" i="23"/>
  <c r="N42" i="23"/>
  <c r="N43" i="23"/>
  <c r="N44" i="23"/>
  <c r="N45" i="23"/>
  <c r="N46" i="23"/>
  <c r="N47" i="23"/>
  <c r="N48" i="23"/>
  <c r="N49" i="23"/>
  <c r="N50" i="23"/>
  <c r="N51" i="23"/>
  <c r="N52" i="23"/>
  <c r="N53" i="23"/>
  <c r="N54" i="23"/>
  <c r="N55" i="23"/>
  <c r="N56" i="23"/>
  <c r="N57" i="23"/>
  <c r="N58" i="23"/>
  <c r="N59" i="23"/>
  <c r="N60" i="23"/>
  <c r="N61" i="23"/>
  <c r="N62" i="23"/>
  <c r="N63" i="23"/>
  <c r="N64" i="23"/>
  <c r="N65" i="23"/>
  <c r="N66" i="23"/>
  <c r="N67" i="23"/>
  <c r="N68" i="23"/>
  <c r="N69" i="23"/>
  <c r="N70" i="23"/>
  <c r="N71" i="23"/>
  <c r="N72" i="23"/>
  <c r="N73" i="23"/>
  <c r="N74" i="23"/>
  <c r="N75" i="23"/>
  <c r="N76" i="23"/>
  <c r="N77" i="23"/>
  <c r="N78" i="23"/>
  <c r="N79" i="23"/>
  <c r="N80" i="23"/>
  <c r="N81" i="23"/>
  <c r="N82" i="23"/>
  <c r="N83" i="23"/>
  <c r="N84" i="23"/>
  <c r="N85" i="23"/>
  <c r="N86" i="23"/>
  <c r="N87" i="23"/>
  <c r="N88" i="23"/>
  <c r="N89" i="23"/>
  <c r="N90" i="23"/>
  <c r="N91" i="23"/>
  <c r="N92" i="23"/>
  <c r="N93" i="23"/>
  <c r="N94" i="23"/>
  <c r="N95" i="23"/>
  <c r="N96" i="23"/>
  <c r="N97" i="23"/>
  <c r="N98" i="23"/>
  <c r="N99" i="23"/>
  <c r="N100" i="23"/>
  <c r="N101" i="23"/>
  <c r="N102" i="23"/>
  <c r="N11" i="24"/>
  <c r="N12" i="24"/>
  <c r="N13" i="24"/>
  <c r="N14" i="24"/>
  <c r="N15" i="24"/>
  <c r="N16" i="24"/>
  <c r="N17" i="24"/>
  <c r="N18" i="24"/>
  <c r="N19" i="24"/>
  <c r="N20" i="24"/>
  <c r="N21" i="24"/>
  <c r="N22" i="24"/>
  <c r="N23" i="24"/>
  <c r="N24" i="24"/>
  <c r="N25" i="24"/>
  <c r="N26" i="24"/>
  <c r="N27" i="24"/>
  <c r="N28" i="24"/>
  <c r="N29" i="24"/>
  <c r="N30" i="24"/>
  <c r="N31" i="24"/>
  <c r="N32" i="24"/>
  <c r="N33" i="24"/>
  <c r="N34" i="24"/>
  <c r="N35" i="24"/>
  <c r="N36" i="24"/>
  <c r="N37" i="24"/>
  <c r="N38" i="24"/>
  <c r="N39" i="24"/>
  <c r="N40" i="24"/>
  <c r="N41" i="24"/>
  <c r="N42" i="24"/>
  <c r="N43" i="24"/>
  <c r="N44" i="24"/>
  <c r="N45" i="24"/>
  <c r="N46" i="24"/>
  <c r="N47" i="24"/>
  <c r="N48" i="24"/>
  <c r="N49" i="24"/>
  <c r="N50" i="24"/>
  <c r="N51" i="24"/>
  <c r="N52" i="24"/>
  <c r="N53" i="24"/>
  <c r="N54" i="24"/>
  <c r="N55" i="24"/>
  <c r="N56" i="24"/>
  <c r="N57" i="24"/>
  <c r="N58" i="24"/>
  <c r="N59" i="24"/>
  <c r="N60" i="24"/>
  <c r="N61" i="24"/>
  <c r="N62" i="24"/>
  <c r="N63" i="24"/>
  <c r="N64" i="24"/>
  <c r="N65" i="24"/>
  <c r="N66" i="24"/>
  <c r="N67" i="24"/>
  <c r="N68" i="24"/>
  <c r="N69" i="24"/>
  <c r="N70" i="24"/>
  <c r="N71" i="24"/>
  <c r="N72" i="24"/>
  <c r="N73" i="24"/>
  <c r="N74" i="24"/>
  <c r="N75" i="24"/>
  <c r="N76" i="24"/>
  <c r="N77" i="24"/>
  <c r="N78" i="24"/>
  <c r="N79" i="24"/>
  <c r="N80" i="24"/>
  <c r="N81" i="24"/>
  <c r="N82" i="24"/>
  <c r="N83" i="24"/>
  <c r="N84" i="24"/>
  <c r="N85" i="24"/>
  <c r="N86" i="24"/>
  <c r="N87" i="24"/>
  <c r="N88" i="24"/>
  <c r="N89" i="24"/>
  <c r="N90" i="24"/>
  <c r="N91" i="24"/>
  <c r="N92" i="24"/>
  <c r="N93" i="24"/>
  <c r="N94" i="24"/>
  <c r="N95" i="24"/>
  <c r="N96" i="24"/>
  <c r="N97" i="24"/>
  <c r="N98" i="24"/>
  <c r="N99" i="24"/>
  <c r="N100" i="24"/>
  <c r="N101" i="24"/>
  <c r="N102" i="24"/>
  <c r="N10" i="24"/>
  <c r="N10" i="23"/>
  <c r="N10" i="22"/>
  <c r="N10" i="21"/>
  <c r="N10" i="20"/>
  <c r="N10" i="19"/>
  <c r="N10" i="18"/>
  <c r="N10" i="17"/>
  <c r="N10" i="16"/>
  <c r="N10" i="15"/>
  <c r="N10" i="14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90" i="12"/>
  <c r="N91" i="12"/>
  <c r="N92" i="12"/>
  <c r="N93" i="12"/>
  <c r="N94" i="12"/>
  <c r="N95" i="12"/>
  <c r="N96" i="12"/>
  <c r="N97" i="12"/>
  <c r="N98" i="12"/>
  <c r="N99" i="12"/>
  <c r="N100" i="12"/>
  <c r="N101" i="12"/>
  <c r="N102" i="12"/>
  <c r="N10" i="12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25" i="26"/>
  <c r="K26" i="26"/>
  <c r="K27" i="26"/>
  <c r="K28" i="26"/>
  <c r="K29" i="26"/>
  <c r="K30" i="26"/>
  <c r="K31" i="26"/>
  <c r="K32" i="26"/>
  <c r="K33" i="26"/>
  <c r="K34" i="26"/>
  <c r="K35" i="26"/>
  <c r="K36" i="26"/>
  <c r="K37" i="26"/>
  <c r="K38" i="26"/>
  <c r="K39" i="26"/>
  <c r="K40" i="26"/>
  <c r="K41" i="26"/>
  <c r="K42" i="26"/>
  <c r="K43" i="26"/>
  <c r="K44" i="26"/>
  <c r="K45" i="26"/>
  <c r="K46" i="26"/>
  <c r="K47" i="26"/>
  <c r="K48" i="26"/>
  <c r="K49" i="26"/>
  <c r="K50" i="26"/>
  <c r="K51" i="26"/>
  <c r="K52" i="26"/>
  <c r="K53" i="26"/>
  <c r="K54" i="26"/>
  <c r="K55" i="26"/>
  <c r="K56" i="26"/>
  <c r="K57" i="26"/>
  <c r="K58" i="26"/>
  <c r="K59" i="26"/>
  <c r="K60" i="26"/>
  <c r="K61" i="26"/>
  <c r="K62" i="26"/>
  <c r="K63" i="26"/>
  <c r="K64" i="26"/>
  <c r="K65" i="26"/>
  <c r="K66" i="26"/>
  <c r="K67" i="26"/>
  <c r="K68" i="26"/>
  <c r="K69" i="26"/>
  <c r="K70" i="26"/>
  <c r="K71" i="26"/>
  <c r="K72" i="26"/>
  <c r="K73" i="26"/>
  <c r="K74" i="26"/>
  <c r="K75" i="26"/>
  <c r="K76" i="26"/>
  <c r="K77" i="26"/>
  <c r="K78" i="26"/>
  <c r="K79" i="26"/>
  <c r="K80" i="26"/>
  <c r="K81" i="26"/>
  <c r="K82" i="26"/>
  <c r="K83" i="26"/>
  <c r="K84" i="26"/>
  <c r="K85" i="26"/>
  <c r="K86" i="26"/>
  <c r="K87" i="26"/>
  <c r="K88" i="26"/>
  <c r="K89" i="26"/>
  <c r="K90" i="26"/>
  <c r="K91" i="26"/>
  <c r="K92" i="26"/>
  <c r="K93" i="26"/>
  <c r="K94" i="26"/>
  <c r="K95" i="26"/>
  <c r="K96" i="26"/>
  <c r="K97" i="26"/>
  <c r="K98" i="26"/>
  <c r="K99" i="26"/>
  <c r="K100" i="26"/>
  <c r="K101" i="26"/>
  <c r="K102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K10" i="26"/>
  <c r="H10" i="26"/>
  <c r="K104" i="24"/>
  <c r="K106" i="24" s="1"/>
  <c r="K105" i="24"/>
  <c r="H104" i="24"/>
  <c r="H106" i="24" s="1"/>
  <c r="H105" i="24"/>
  <c r="K103" i="24"/>
  <c r="H103" i="24"/>
  <c r="K106" i="23"/>
  <c r="K104" i="23"/>
  <c r="K105" i="23"/>
  <c r="H104" i="23"/>
  <c r="H106" i="23" s="1"/>
  <c r="H105" i="23"/>
  <c r="K103" i="23"/>
  <c r="H103" i="23"/>
  <c r="K104" i="22"/>
  <c r="K105" i="22"/>
  <c r="H104" i="22"/>
  <c r="H106" i="22" s="1"/>
  <c r="H105" i="22"/>
  <c r="K103" i="22"/>
  <c r="H103" i="22"/>
  <c r="K106" i="21"/>
  <c r="K104" i="21"/>
  <c r="K105" i="21"/>
  <c r="H104" i="21"/>
  <c r="H105" i="21"/>
  <c r="K103" i="21"/>
  <c r="H103" i="21"/>
  <c r="H106" i="21" s="1"/>
  <c r="K106" i="20"/>
  <c r="H104" i="20"/>
  <c r="H105" i="20"/>
  <c r="K104" i="20"/>
  <c r="K105" i="20"/>
  <c r="H103" i="20"/>
  <c r="H106" i="20" s="1"/>
  <c r="K103" i="20"/>
  <c r="K104" i="19"/>
  <c r="K105" i="19"/>
  <c r="H104" i="19"/>
  <c r="H106" i="19" s="1"/>
  <c r="H105" i="19"/>
  <c r="K103" i="19"/>
  <c r="K106" i="19" s="1"/>
  <c r="H103" i="19"/>
  <c r="K11" i="25"/>
  <c r="K12" i="25"/>
  <c r="K12" i="27" s="1"/>
  <c r="K13" i="25"/>
  <c r="K13" i="27" s="1"/>
  <c r="K14" i="25"/>
  <c r="K15" i="25"/>
  <c r="K15" i="27" s="1"/>
  <c r="K16" i="25"/>
  <c r="K16" i="27" s="1"/>
  <c r="K17" i="25"/>
  <c r="K18" i="25"/>
  <c r="K19" i="25"/>
  <c r="K20" i="25"/>
  <c r="K20" i="27" s="1"/>
  <c r="K21" i="25"/>
  <c r="K21" i="27" s="1"/>
  <c r="K22" i="25"/>
  <c r="K23" i="25"/>
  <c r="K23" i="27" s="1"/>
  <c r="K24" i="25"/>
  <c r="K24" i="27" s="1"/>
  <c r="K25" i="25"/>
  <c r="K26" i="25"/>
  <c r="K27" i="25"/>
  <c r="K27" i="27" s="1"/>
  <c r="K28" i="25"/>
  <c r="K28" i="27" s="1"/>
  <c r="K29" i="25"/>
  <c r="K29" i="27" s="1"/>
  <c r="K30" i="25"/>
  <c r="K31" i="25"/>
  <c r="K31" i="27" s="1"/>
  <c r="K32" i="25"/>
  <c r="K32" i="27" s="1"/>
  <c r="K33" i="25"/>
  <c r="K33" i="27" s="1"/>
  <c r="K34" i="25"/>
  <c r="K34" i="27" s="1"/>
  <c r="K35" i="25"/>
  <c r="K35" i="27" s="1"/>
  <c r="K36" i="25"/>
  <c r="K36" i="27" s="1"/>
  <c r="K37" i="25"/>
  <c r="K37" i="27" s="1"/>
  <c r="K38" i="25"/>
  <c r="K39" i="25"/>
  <c r="K39" i="27" s="1"/>
  <c r="K40" i="25"/>
  <c r="K40" i="27" s="1"/>
  <c r="K41" i="25"/>
  <c r="K42" i="25"/>
  <c r="K43" i="25"/>
  <c r="K43" i="27" s="1"/>
  <c r="K44" i="25"/>
  <c r="K44" i="27" s="1"/>
  <c r="K45" i="25"/>
  <c r="K45" i="27" s="1"/>
  <c r="K46" i="25"/>
  <c r="K47" i="25"/>
  <c r="K47" i="27" s="1"/>
  <c r="K48" i="25"/>
  <c r="K48" i="27" s="1"/>
  <c r="K49" i="25"/>
  <c r="K50" i="25"/>
  <c r="K51" i="25"/>
  <c r="K51" i="27" s="1"/>
  <c r="K52" i="25"/>
  <c r="K52" i="27" s="1"/>
  <c r="K53" i="25"/>
  <c r="K53" i="27" s="1"/>
  <c r="K54" i="25"/>
  <c r="K55" i="25"/>
  <c r="K55" i="27" s="1"/>
  <c r="K56" i="25"/>
  <c r="K56" i="27" s="1"/>
  <c r="K57" i="25"/>
  <c r="K58" i="25"/>
  <c r="K59" i="25"/>
  <c r="K59" i="27" s="1"/>
  <c r="K60" i="25"/>
  <c r="K60" i="27" s="1"/>
  <c r="K61" i="25"/>
  <c r="K61" i="27" s="1"/>
  <c r="K62" i="25"/>
  <c r="K63" i="25"/>
  <c r="K63" i="27" s="1"/>
  <c r="K64" i="25"/>
  <c r="K64" i="27" s="1"/>
  <c r="K65" i="25"/>
  <c r="K66" i="25"/>
  <c r="K67" i="25"/>
  <c r="K67" i="27" s="1"/>
  <c r="K68" i="25"/>
  <c r="K68" i="27" s="1"/>
  <c r="K69" i="25"/>
  <c r="K69" i="27" s="1"/>
  <c r="K70" i="25"/>
  <c r="K71" i="25"/>
  <c r="K71" i="27" s="1"/>
  <c r="K72" i="25"/>
  <c r="K72" i="27" s="1"/>
  <c r="K73" i="25"/>
  <c r="K73" i="27" s="1"/>
  <c r="K74" i="25"/>
  <c r="K75" i="25"/>
  <c r="K75" i="27" s="1"/>
  <c r="K76" i="25"/>
  <c r="K76" i="27" s="1"/>
  <c r="K77" i="25"/>
  <c r="K77" i="27" s="1"/>
  <c r="K78" i="25"/>
  <c r="K79" i="25"/>
  <c r="K79" i="27" s="1"/>
  <c r="K80" i="25"/>
  <c r="K80" i="27" s="1"/>
  <c r="K81" i="25"/>
  <c r="K82" i="25"/>
  <c r="K83" i="25"/>
  <c r="K83" i="27" s="1"/>
  <c r="K84" i="25"/>
  <c r="K84" i="27" s="1"/>
  <c r="K85" i="25"/>
  <c r="K85" i="27" s="1"/>
  <c r="K86" i="25"/>
  <c r="K87" i="25"/>
  <c r="K87" i="27" s="1"/>
  <c r="K88" i="25"/>
  <c r="K88" i="27" s="1"/>
  <c r="K89" i="25"/>
  <c r="K90" i="25"/>
  <c r="K91" i="25"/>
  <c r="K91" i="27" s="1"/>
  <c r="K92" i="25"/>
  <c r="K92" i="27" s="1"/>
  <c r="K93" i="25"/>
  <c r="K93" i="27" s="1"/>
  <c r="K94" i="25"/>
  <c r="K95" i="25"/>
  <c r="K95" i="27" s="1"/>
  <c r="K96" i="25"/>
  <c r="K96" i="27" s="1"/>
  <c r="K97" i="25"/>
  <c r="K97" i="27" s="1"/>
  <c r="K98" i="25"/>
  <c r="K98" i="27" s="1"/>
  <c r="K99" i="25"/>
  <c r="K99" i="27" s="1"/>
  <c r="K100" i="25"/>
  <c r="K100" i="27" s="1"/>
  <c r="K101" i="25"/>
  <c r="K101" i="27" s="1"/>
  <c r="K102" i="25"/>
  <c r="H11" i="25"/>
  <c r="H11" i="27" s="1"/>
  <c r="H12" i="25"/>
  <c r="H12" i="27" s="1"/>
  <c r="H13" i="25"/>
  <c r="H13" i="27" s="1"/>
  <c r="H14" i="25"/>
  <c r="H14" i="27" s="1"/>
  <c r="H15" i="25"/>
  <c r="H16" i="25"/>
  <c r="H16" i="27" s="1"/>
  <c r="H17" i="25"/>
  <c r="H17" i="27" s="1"/>
  <c r="H18" i="25"/>
  <c r="H19" i="25"/>
  <c r="H19" i="27" s="1"/>
  <c r="H20" i="25"/>
  <c r="H20" i="27" s="1"/>
  <c r="H21" i="25"/>
  <c r="H21" i="27" s="1"/>
  <c r="H22" i="25"/>
  <c r="H22" i="27" s="1"/>
  <c r="H23" i="25"/>
  <c r="H24" i="25"/>
  <c r="H24" i="27" s="1"/>
  <c r="H25" i="25"/>
  <c r="H25" i="27" s="1"/>
  <c r="H26" i="25"/>
  <c r="H27" i="25"/>
  <c r="H27" i="27" s="1"/>
  <c r="H28" i="25"/>
  <c r="H28" i="27" s="1"/>
  <c r="H29" i="25"/>
  <c r="H29" i="27" s="1"/>
  <c r="H30" i="25"/>
  <c r="H30" i="27" s="1"/>
  <c r="H31" i="25"/>
  <c r="H32" i="25"/>
  <c r="H32" i="27" s="1"/>
  <c r="H33" i="25"/>
  <c r="H33" i="27" s="1"/>
  <c r="H34" i="25"/>
  <c r="H35" i="25"/>
  <c r="H35" i="27" s="1"/>
  <c r="H36" i="25"/>
  <c r="H36" i="27" s="1"/>
  <c r="H37" i="25"/>
  <c r="H37" i="27" s="1"/>
  <c r="H38" i="25"/>
  <c r="H38" i="27" s="1"/>
  <c r="H39" i="25"/>
  <c r="H40" i="25"/>
  <c r="H40" i="27" s="1"/>
  <c r="H41" i="25"/>
  <c r="H41" i="27" s="1"/>
  <c r="H42" i="25"/>
  <c r="H43" i="25"/>
  <c r="H43" i="27" s="1"/>
  <c r="H44" i="25"/>
  <c r="H44" i="27" s="1"/>
  <c r="H45" i="25"/>
  <c r="H45" i="27" s="1"/>
  <c r="H46" i="25"/>
  <c r="H46" i="27" s="1"/>
  <c r="H47" i="25"/>
  <c r="H48" i="25"/>
  <c r="H48" i="27" s="1"/>
  <c r="H49" i="25"/>
  <c r="H49" i="27" s="1"/>
  <c r="H50" i="25"/>
  <c r="H51" i="25"/>
  <c r="H51" i="27" s="1"/>
  <c r="H52" i="25"/>
  <c r="H52" i="27" s="1"/>
  <c r="H53" i="25"/>
  <c r="H53" i="27" s="1"/>
  <c r="H54" i="25"/>
  <c r="H54" i="27" s="1"/>
  <c r="H55" i="25"/>
  <c r="H56" i="25"/>
  <c r="H56" i="27" s="1"/>
  <c r="H57" i="25"/>
  <c r="H57" i="27" s="1"/>
  <c r="H58" i="25"/>
  <c r="H59" i="25"/>
  <c r="H59" i="27" s="1"/>
  <c r="H60" i="25"/>
  <c r="H60" i="27" s="1"/>
  <c r="H61" i="25"/>
  <c r="H61" i="27" s="1"/>
  <c r="H62" i="25"/>
  <c r="H62" i="27" s="1"/>
  <c r="H63" i="25"/>
  <c r="H64" i="25"/>
  <c r="H64" i="27" s="1"/>
  <c r="H65" i="25"/>
  <c r="H65" i="27" s="1"/>
  <c r="H66" i="25"/>
  <c r="H67" i="25"/>
  <c r="H67" i="27" s="1"/>
  <c r="H68" i="25"/>
  <c r="H68" i="27" s="1"/>
  <c r="H69" i="25"/>
  <c r="H69" i="27" s="1"/>
  <c r="H70" i="25"/>
  <c r="H70" i="27" s="1"/>
  <c r="H71" i="25"/>
  <c r="H72" i="25"/>
  <c r="H72" i="27" s="1"/>
  <c r="H73" i="25"/>
  <c r="H73" i="27" s="1"/>
  <c r="H74" i="25"/>
  <c r="H75" i="25"/>
  <c r="H75" i="27" s="1"/>
  <c r="H76" i="25"/>
  <c r="H76" i="27" s="1"/>
  <c r="H77" i="25"/>
  <c r="H77" i="27" s="1"/>
  <c r="H78" i="25"/>
  <c r="H78" i="27" s="1"/>
  <c r="H79" i="25"/>
  <c r="H80" i="25"/>
  <c r="H80" i="27" s="1"/>
  <c r="H81" i="25"/>
  <c r="H81" i="27" s="1"/>
  <c r="H82" i="25"/>
  <c r="H83" i="25"/>
  <c r="H83" i="27" s="1"/>
  <c r="H84" i="25"/>
  <c r="H84" i="27" s="1"/>
  <c r="H85" i="25"/>
  <c r="H85" i="27" s="1"/>
  <c r="H86" i="25"/>
  <c r="H86" i="27" s="1"/>
  <c r="H87" i="25"/>
  <c r="H88" i="25"/>
  <c r="H88" i="27" s="1"/>
  <c r="H89" i="25"/>
  <c r="H89" i="27" s="1"/>
  <c r="H90" i="25"/>
  <c r="H91" i="25"/>
  <c r="H91" i="27" s="1"/>
  <c r="H92" i="25"/>
  <c r="H92" i="27" s="1"/>
  <c r="H93" i="25"/>
  <c r="H93" i="27" s="1"/>
  <c r="H94" i="25"/>
  <c r="H94" i="27" s="1"/>
  <c r="H95" i="25"/>
  <c r="H96" i="25"/>
  <c r="H96" i="27" s="1"/>
  <c r="H97" i="25"/>
  <c r="H97" i="27" s="1"/>
  <c r="H98" i="25"/>
  <c r="H99" i="25"/>
  <c r="H99" i="27" s="1"/>
  <c r="H100" i="25"/>
  <c r="H100" i="27" s="1"/>
  <c r="H101" i="25"/>
  <c r="H101" i="27" s="1"/>
  <c r="H102" i="25"/>
  <c r="H102" i="27" s="1"/>
  <c r="K10" i="25"/>
  <c r="K10" i="27" s="1"/>
  <c r="H10" i="25"/>
  <c r="H106" i="18"/>
  <c r="K104" i="18"/>
  <c r="K105" i="18"/>
  <c r="H104" i="18"/>
  <c r="H105" i="18"/>
  <c r="K103" i="18"/>
  <c r="K106" i="18" s="1"/>
  <c r="H103" i="18"/>
  <c r="K104" i="17"/>
  <c r="K105" i="17"/>
  <c r="H104" i="17"/>
  <c r="H105" i="17"/>
  <c r="K103" i="17"/>
  <c r="K106" i="17" s="1"/>
  <c r="H103" i="17"/>
  <c r="H106" i="17" s="1"/>
  <c r="K104" i="16"/>
  <c r="K105" i="16"/>
  <c r="H104" i="16"/>
  <c r="H105" i="16"/>
  <c r="K103" i="16"/>
  <c r="H103" i="16"/>
  <c r="K104" i="15"/>
  <c r="K105" i="15"/>
  <c r="H104" i="15"/>
  <c r="H105" i="15"/>
  <c r="K103" i="15"/>
  <c r="H103" i="15"/>
  <c r="K104" i="14"/>
  <c r="K105" i="14"/>
  <c r="K103" i="14"/>
  <c r="H104" i="14"/>
  <c r="H105" i="14"/>
  <c r="H103" i="14"/>
  <c r="K104" i="13"/>
  <c r="K105" i="13"/>
  <c r="K103" i="13"/>
  <c r="H104" i="13"/>
  <c r="H105" i="13"/>
  <c r="H103" i="13"/>
  <c r="U11" i="13"/>
  <c r="U12" i="13"/>
  <c r="U13" i="13"/>
  <c r="U14" i="13"/>
  <c r="U15" i="13"/>
  <c r="U16" i="13"/>
  <c r="U17" i="13"/>
  <c r="U18" i="13"/>
  <c r="U19" i="13"/>
  <c r="U20" i="13"/>
  <c r="U21" i="13"/>
  <c r="U22" i="13"/>
  <c r="U23" i="13"/>
  <c r="U24" i="13"/>
  <c r="U25" i="13"/>
  <c r="U26" i="13"/>
  <c r="U27" i="13"/>
  <c r="U28" i="13"/>
  <c r="U29" i="13"/>
  <c r="U30" i="13"/>
  <c r="U31" i="13"/>
  <c r="U32" i="13"/>
  <c r="U33" i="13"/>
  <c r="U34" i="13"/>
  <c r="U35" i="13"/>
  <c r="U36" i="13"/>
  <c r="U37" i="13"/>
  <c r="U38" i="13"/>
  <c r="U39" i="13"/>
  <c r="U40" i="13"/>
  <c r="U41" i="13"/>
  <c r="U42" i="13"/>
  <c r="U43" i="13"/>
  <c r="U44" i="13"/>
  <c r="U45" i="13"/>
  <c r="U46" i="13"/>
  <c r="U47" i="13"/>
  <c r="U48" i="13"/>
  <c r="U49" i="13"/>
  <c r="U50" i="13"/>
  <c r="U51" i="13"/>
  <c r="U52" i="13"/>
  <c r="U53" i="13"/>
  <c r="U54" i="13"/>
  <c r="U55" i="13"/>
  <c r="U56" i="13"/>
  <c r="U57" i="13"/>
  <c r="U58" i="13"/>
  <c r="U59" i="13"/>
  <c r="U60" i="13"/>
  <c r="U61" i="13"/>
  <c r="U62" i="13"/>
  <c r="U63" i="13"/>
  <c r="U64" i="13"/>
  <c r="U65" i="13"/>
  <c r="U66" i="13"/>
  <c r="U67" i="13"/>
  <c r="U68" i="13"/>
  <c r="U69" i="13"/>
  <c r="U70" i="13"/>
  <c r="U71" i="13"/>
  <c r="U72" i="13"/>
  <c r="U73" i="13"/>
  <c r="U74" i="13"/>
  <c r="U75" i="13"/>
  <c r="U76" i="13"/>
  <c r="U77" i="13"/>
  <c r="U78" i="13"/>
  <c r="U79" i="13"/>
  <c r="U80" i="13"/>
  <c r="U81" i="13"/>
  <c r="U82" i="13"/>
  <c r="U83" i="13"/>
  <c r="U84" i="13"/>
  <c r="U85" i="13"/>
  <c r="U86" i="13"/>
  <c r="U87" i="13"/>
  <c r="U88" i="13"/>
  <c r="U89" i="13"/>
  <c r="U90" i="13"/>
  <c r="U91" i="13"/>
  <c r="U92" i="13"/>
  <c r="U93" i="13"/>
  <c r="U94" i="13"/>
  <c r="U95" i="13"/>
  <c r="U96" i="13"/>
  <c r="U97" i="13"/>
  <c r="U98" i="13"/>
  <c r="U99" i="13"/>
  <c r="U100" i="13"/>
  <c r="U101" i="13"/>
  <c r="U102" i="13"/>
  <c r="U11" i="14"/>
  <c r="U12" i="14"/>
  <c r="U13" i="14"/>
  <c r="U14" i="14"/>
  <c r="U15" i="14"/>
  <c r="U16" i="14"/>
  <c r="U17" i="14"/>
  <c r="U18" i="14"/>
  <c r="U19" i="14"/>
  <c r="U20" i="14"/>
  <c r="U21" i="14"/>
  <c r="U22" i="14"/>
  <c r="U23" i="14"/>
  <c r="U24" i="14"/>
  <c r="U25" i="14"/>
  <c r="U26" i="14"/>
  <c r="U27" i="14"/>
  <c r="U28" i="14"/>
  <c r="U29" i="14"/>
  <c r="U30" i="14"/>
  <c r="U31" i="14"/>
  <c r="U32" i="14"/>
  <c r="U33" i="14"/>
  <c r="U34" i="14"/>
  <c r="U35" i="14"/>
  <c r="U36" i="14"/>
  <c r="U37" i="14"/>
  <c r="U38" i="14"/>
  <c r="U39" i="14"/>
  <c r="U40" i="14"/>
  <c r="U43" i="14"/>
  <c r="U44" i="14"/>
  <c r="U45" i="14"/>
  <c r="U46" i="14"/>
  <c r="U47" i="14"/>
  <c r="U48" i="14"/>
  <c r="U49" i="14"/>
  <c r="U50" i="14"/>
  <c r="U51" i="14"/>
  <c r="U52" i="14"/>
  <c r="U53" i="14"/>
  <c r="U54" i="14"/>
  <c r="U55" i="14"/>
  <c r="U56" i="14"/>
  <c r="U57" i="14"/>
  <c r="U58" i="14"/>
  <c r="U59" i="14"/>
  <c r="U60" i="14"/>
  <c r="U61" i="14"/>
  <c r="U62" i="14"/>
  <c r="U63" i="14"/>
  <c r="U64" i="14"/>
  <c r="U65" i="14"/>
  <c r="U66" i="14"/>
  <c r="U67" i="14"/>
  <c r="U68" i="14"/>
  <c r="U69" i="14"/>
  <c r="U70" i="14"/>
  <c r="U71" i="14"/>
  <c r="U72" i="14"/>
  <c r="U73" i="14"/>
  <c r="U74" i="14"/>
  <c r="U75" i="14"/>
  <c r="U76" i="14"/>
  <c r="U77" i="14"/>
  <c r="U78" i="14"/>
  <c r="U79" i="14"/>
  <c r="U80" i="14"/>
  <c r="U81" i="14"/>
  <c r="U82" i="14"/>
  <c r="U83" i="14"/>
  <c r="U84" i="14"/>
  <c r="U85" i="14"/>
  <c r="U86" i="14"/>
  <c r="U87" i="14"/>
  <c r="U88" i="14"/>
  <c r="U89" i="14"/>
  <c r="U90" i="14"/>
  <c r="U91" i="14"/>
  <c r="U92" i="14"/>
  <c r="U93" i="14"/>
  <c r="U94" i="14"/>
  <c r="U95" i="14"/>
  <c r="U96" i="14"/>
  <c r="U97" i="14"/>
  <c r="U98" i="14"/>
  <c r="U99" i="14"/>
  <c r="U100" i="14"/>
  <c r="U101" i="14"/>
  <c r="U102" i="14"/>
  <c r="U11" i="15"/>
  <c r="U12" i="15"/>
  <c r="U13" i="15"/>
  <c r="U14" i="15"/>
  <c r="U15" i="15"/>
  <c r="U16" i="15"/>
  <c r="U17" i="15"/>
  <c r="U18" i="15"/>
  <c r="U19" i="15"/>
  <c r="U20" i="15"/>
  <c r="U21" i="15"/>
  <c r="U22" i="15"/>
  <c r="U23" i="15"/>
  <c r="U24" i="15"/>
  <c r="U25" i="15"/>
  <c r="U26" i="15"/>
  <c r="U27" i="15"/>
  <c r="U28" i="15"/>
  <c r="U29" i="15"/>
  <c r="U30" i="15"/>
  <c r="U31" i="15"/>
  <c r="U32" i="15"/>
  <c r="U33" i="15"/>
  <c r="U34" i="15"/>
  <c r="U35" i="15"/>
  <c r="U36" i="15"/>
  <c r="U37" i="15"/>
  <c r="U38" i="15"/>
  <c r="U39" i="15"/>
  <c r="U40" i="15"/>
  <c r="U41" i="15"/>
  <c r="U42" i="15"/>
  <c r="U43" i="15"/>
  <c r="U44" i="15"/>
  <c r="U45" i="15"/>
  <c r="U46" i="15"/>
  <c r="U47" i="15"/>
  <c r="U48" i="15"/>
  <c r="U49" i="15"/>
  <c r="U50" i="15"/>
  <c r="U51" i="15"/>
  <c r="U52" i="15"/>
  <c r="U53" i="15"/>
  <c r="U54" i="15"/>
  <c r="U55" i="15"/>
  <c r="U56" i="15"/>
  <c r="U57" i="15"/>
  <c r="U58" i="15"/>
  <c r="U59" i="15"/>
  <c r="U60" i="15"/>
  <c r="U61" i="15"/>
  <c r="U62" i="15"/>
  <c r="U63" i="15"/>
  <c r="U64" i="15"/>
  <c r="U65" i="15"/>
  <c r="U66" i="15"/>
  <c r="U67" i="15"/>
  <c r="U68" i="15"/>
  <c r="U69" i="15"/>
  <c r="U70" i="15"/>
  <c r="U71" i="15"/>
  <c r="U72" i="15"/>
  <c r="U73" i="15"/>
  <c r="U74" i="15"/>
  <c r="U75" i="15"/>
  <c r="U76" i="15"/>
  <c r="U77" i="15"/>
  <c r="U78" i="15"/>
  <c r="U79" i="15"/>
  <c r="U80" i="15"/>
  <c r="U81" i="15"/>
  <c r="U82" i="15"/>
  <c r="U83" i="15"/>
  <c r="U84" i="15"/>
  <c r="U85" i="15"/>
  <c r="U86" i="15"/>
  <c r="U87" i="15"/>
  <c r="U88" i="15"/>
  <c r="U89" i="15"/>
  <c r="U90" i="15"/>
  <c r="U91" i="15"/>
  <c r="U92" i="15"/>
  <c r="U93" i="15"/>
  <c r="U94" i="15"/>
  <c r="U95" i="15"/>
  <c r="U96" i="15"/>
  <c r="U97" i="15"/>
  <c r="U98" i="15"/>
  <c r="U99" i="15"/>
  <c r="U100" i="15"/>
  <c r="U101" i="15"/>
  <c r="U102" i="15"/>
  <c r="U11" i="16"/>
  <c r="U12" i="16"/>
  <c r="U13" i="16"/>
  <c r="U14" i="16"/>
  <c r="U15" i="16"/>
  <c r="U16" i="16"/>
  <c r="U17" i="16"/>
  <c r="U18" i="16"/>
  <c r="U19" i="16"/>
  <c r="U20" i="16"/>
  <c r="U21" i="16"/>
  <c r="U22" i="16"/>
  <c r="U23" i="16"/>
  <c r="U24" i="16"/>
  <c r="U25" i="16"/>
  <c r="U26" i="16"/>
  <c r="U27" i="16"/>
  <c r="U28" i="16"/>
  <c r="U29" i="16"/>
  <c r="U30" i="16"/>
  <c r="U31" i="16"/>
  <c r="U32" i="16"/>
  <c r="U33" i="16"/>
  <c r="U34" i="16"/>
  <c r="U35" i="16"/>
  <c r="U36" i="16"/>
  <c r="U37" i="16"/>
  <c r="U38" i="16"/>
  <c r="U39" i="16"/>
  <c r="U40" i="16"/>
  <c r="U41" i="16"/>
  <c r="U42" i="16"/>
  <c r="U43" i="16"/>
  <c r="U44" i="16"/>
  <c r="U45" i="16"/>
  <c r="U46" i="16"/>
  <c r="U47" i="16"/>
  <c r="U48" i="16"/>
  <c r="U49" i="16"/>
  <c r="U50" i="16"/>
  <c r="U51" i="16"/>
  <c r="U52" i="16"/>
  <c r="U53" i="16"/>
  <c r="U54" i="16"/>
  <c r="U55" i="16"/>
  <c r="U56" i="16"/>
  <c r="U57" i="16"/>
  <c r="U58" i="16"/>
  <c r="U59" i="16"/>
  <c r="U60" i="16"/>
  <c r="U61" i="16"/>
  <c r="U62" i="16"/>
  <c r="U63" i="16"/>
  <c r="U64" i="16"/>
  <c r="U65" i="16"/>
  <c r="U66" i="16"/>
  <c r="U67" i="16"/>
  <c r="U68" i="16"/>
  <c r="U69" i="16"/>
  <c r="U70" i="16"/>
  <c r="U71" i="16"/>
  <c r="U72" i="16"/>
  <c r="U73" i="16"/>
  <c r="U74" i="16"/>
  <c r="U75" i="16"/>
  <c r="U76" i="16"/>
  <c r="U77" i="16"/>
  <c r="U78" i="16"/>
  <c r="U79" i="16"/>
  <c r="U80" i="16"/>
  <c r="U81" i="16"/>
  <c r="U82" i="16"/>
  <c r="U83" i="16"/>
  <c r="U84" i="16"/>
  <c r="U85" i="16"/>
  <c r="U86" i="16"/>
  <c r="U87" i="16"/>
  <c r="U88" i="16"/>
  <c r="U89" i="16"/>
  <c r="U90" i="16"/>
  <c r="U91" i="16"/>
  <c r="U92" i="16"/>
  <c r="U93" i="16"/>
  <c r="U94" i="16"/>
  <c r="U95" i="16"/>
  <c r="U96" i="16"/>
  <c r="U97" i="16"/>
  <c r="U98" i="16"/>
  <c r="U99" i="16"/>
  <c r="U100" i="16"/>
  <c r="U101" i="16"/>
  <c r="U102" i="16"/>
  <c r="U11" i="17"/>
  <c r="U12" i="17"/>
  <c r="U13" i="17"/>
  <c r="U14" i="17"/>
  <c r="U15" i="17"/>
  <c r="U16" i="17"/>
  <c r="U17" i="17"/>
  <c r="U18" i="17"/>
  <c r="U19" i="17"/>
  <c r="U20" i="17"/>
  <c r="U21" i="17"/>
  <c r="U22" i="17"/>
  <c r="U23" i="17"/>
  <c r="U24" i="17"/>
  <c r="U25" i="17"/>
  <c r="U26" i="17"/>
  <c r="U27" i="17"/>
  <c r="U28" i="17"/>
  <c r="U29" i="17"/>
  <c r="U30" i="17"/>
  <c r="U31" i="17"/>
  <c r="U32" i="17"/>
  <c r="U33" i="17"/>
  <c r="U34" i="17"/>
  <c r="U35" i="17"/>
  <c r="U36" i="17"/>
  <c r="U37" i="17"/>
  <c r="U38" i="17"/>
  <c r="U39" i="17"/>
  <c r="U40" i="17"/>
  <c r="U41" i="17"/>
  <c r="U42" i="17"/>
  <c r="U43" i="17"/>
  <c r="U44" i="17"/>
  <c r="U45" i="17"/>
  <c r="U46" i="17"/>
  <c r="U47" i="17"/>
  <c r="U48" i="17"/>
  <c r="U49" i="17"/>
  <c r="U50" i="17"/>
  <c r="U51" i="17"/>
  <c r="U52" i="17"/>
  <c r="U53" i="17"/>
  <c r="U54" i="17"/>
  <c r="U55" i="17"/>
  <c r="U56" i="17"/>
  <c r="U57" i="17"/>
  <c r="U58" i="17"/>
  <c r="U59" i="17"/>
  <c r="U60" i="17"/>
  <c r="U61" i="17"/>
  <c r="U62" i="17"/>
  <c r="U63" i="17"/>
  <c r="U64" i="17"/>
  <c r="U65" i="17"/>
  <c r="U66" i="17"/>
  <c r="U67" i="17"/>
  <c r="U68" i="17"/>
  <c r="U69" i="17"/>
  <c r="U70" i="17"/>
  <c r="U71" i="17"/>
  <c r="U72" i="17"/>
  <c r="U73" i="17"/>
  <c r="U74" i="17"/>
  <c r="U75" i="17"/>
  <c r="U76" i="17"/>
  <c r="U77" i="17"/>
  <c r="U78" i="17"/>
  <c r="U79" i="17"/>
  <c r="U80" i="17"/>
  <c r="U81" i="17"/>
  <c r="U82" i="17"/>
  <c r="U83" i="17"/>
  <c r="U84" i="17"/>
  <c r="U85" i="17"/>
  <c r="U86" i="17"/>
  <c r="U87" i="17"/>
  <c r="U88" i="17"/>
  <c r="U89" i="17"/>
  <c r="U90" i="17"/>
  <c r="U91" i="17"/>
  <c r="U92" i="17"/>
  <c r="U93" i="17"/>
  <c r="U94" i="17"/>
  <c r="U95" i="17"/>
  <c r="U96" i="17"/>
  <c r="U97" i="17"/>
  <c r="U98" i="17"/>
  <c r="U99" i="17"/>
  <c r="U100" i="17"/>
  <c r="U101" i="17"/>
  <c r="U102" i="17"/>
  <c r="U11" i="18"/>
  <c r="U12" i="18"/>
  <c r="U13" i="18"/>
  <c r="U14" i="18"/>
  <c r="U15" i="18"/>
  <c r="U16" i="18"/>
  <c r="U17" i="18"/>
  <c r="U18" i="18"/>
  <c r="U19" i="18"/>
  <c r="U20" i="18"/>
  <c r="U21" i="18"/>
  <c r="U22" i="18"/>
  <c r="U23" i="18"/>
  <c r="U24" i="18"/>
  <c r="U25" i="18"/>
  <c r="U26" i="18"/>
  <c r="U27" i="18"/>
  <c r="U28" i="18"/>
  <c r="U29" i="18"/>
  <c r="U30" i="18"/>
  <c r="U31" i="18"/>
  <c r="U32" i="18"/>
  <c r="U33" i="18"/>
  <c r="U34" i="18"/>
  <c r="U35" i="18"/>
  <c r="U36" i="18"/>
  <c r="U37" i="18"/>
  <c r="U38" i="18"/>
  <c r="U39" i="18"/>
  <c r="U40" i="18"/>
  <c r="U41" i="18"/>
  <c r="U42" i="18"/>
  <c r="U43" i="18"/>
  <c r="U44" i="18"/>
  <c r="U45" i="18"/>
  <c r="U46" i="18"/>
  <c r="U47" i="18"/>
  <c r="U48" i="18"/>
  <c r="U49" i="18"/>
  <c r="U50" i="18"/>
  <c r="U51" i="18"/>
  <c r="U52" i="18"/>
  <c r="U53" i="18"/>
  <c r="U54" i="18"/>
  <c r="U55" i="18"/>
  <c r="U56" i="18"/>
  <c r="U57" i="18"/>
  <c r="U58" i="18"/>
  <c r="U59" i="18"/>
  <c r="U60" i="18"/>
  <c r="U61" i="18"/>
  <c r="U62" i="18"/>
  <c r="U63" i="18"/>
  <c r="U64" i="18"/>
  <c r="U65" i="18"/>
  <c r="U66" i="18"/>
  <c r="U67" i="18"/>
  <c r="U68" i="18"/>
  <c r="U69" i="18"/>
  <c r="U70" i="18"/>
  <c r="U71" i="18"/>
  <c r="U72" i="18"/>
  <c r="U73" i="18"/>
  <c r="U74" i="18"/>
  <c r="U75" i="18"/>
  <c r="U76" i="18"/>
  <c r="U77" i="18"/>
  <c r="U78" i="18"/>
  <c r="U79" i="18"/>
  <c r="U80" i="18"/>
  <c r="U81" i="18"/>
  <c r="U82" i="18"/>
  <c r="U83" i="18"/>
  <c r="U84" i="18"/>
  <c r="U85" i="18"/>
  <c r="U86" i="18"/>
  <c r="U87" i="18"/>
  <c r="U88" i="18"/>
  <c r="U89" i="18"/>
  <c r="U90" i="18"/>
  <c r="U91" i="18"/>
  <c r="U92" i="18"/>
  <c r="U93" i="18"/>
  <c r="U94" i="18"/>
  <c r="U95" i="18"/>
  <c r="U96" i="18"/>
  <c r="U97" i="18"/>
  <c r="U98" i="18"/>
  <c r="U99" i="18"/>
  <c r="U100" i="18"/>
  <c r="U101" i="18"/>
  <c r="U102" i="18"/>
  <c r="U11" i="19"/>
  <c r="U12" i="19"/>
  <c r="U13" i="19"/>
  <c r="U14" i="19"/>
  <c r="U15" i="19"/>
  <c r="U16" i="19"/>
  <c r="U17" i="19"/>
  <c r="U18" i="19"/>
  <c r="U19" i="19"/>
  <c r="U20" i="19"/>
  <c r="U21" i="19"/>
  <c r="U22" i="19"/>
  <c r="U23" i="19"/>
  <c r="U24" i="19"/>
  <c r="U25" i="19"/>
  <c r="U26" i="19"/>
  <c r="U27" i="19"/>
  <c r="U28" i="19"/>
  <c r="U29" i="19"/>
  <c r="U30" i="19"/>
  <c r="U31" i="19"/>
  <c r="U32" i="19"/>
  <c r="U33" i="19"/>
  <c r="U34" i="19"/>
  <c r="U35" i="19"/>
  <c r="U36" i="19"/>
  <c r="U37" i="19"/>
  <c r="U38" i="19"/>
  <c r="U39" i="19"/>
  <c r="U40" i="19"/>
  <c r="U41" i="19"/>
  <c r="U42" i="19"/>
  <c r="U43" i="19"/>
  <c r="U44" i="19"/>
  <c r="U45" i="19"/>
  <c r="U46" i="19"/>
  <c r="U47" i="19"/>
  <c r="U48" i="19"/>
  <c r="U49" i="19"/>
  <c r="U50" i="19"/>
  <c r="U51" i="19"/>
  <c r="U52" i="19"/>
  <c r="U53" i="19"/>
  <c r="U54" i="19"/>
  <c r="U55" i="19"/>
  <c r="U56" i="19"/>
  <c r="U57" i="19"/>
  <c r="U58" i="19"/>
  <c r="U59" i="19"/>
  <c r="U60" i="19"/>
  <c r="U61" i="19"/>
  <c r="U62" i="19"/>
  <c r="U63" i="19"/>
  <c r="U64" i="19"/>
  <c r="U65" i="19"/>
  <c r="U66" i="19"/>
  <c r="U67" i="19"/>
  <c r="U68" i="19"/>
  <c r="U69" i="19"/>
  <c r="U70" i="19"/>
  <c r="U71" i="19"/>
  <c r="U72" i="19"/>
  <c r="U73" i="19"/>
  <c r="U74" i="19"/>
  <c r="U75" i="19"/>
  <c r="U76" i="19"/>
  <c r="U77" i="19"/>
  <c r="U78" i="19"/>
  <c r="U79" i="19"/>
  <c r="U80" i="19"/>
  <c r="U81" i="19"/>
  <c r="U82" i="19"/>
  <c r="U83" i="19"/>
  <c r="U84" i="19"/>
  <c r="U85" i="19"/>
  <c r="U86" i="19"/>
  <c r="U87" i="19"/>
  <c r="U88" i="19"/>
  <c r="U89" i="19"/>
  <c r="U90" i="19"/>
  <c r="U91" i="19"/>
  <c r="U92" i="19"/>
  <c r="U93" i="19"/>
  <c r="U94" i="19"/>
  <c r="U95" i="19"/>
  <c r="U96" i="19"/>
  <c r="U97" i="19"/>
  <c r="U98" i="19"/>
  <c r="U99" i="19"/>
  <c r="U100" i="19"/>
  <c r="U101" i="19"/>
  <c r="U102" i="19"/>
  <c r="U11" i="20"/>
  <c r="U12" i="20"/>
  <c r="U13" i="20"/>
  <c r="U14" i="20"/>
  <c r="U15" i="20"/>
  <c r="U16" i="20"/>
  <c r="U17" i="20"/>
  <c r="U18" i="20"/>
  <c r="U19" i="20"/>
  <c r="U20" i="20"/>
  <c r="U21" i="20"/>
  <c r="U22" i="20"/>
  <c r="U23" i="20"/>
  <c r="U24" i="20"/>
  <c r="U25" i="20"/>
  <c r="U26" i="20"/>
  <c r="U27" i="20"/>
  <c r="U28" i="20"/>
  <c r="U29" i="20"/>
  <c r="U30" i="20"/>
  <c r="U31" i="20"/>
  <c r="U32" i="20"/>
  <c r="U33" i="20"/>
  <c r="U34" i="20"/>
  <c r="U35" i="20"/>
  <c r="U36" i="20"/>
  <c r="U37" i="20"/>
  <c r="U38" i="20"/>
  <c r="U39" i="20"/>
  <c r="U40" i="20"/>
  <c r="U41" i="20"/>
  <c r="U42" i="20"/>
  <c r="U43" i="20"/>
  <c r="U44" i="20"/>
  <c r="U45" i="20"/>
  <c r="U46" i="20"/>
  <c r="U47" i="20"/>
  <c r="U48" i="20"/>
  <c r="U49" i="20"/>
  <c r="U50" i="20"/>
  <c r="U51" i="20"/>
  <c r="U52" i="20"/>
  <c r="U53" i="20"/>
  <c r="U54" i="20"/>
  <c r="U55" i="20"/>
  <c r="U56" i="20"/>
  <c r="U57" i="20"/>
  <c r="U58" i="20"/>
  <c r="U59" i="20"/>
  <c r="U60" i="20"/>
  <c r="U61" i="20"/>
  <c r="U62" i="20"/>
  <c r="U63" i="20"/>
  <c r="U64" i="20"/>
  <c r="U65" i="20"/>
  <c r="U66" i="20"/>
  <c r="U67" i="20"/>
  <c r="U68" i="20"/>
  <c r="U69" i="20"/>
  <c r="U70" i="20"/>
  <c r="U71" i="20"/>
  <c r="U72" i="20"/>
  <c r="U73" i="20"/>
  <c r="U74" i="20"/>
  <c r="U75" i="20"/>
  <c r="U76" i="20"/>
  <c r="U77" i="20"/>
  <c r="U78" i="20"/>
  <c r="U79" i="20"/>
  <c r="U80" i="20"/>
  <c r="U81" i="20"/>
  <c r="U82" i="20"/>
  <c r="U83" i="20"/>
  <c r="U84" i="20"/>
  <c r="U85" i="20"/>
  <c r="U86" i="20"/>
  <c r="U87" i="20"/>
  <c r="U88" i="20"/>
  <c r="U89" i="20"/>
  <c r="U90" i="20"/>
  <c r="U91" i="20"/>
  <c r="U92" i="20"/>
  <c r="U93" i="20"/>
  <c r="U94" i="20"/>
  <c r="U95" i="20"/>
  <c r="U96" i="20"/>
  <c r="U97" i="20"/>
  <c r="U98" i="20"/>
  <c r="U99" i="20"/>
  <c r="U100" i="20"/>
  <c r="U101" i="20"/>
  <c r="U102" i="20"/>
  <c r="U11" i="21"/>
  <c r="U12" i="21"/>
  <c r="U13" i="21"/>
  <c r="U14" i="21"/>
  <c r="U15" i="21"/>
  <c r="U16" i="21"/>
  <c r="U17" i="21"/>
  <c r="U18" i="21"/>
  <c r="U19" i="21"/>
  <c r="U20" i="21"/>
  <c r="U21" i="21"/>
  <c r="U22" i="21"/>
  <c r="U23" i="21"/>
  <c r="U24" i="21"/>
  <c r="U25" i="21"/>
  <c r="U26" i="21"/>
  <c r="U27" i="21"/>
  <c r="U28" i="21"/>
  <c r="U29" i="21"/>
  <c r="U30" i="21"/>
  <c r="U31" i="21"/>
  <c r="U32" i="21"/>
  <c r="U33" i="21"/>
  <c r="U34" i="21"/>
  <c r="U35" i="21"/>
  <c r="U36" i="21"/>
  <c r="U37" i="21"/>
  <c r="U38" i="21"/>
  <c r="U39" i="21"/>
  <c r="U40" i="21"/>
  <c r="U41" i="21"/>
  <c r="U42" i="21"/>
  <c r="U43" i="21"/>
  <c r="U44" i="21"/>
  <c r="U45" i="21"/>
  <c r="U46" i="21"/>
  <c r="U47" i="21"/>
  <c r="U48" i="21"/>
  <c r="U49" i="21"/>
  <c r="U50" i="21"/>
  <c r="U51" i="21"/>
  <c r="U52" i="21"/>
  <c r="U53" i="21"/>
  <c r="U54" i="21"/>
  <c r="U55" i="21"/>
  <c r="U56" i="21"/>
  <c r="U57" i="21"/>
  <c r="U58" i="21"/>
  <c r="U59" i="21"/>
  <c r="U60" i="21"/>
  <c r="U61" i="21"/>
  <c r="U62" i="21"/>
  <c r="U63" i="21"/>
  <c r="U64" i="21"/>
  <c r="U65" i="21"/>
  <c r="U66" i="21"/>
  <c r="U67" i="21"/>
  <c r="U68" i="21"/>
  <c r="U69" i="21"/>
  <c r="U70" i="21"/>
  <c r="U71" i="21"/>
  <c r="U72" i="21"/>
  <c r="U73" i="21"/>
  <c r="U74" i="21"/>
  <c r="U75" i="21"/>
  <c r="U76" i="21"/>
  <c r="U77" i="21"/>
  <c r="U78" i="21"/>
  <c r="U79" i="21"/>
  <c r="U80" i="21"/>
  <c r="U81" i="21"/>
  <c r="U82" i="21"/>
  <c r="U83" i="21"/>
  <c r="U84" i="21"/>
  <c r="U85" i="21"/>
  <c r="U86" i="21"/>
  <c r="U87" i="21"/>
  <c r="U88" i="21"/>
  <c r="U89" i="21"/>
  <c r="U90" i="21"/>
  <c r="U91" i="21"/>
  <c r="U92" i="21"/>
  <c r="U93" i="21"/>
  <c r="U94" i="21"/>
  <c r="U95" i="21"/>
  <c r="U96" i="21"/>
  <c r="U97" i="21"/>
  <c r="U98" i="21"/>
  <c r="U99" i="21"/>
  <c r="U100" i="21"/>
  <c r="U101" i="21"/>
  <c r="U102" i="21"/>
  <c r="U11" i="22"/>
  <c r="U12" i="22"/>
  <c r="U13" i="22"/>
  <c r="U14" i="22"/>
  <c r="U15" i="22"/>
  <c r="U16" i="22"/>
  <c r="U17" i="22"/>
  <c r="U18" i="22"/>
  <c r="U19" i="22"/>
  <c r="U20" i="22"/>
  <c r="U21" i="22"/>
  <c r="U22" i="22"/>
  <c r="U23" i="22"/>
  <c r="U24" i="22"/>
  <c r="U25" i="22"/>
  <c r="U26" i="22"/>
  <c r="U27" i="22"/>
  <c r="U28" i="22"/>
  <c r="U29" i="22"/>
  <c r="U30" i="22"/>
  <c r="U31" i="22"/>
  <c r="U32" i="22"/>
  <c r="U33" i="22"/>
  <c r="U34" i="22"/>
  <c r="U35" i="22"/>
  <c r="U36" i="22"/>
  <c r="U37" i="22"/>
  <c r="U38" i="22"/>
  <c r="U39" i="22"/>
  <c r="U40" i="22"/>
  <c r="U41" i="22"/>
  <c r="U42" i="22"/>
  <c r="U43" i="22"/>
  <c r="U44" i="22"/>
  <c r="U45" i="22"/>
  <c r="U46" i="22"/>
  <c r="U47" i="22"/>
  <c r="U48" i="22"/>
  <c r="U49" i="22"/>
  <c r="U50" i="22"/>
  <c r="U51" i="22"/>
  <c r="U52" i="22"/>
  <c r="U53" i="22"/>
  <c r="U54" i="22"/>
  <c r="U55" i="22"/>
  <c r="U56" i="22"/>
  <c r="U57" i="22"/>
  <c r="U58" i="22"/>
  <c r="U59" i="22"/>
  <c r="U60" i="22"/>
  <c r="U61" i="22"/>
  <c r="U62" i="22"/>
  <c r="U63" i="22"/>
  <c r="U64" i="22"/>
  <c r="U65" i="22"/>
  <c r="U66" i="22"/>
  <c r="U67" i="22"/>
  <c r="U68" i="22"/>
  <c r="U69" i="22"/>
  <c r="U70" i="22"/>
  <c r="U71" i="22"/>
  <c r="U72" i="22"/>
  <c r="U73" i="22"/>
  <c r="U74" i="22"/>
  <c r="U75" i="22"/>
  <c r="U76" i="22"/>
  <c r="U77" i="22"/>
  <c r="U78" i="22"/>
  <c r="U79" i="22"/>
  <c r="U80" i="22"/>
  <c r="U81" i="22"/>
  <c r="U82" i="22"/>
  <c r="U83" i="22"/>
  <c r="U84" i="22"/>
  <c r="U85" i="22"/>
  <c r="U86" i="22"/>
  <c r="U87" i="22"/>
  <c r="U88" i="22"/>
  <c r="U89" i="22"/>
  <c r="U90" i="22"/>
  <c r="U91" i="22"/>
  <c r="U92" i="22"/>
  <c r="U93" i="22"/>
  <c r="U94" i="22"/>
  <c r="U95" i="22"/>
  <c r="U96" i="22"/>
  <c r="U97" i="22"/>
  <c r="U98" i="22"/>
  <c r="U99" i="22"/>
  <c r="U100" i="22"/>
  <c r="U101" i="22"/>
  <c r="U102" i="22"/>
  <c r="U11" i="23"/>
  <c r="U12" i="23"/>
  <c r="U13" i="23"/>
  <c r="U14" i="23"/>
  <c r="U15" i="23"/>
  <c r="U16" i="23"/>
  <c r="U17" i="23"/>
  <c r="U18" i="23"/>
  <c r="U19" i="23"/>
  <c r="U20" i="23"/>
  <c r="U21" i="23"/>
  <c r="U22" i="23"/>
  <c r="U23" i="23"/>
  <c r="U24" i="23"/>
  <c r="U25" i="23"/>
  <c r="U26" i="23"/>
  <c r="U27" i="23"/>
  <c r="U28" i="23"/>
  <c r="U29" i="23"/>
  <c r="U30" i="23"/>
  <c r="U31" i="23"/>
  <c r="U32" i="23"/>
  <c r="U33" i="23"/>
  <c r="U34" i="23"/>
  <c r="U35" i="23"/>
  <c r="U36" i="23"/>
  <c r="U37" i="23"/>
  <c r="U38" i="23"/>
  <c r="U39" i="23"/>
  <c r="U40" i="23"/>
  <c r="U41" i="23"/>
  <c r="U42" i="23"/>
  <c r="U43" i="23"/>
  <c r="U44" i="23"/>
  <c r="U45" i="23"/>
  <c r="U46" i="23"/>
  <c r="U47" i="23"/>
  <c r="U48" i="23"/>
  <c r="U49" i="23"/>
  <c r="U50" i="23"/>
  <c r="U51" i="23"/>
  <c r="U52" i="23"/>
  <c r="U53" i="23"/>
  <c r="U54" i="23"/>
  <c r="U55" i="23"/>
  <c r="U56" i="23"/>
  <c r="U57" i="23"/>
  <c r="U58" i="23"/>
  <c r="U59" i="23"/>
  <c r="U60" i="23"/>
  <c r="U61" i="23"/>
  <c r="U62" i="23"/>
  <c r="U63" i="23"/>
  <c r="U64" i="23"/>
  <c r="U65" i="23"/>
  <c r="U66" i="23"/>
  <c r="U67" i="23"/>
  <c r="U68" i="23"/>
  <c r="U69" i="23"/>
  <c r="U70" i="23"/>
  <c r="U71" i="23"/>
  <c r="U72" i="23"/>
  <c r="U73" i="23"/>
  <c r="U74" i="23"/>
  <c r="U75" i="23"/>
  <c r="U76" i="23"/>
  <c r="U77" i="23"/>
  <c r="U78" i="23"/>
  <c r="U79" i="23"/>
  <c r="U80" i="23"/>
  <c r="U81" i="23"/>
  <c r="U82" i="23"/>
  <c r="U83" i="23"/>
  <c r="U84" i="23"/>
  <c r="U85" i="23"/>
  <c r="U86" i="23"/>
  <c r="U87" i="23"/>
  <c r="U88" i="23"/>
  <c r="U89" i="23"/>
  <c r="U90" i="23"/>
  <c r="U91" i="23"/>
  <c r="U92" i="23"/>
  <c r="U93" i="23"/>
  <c r="U94" i="23"/>
  <c r="U95" i="23"/>
  <c r="U96" i="23"/>
  <c r="U97" i="23"/>
  <c r="U98" i="23"/>
  <c r="U99" i="23"/>
  <c r="U100" i="23"/>
  <c r="U101" i="23"/>
  <c r="U102" i="23"/>
  <c r="U11" i="24"/>
  <c r="U12" i="24"/>
  <c r="U13" i="24"/>
  <c r="U14" i="24"/>
  <c r="U15" i="24"/>
  <c r="U16" i="24"/>
  <c r="U17" i="24"/>
  <c r="U18" i="24"/>
  <c r="U19" i="24"/>
  <c r="U20" i="24"/>
  <c r="U21" i="24"/>
  <c r="U22" i="24"/>
  <c r="U23" i="24"/>
  <c r="U24" i="24"/>
  <c r="U25" i="24"/>
  <c r="U26" i="24"/>
  <c r="U27" i="24"/>
  <c r="U28" i="24"/>
  <c r="U29" i="24"/>
  <c r="U30" i="24"/>
  <c r="U31" i="24"/>
  <c r="U32" i="24"/>
  <c r="U33" i="24"/>
  <c r="U34" i="24"/>
  <c r="U35" i="24"/>
  <c r="U36" i="24"/>
  <c r="U37" i="24"/>
  <c r="U38" i="24"/>
  <c r="U39" i="24"/>
  <c r="U40" i="24"/>
  <c r="U41" i="24"/>
  <c r="U42" i="24"/>
  <c r="U43" i="24"/>
  <c r="U44" i="24"/>
  <c r="U45" i="24"/>
  <c r="U46" i="24"/>
  <c r="U47" i="24"/>
  <c r="U48" i="24"/>
  <c r="U49" i="24"/>
  <c r="U50" i="24"/>
  <c r="U51" i="24"/>
  <c r="U52" i="24"/>
  <c r="U53" i="24"/>
  <c r="U54" i="24"/>
  <c r="U55" i="24"/>
  <c r="U56" i="24"/>
  <c r="U57" i="24"/>
  <c r="U58" i="24"/>
  <c r="U59" i="24"/>
  <c r="U60" i="24"/>
  <c r="U61" i="24"/>
  <c r="U62" i="24"/>
  <c r="U63" i="24"/>
  <c r="U64" i="24"/>
  <c r="U65" i="24"/>
  <c r="U66" i="24"/>
  <c r="U67" i="24"/>
  <c r="U68" i="24"/>
  <c r="U69" i="24"/>
  <c r="U70" i="24"/>
  <c r="U71" i="24"/>
  <c r="U72" i="24"/>
  <c r="U73" i="24"/>
  <c r="U74" i="24"/>
  <c r="U75" i="24"/>
  <c r="U76" i="24"/>
  <c r="U77" i="24"/>
  <c r="U78" i="24"/>
  <c r="U79" i="24"/>
  <c r="U80" i="24"/>
  <c r="U81" i="24"/>
  <c r="U82" i="24"/>
  <c r="U83" i="24"/>
  <c r="U84" i="24"/>
  <c r="U85" i="24"/>
  <c r="U86" i="24"/>
  <c r="U87" i="24"/>
  <c r="U88" i="24"/>
  <c r="U89" i="24"/>
  <c r="U90" i="24"/>
  <c r="U91" i="24"/>
  <c r="U92" i="24"/>
  <c r="U93" i="24"/>
  <c r="U94" i="24"/>
  <c r="U95" i="24"/>
  <c r="U96" i="24"/>
  <c r="U97" i="24"/>
  <c r="U98" i="24"/>
  <c r="U99" i="24"/>
  <c r="U100" i="24"/>
  <c r="U101" i="24"/>
  <c r="U102" i="24"/>
  <c r="U10" i="24"/>
  <c r="U10" i="23"/>
  <c r="U10" i="22"/>
  <c r="U10" i="21"/>
  <c r="U10" i="20"/>
  <c r="U10" i="19"/>
  <c r="U10" i="18"/>
  <c r="U10" i="17"/>
  <c r="U10" i="16"/>
  <c r="U10" i="15"/>
  <c r="U10" i="14"/>
  <c r="U10" i="13"/>
  <c r="N10" i="13"/>
  <c r="K104" i="12"/>
  <c r="K105" i="12"/>
  <c r="K103" i="12"/>
  <c r="H104" i="12"/>
  <c r="H105" i="12"/>
  <c r="H103" i="12"/>
  <c r="U11" i="12"/>
  <c r="U12" i="12"/>
  <c r="U13" i="12"/>
  <c r="U14" i="12"/>
  <c r="U15" i="12"/>
  <c r="U16" i="12"/>
  <c r="U17" i="12"/>
  <c r="U18" i="12"/>
  <c r="U19" i="12"/>
  <c r="U20" i="12"/>
  <c r="U21" i="12"/>
  <c r="U22" i="12"/>
  <c r="U23" i="12"/>
  <c r="U24" i="12"/>
  <c r="U25" i="12"/>
  <c r="U26" i="12"/>
  <c r="U27" i="12"/>
  <c r="U28" i="12"/>
  <c r="U29" i="12"/>
  <c r="U30" i="12"/>
  <c r="U31" i="12"/>
  <c r="U32" i="12"/>
  <c r="U33" i="12"/>
  <c r="U34" i="12"/>
  <c r="U35" i="12"/>
  <c r="U36" i="12"/>
  <c r="U37" i="12"/>
  <c r="U38" i="12"/>
  <c r="U39" i="12"/>
  <c r="U40" i="12"/>
  <c r="U41" i="12"/>
  <c r="U42" i="12"/>
  <c r="U43" i="12"/>
  <c r="U44" i="12"/>
  <c r="U45" i="12"/>
  <c r="U46" i="12"/>
  <c r="U47" i="12"/>
  <c r="U48" i="12"/>
  <c r="U49" i="12"/>
  <c r="U50" i="12"/>
  <c r="U51" i="12"/>
  <c r="U52" i="12"/>
  <c r="U53" i="12"/>
  <c r="U54" i="12"/>
  <c r="U55" i="12"/>
  <c r="U56" i="12"/>
  <c r="U57" i="12"/>
  <c r="U58" i="12"/>
  <c r="U59" i="12"/>
  <c r="U60" i="12"/>
  <c r="U61" i="12"/>
  <c r="U62" i="12"/>
  <c r="U63" i="12"/>
  <c r="U64" i="12"/>
  <c r="U65" i="12"/>
  <c r="U66" i="12"/>
  <c r="U67" i="12"/>
  <c r="U68" i="12"/>
  <c r="U69" i="12"/>
  <c r="U70" i="12"/>
  <c r="U71" i="12"/>
  <c r="U72" i="12"/>
  <c r="U73" i="12"/>
  <c r="U74" i="12"/>
  <c r="U75" i="12"/>
  <c r="U76" i="12"/>
  <c r="U77" i="12"/>
  <c r="U78" i="12"/>
  <c r="U79" i="12"/>
  <c r="U80" i="12"/>
  <c r="U81" i="12"/>
  <c r="U82" i="12"/>
  <c r="U83" i="12"/>
  <c r="U84" i="12"/>
  <c r="U85" i="12"/>
  <c r="U86" i="12"/>
  <c r="U87" i="12"/>
  <c r="U88" i="12"/>
  <c r="U89" i="12"/>
  <c r="U90" i="12"/>
  <c r="U91" i="12"/>
  <c r="U92" i="12"/>
  <c r="U93" i="12"/>
  <c r="U94" i="12"/>
  <c r="U95" i="12"/>
  <c r="U96" i="12"/>
  <c r="U97" i="12"/>
  <c r="U98" i="12"/>
  <c r="U99" i="12"/>
  <c r="U100" i="12"/>
  <c r="U101" i="12"/>
  <c r="U102" i="12"/>
  <c r="U10" i="12"/>
  <c r="T11" i="24"/>
  <c r="T12" i="24"/>
  <c r="T13" i="24"/>
  <c r="T14" i="24"/>
  <c r="T15" i="24"/>
  <c r="T16" i="24"/>
  <c r="T17" i="24"/>
  <c r="T18" i="24"/>
  <c r="T19" i="24"/>
  <c r="T20" i="24"/>
  <c r="T21" i="24"/>
  <c r="T22" i="24"/>
  <c r="T23" i="24"/>
  <c r="T24" i="24"/>
  <c r="T25" i="24"/>
  <c r="T26" i="24"/>
  <c r="T27" i="24"/>
  <c r="T28" i="24"/>
  <c r="T29" i="24"/>
  <c r="T30" i="24"/>
  <c r="T31" i="24"/>
  <c r="T32" i="24"/>
  <c r="T33" i="24"/>
  <c r="T34" i="24"/>
  <c r="T35" i="24"/>
  <c r="T36" i="24"/>
  <c r="T37" i="24"/>
  <c r="T38" i="24"/>
  <c r="T39" i="24"/>
  <c r="T40" i="24"/>
  <c r="T41" i="24"/>
  <c r="T42" i="24"/>
  <c r="T43" i="24"/>
  <c r="T44" i="24"/>
  <c r="T45" i="24"/>
  <c r="T46" i="24"/>
  <c r="T47" i="24"/>
  <c r="T48" i="24"/>
  <c r="T49" i="24"/>
  <c r="T50" i="24"/>
  <c r="T51" i="24"/>
  <c r="T52" i="24"/>
  <c r="T53" i="24"/>
  <c r="T54" i="24"/>
  <c r="T55" i="24"/>
  <c r="T56" i="24"/>
  <c r="T57" i="24"/>
  <c r="T58" i="24"/>
  <c r="T59" i="24"/>
  <c r="T60" i="24"/>
  <c r="T61" i="24"/>
  <c r="T62" i="24"/>
  <c r="T63" i="24"/>
  <c r="T64" i="24"/>
  <c r="T65" i="24"/>
  <c r="T66" i="24"/>
  <c r="T67" i="24"/>
  <c r="T68" i="24"/>
  <c r="T69" i="24"/>
  <c r="T70" i="24"/>
  <c r="T71" i="24"/>
  <c r="T72" i="24"/>
  <c r="T73" i="24"/>
  <c r="T74" i="24"/>
  <c r="T75" i="24"/>
  <c r="T76" i="24"/>
  <c r="T77" i="24"/>
  <c r="T78" i="24"/>
  <c r="T79" i="24"/>
  <c r="T80" i="24"/>
  <c r="T81" i="24"/>
  <c r="T82" i="24"/>
  <c r="T83" i="24"/>
  <c r="T84" i="24"/>
  <c r="T85" i="24"/>
  <c r="T86" i="24"/>
  <c r="T87" i="24"/>
  <c r="T88" i="24"/>
  <c r="T89" i="24"/>
  <c r="T90" i="24"/>
  <c r="T91" i="24"/>
  <c r="T92" i="24"/>
  <c r="T93" i="24"/>
  <c r="T94" i="24"/>
  <c r="T95" i="24"/>
  <c r="T96" i="24"/>
  <c r="T97" i="24"/>
  <c r="T98" i="24"/>
  <c r="T99" i="24"/>
  <c r="T100" i="24"/>
  <c r="T101" i="24"/>
  <c r="T102" i="24"/>
  <c r="T11" i="23"/>
  <c r="T12" i="23"/>
  <c r="T13" i="23"/>
  <c r="T14" i="23"/>
  <c r="T15" i="23"/>
  <c r="T16" i="23"/>
  <c r="T17" i="23"/>
  <c r="T18" i="23"/>
  <c r="T19" i="23"/>
  <c r="T20" i="23"/>
  <c r="T21" i="23"/>
  <c r="T22" i="23"/>
  <c r="T23" i="23"/>
  <c r="T24" i="23"/>
  <c r="T25" i="23"/>
  <c r="T26" i="23"/>
  <c r="T27" i="23"/>
  <c r="T28" i="23"/>
  <c r="T29" i="23"/>
  <c r="T30" i="23"/>
  <c r="T31" i="23"/>
  <c r="T32" i="23"/>
  <c r="T33" i="23"/>
  <c r="T34" i="23"/>
  <c r="T35" i="23"/>
  <c r="T36" i="23"/>
  <c r="T37" i="23"/>
  <c r="T38" i="23"/>
  <c r="T39" i="23"/>
  <c r="T40" i="23"/>
  <c r="T41" i="23"/>
  <c r="T42" i="23"/>
  <c r="T43" i="23"/>
  <c r="T44" i="23"/>
  <c r="T45" i="23"/>
  <c r="T46" i="23"/>
  <c r="T47" i="23"/>
  <c r="T48" i="23"/>
  <c r="T49" i="23"/>
  <c r="T50" i="23"/>
  <c r="T51" i="23"/>
  <c r="T52" i="23"/>
  <c r="T53" i="23"/>
  <c r="T54" i="23"/>
  <c r="T55" i="23"/>
  <c r="T56" i="23"/>
  <c r="T57" i="23"/>
  <c r="T58" i="23"/>
  <c r="T59" i="23"/>
  <c r="T60" i="23"/>
  <c r="T61" i="23"/>
  <c r="T62" i="23"/>
  <c r="T63" i="23"/>
  <c r="T64" i="23"/>
  <c r="T65" i="23"/>
  <c r="T66" i="23"/>
  <c r="T67" i="23"/>
  <c r="T68" i="23"/>
  <c r="T69" i="23"/>
  <c r="T70" i="23"/>
  <c r="T71" i="23"/>
  <c r="T72" i="23"/>
  <c r="T73" i="23"/>
  <c r="T74" i="23"/>
  <c r="T75" i="23"/>
  <c r="T76" i="23"/>
  <c r="T77" i="23"/>
  <c r="T78" i="23"/>
  <c r="T79" i="23"/>
  <c r="T80" i="23"/>
  <c r="T81" i="23"/>
  <c r="T82" i="23"/>
  <c r="T83" i="23"/>
  <c r="T84" i="23"/>
  <c r="T85" i="23"/>
  <c r="T86" i="23"/>
  <c r="T87" i="23"/>
  <c r="T88" i="23"/>
  <c r="T89" i="23"/>
  <c r="T90" i="23"/>
  <c r="T91" i="23"/>
  <c r="T92" i="23"/>
  <c r="T93" i="23"/>
  <c r="T94" i="23"/>
  <c r="T95" i="23"/>
  <c r="T96" i="23"/>
  <c r="T97" i="23"/>
  <c r="T98" i="23"/>
  <c r="T99" i="23"/>
  <c r="T100" i="23"/>
  <c r="T101" i="23"/>
  <c r="T102" i="23"/>
  <c r="T11" i="22"/>
  <c r="T12" i="22"/>
  <c r="T13" i="22"/>
  <c r="T14" i="22"/>
  <c r="T15" i="22"/>
  <c r="T16" i="22"/>
  <c r="T17" i="22"/>
  <c r="T18" i="22"/>
  <c r="T19" i="22"/>
  <c r="T20" i="22"/>
  <c r="T21" i="22"/>
  <c r="T22" i="22"/>
  <c r="T23" i="22"/>
  <c r="T24" i="22"/>
  <c r="T25" i="22"/>
  <c r="T26" i="22"/>
  <c r="T27" i="22"/>
  <c r="T28" i="22"/>
  <c r="T29" i="22"/>
  <c r="T30" i="22"/>
  <c r="T31" i="22"/>
  <c r="T32" i="22"/>
  <c r="T33" i="22"/>
  <c r="T34" i="22"/>
  <c r="T35" i="22"/>
  <c r="T36" i="22"/>
  <c r="T37" i="22"/>
  <c r="T38" i="22"/>
  <c r="T39" i="22"/>
  <c r="T40" i="22"/>
  <c r="T41" i="22"/>
  <c r="T42" i="22"/>
  <c r="T43" i="22"/>
  <c r="T44" i="22"/>
  <c r="T45" i="22"/>
  <c r="T46" i="22"/>
  <c r="T47" i="22"/>
  <c r="T48" i="22"/>
  <c r="T49" i="22"/>
  <c r="T50" i="22"/>
  <c r="T51" i="22"/>
  <c r="T52" i="22"/>
  <c r="T53" i="22"/>
  <c r="T54" i="22"/>
  <c r="T55" i="22"/>
  <c r="T56" i="22"/>
  <c r="T57" i="22"/>
  <c r="T58" i="22"/>
  <c r="T59" i="22"/>
  <c r="T60" i="22"/>
  <c r="T61" i="22"/>
  <c r="T62" i="22"/>
  <c r="T63" i="22"/>
  <c r="T64" i="22"/>
  <c r="T65" i="22"/>
  <c r="T66" i="22"/>
  <c r="T67" i="22"/>
  <c r="T68" i="22"/>
  <c r="T69" i="22"/>
  <c r="T70" i="22"/>
  <c r="T71" i="22"/>
  <c r="T72" i="22"/>
  <c r="T73" i="22"/>
  <c r="T74" i="22"/>
  <c r="T75" i="22"/>
  <c r="T76" i="22"/>
  <c r="T77" i="22"/>
  <c r="T78" i="22"/>
  <c r="T79" i="22"/>
  <c r="T80" i="22"/>
  <c r="T81" i="22"/>
  <c r="T82" i="22"/>
  <c r="T83" i="22"/>
  <c r="T84" i="22"/>
  <c r="T85" i="22"/>
  <c r="T86" i="22"/>
  <c r="T87" i="22"/>
  <c r="T88" i="22"/>
  <c r="T89" i="22"/>
  <c r="T90" i="22"/>
  <c r="T91" i="22"/>
  <c r="T92" i="22"/>
  <c r="T93" i="22"/>
  <c r="T94" i="22"/>
  <c r="T95" i="22"/>
  <c r="T96" i="22"/>
  <c r="T97" i="22"/>
  <c r="T98" i="22"/>
  <c r="T99" i="22"/>
  <c r="T100" i="22"/>
  <c r="T101" i="22"/>
  <c r="T102" i="22"/>
  <c r="T11" i="21"/>
  <c r="T12" i="21"/>
  <c r="T13" i="21"/>
  <c r="T14" i="21"/>
  <c r="T15" i="21"/>
  <c r="T16" i="21"/>
  <c r="T17" i="21"/>
  <c r="T18" i="21"/>
  <c r="T19" i="21"/>
  <c r="T20" i="21"/>
  <c r="T21" i="21"/>
  <c r="T22" i="21"/>
  <c r="T23" i="21"/>
  <c r="T24" i="21"/>
  <c r="T25" i="21"/>
  <c r="T26" i="21"/>
  <c r="T27" i="21"/>
  <c r="T28" i="21"/>
  <c r="T29" i="21"/>
  <c r="T30" i="21"/>
  <c r="T31" i="21"/>
  <c r="T32" i="21"/>
  <c r="T33" i="21"/>
  <c r="T34" i="21"/>
  <c r="T35" i="21"/>
  <c r="T36" i="21"/>
  <c r="T37" i="21"/>
  <c r="T38" i="21"/>
  <c r="T39" i="21"/>
  <c r="T40" i="21"/>
  <c r="T41" i="21"/>
  <c r="T42" i="21"/>
  <c r="T43" i="21"/>
  <c r="T44" i="21"/>
  <c r="T45" i="21"/>
  <c r="T46" i="21"/>
  <c r="T47" i="21"/>
  <c r="T48" i="21"/>
  <c r="T49" i="21"/>
  <c r="T50" i="21"/>
  <c r="T51" i="21"/>
  <c r="T52" i="21"/>
  <c r="T53" i="21"/>
  <c r="T54" i="21"/>
  <c r="T55" i="21"/>
  <c r="T56" i="21"/>
  <c r="T57" i="21"/>
  <c r="T58" i="21"/>
  <c r="T59" i="21"/>
  <c r="T60" i="21"/>
  <c r="T61" i="21"/>
  <c r="T62" i="21"/>
  <c r="T63" i="21"/>
  <c r="T64" i="21"/>
  <c r="T65" i="21"/>
  <c r="T66" i="21"/>
  <c r="T67" i="21"/>
  <c r="T68" i="21"/>
  <c r="T69" i="21"/>
  <c r="T70" i="21"/>
  <c r="T71" i="21"/>
  <c r="T72" i="21"/>
  <c r="T73" i="21"/>
  <c r="T74" i="21"/>
  <c r="T75" i="21"/>
  <c r="T76" i="21"/>
  <c r="T77" i="21"/>
  <c r="T78" i="21"/>
  <c r="T79" i="21"/>
  <c r="T80" i="21"/>
  <c r="T81" i="21"/>
  <c r="T82" i="21"/>
  <c r="T83" i="21"/>
  <c r="T84" i="21"/>
  <c r="T85" i="21"/>
  <c r="T86" i="21"/>
  <c r="T87" i="21"/>
  <c r="T88" i="21"/>
  <c r="T89" i="21"/>
  <c r="T90" i="21"/>
  <c r="T91" i="21"/>
  <c r="T92" i="21"/>
  <c r="T93" i="21"/>
  <c r="T94" i="21"/>
  <c r="T95" i="21"/>
  <c r="T96" i="21"/>
  <c r="T97" i="21"/>
  <c r="T98" i="21"/>
  <c r="T99" i="21"/>
  <c r="T100" i="21"/>
  <c r="T101" i="21"/>
  <c r="T102" i="21"/>
  <c r="T11" i="20"/>
  <c r="T12" i="20"/>
  <c r="T13" i="20"/>
  <c r="T14" i="20"/>
  <c r="T15" i="20"/>
  <c r="T16" i="20"/>
  <c r="T17" i="20"/>
  <c r="T18" i="20"/>
  <c r="T19" i="20"/>
  <c r="T20" i="20"/>
  <c r="T21" i="20"/>
  <c r="T22" i="20"/>
  <c r="T23" i="20"/>
  <c r="T24" i="20"/>
  <c r="T25" i="20"/>
  <c r="T26" i="20"/>
  <c r="T27" i="20"/>
  <c r="T28" i="20"/>
  <c r="T29" i="20"/>
  <c r="T30" i="20"/>
  <c r="T31" i="20"/>
  <c r="T32" i="20"/>
  <c r="T33" i="20"/>
  <c r="T34" i="20"/>
  <c r="T35" i="20"/>
  <c r="T36" i="20"/>
  <c r="T37" i="20"/>
  <c r="T38" i="20"/>
  <c r="T39" i="20"/>
  <c r="T40" i="20"/>
  <c r="T41" i="20"/>
  <c r="T42" i="20"/>
  <c r="T43" i="20"/>
  <c r="T44" i="20"/>
  <c r="T45" i="20"/>
  <c r="T46" i="20"/>
  <c r="T47" i="20"/>
  <c r="T48" i="20"/>
  <c r="T49" i="20"/>
  <c r="T50" i="20"/>
  <c r="T51" i="20"/>
  <c r="T52" i="20"/>
  <c r="T53" i="20"/>
  <c r="T54" i="20"/>
  <c r="T55" i="20"/>
  <c r="T56" i="20"/>
  <c r="T57" i="20"/>
  <c r="T58" i="20"/>
  <c r="T59" i="20"/>
  <c r="T60" i="20"/>
  <c r="T61" i="20"/>
  <c r="T62" i="20"/>
  <c r="T63" i="20"/>
  <c r="T64" i="20"/>
  <c r="T65" i="20"/>
  <c r="T66" i="20"/>
  <c r="T67" i="20"/>
  <c r="T68" i="20"/>
  <c r="T69" i="20"/>
  <c r="T70" i="20"/>
  <c r="T71" i="20"/>
  <c r="T72" i="20"/>
  <c r="T73" i="20"/>
  <c r="T74" i="20"/>
  <c r="T75" i="20"/>
  <c r="T76" i="20"/>
  <c r="T77" i="20"/>
  <c r="T78" i="20"/>
  <c r="T79" i="20"/>
  <c r="T80" i="20"/>
  <c r="T81" i="20"/>
  <c r="T82" i="20"/>
  <c r="T83" i="20"/>
  <c r="T84" i="20"/>
  <c r="T85" i="20"/>
  <c r="T86" i="20"/>
  <c r="T87" i="20"/>
  <c r="T88" i="20"/>
  <c r="T89" i="20"/>
  <c r="T90" i="20"/>
  <c r="T91" i="20"/>
  <c r="T92" i="20"/>
  <c r="T93" i="20"/>
  <c r="T94" i="20"/>
  <c r="T95" i="20"/>
  <c r="T96" i="20"/>
  <c r="T97" i="20"/>
  <c r="T98" i="20"/>
  <c r="T99" i="20"/>
  <c r="T100" i="20"/>
  <c r="T101" i="20"/>
  <c r="T102" i="20"/>
  <c r="T11" i="18"/>
  <c r="T12" i="18"/>
  <c r="T13" i="18"/>
  <c r="T14" i="18"/>
  <c r="T15" i="18"/>
  <c r="T16" i="18"/>
  <c r="T17" i="18"/>
  <c r="T18" i="18"/>
  <c r="T19" i="18"/>
  <c r="T20" i="18"/>
  <c r="T21" i="18"/>
  <c r="T22" i="18"/>
  <c r="T23" i="18"/>
  <c r="T24" i="18"/>
  <c r="T25" i="18"/>
  <c r="T26" i="18"/>
  <c r="T27" i="18"/>
  <c r="T28" i="18"/>
  <c r="T29" i="18"/>
  <c r="T30" i="18"/>
  <c r="T31" i="18"/>
  <c r="T32" i="18"/>
  <c r="T33" i="18"/>
  <c r="T34" i="18"/>
  <c r="T35" i="18"/>
  <c r="T36" i="18"/>
  <c r="T37" i="18"/>
  <c r="T38" i="18"/>
  <c r="T39" i="18"/>
  <c r="T40" i="18"/>
  <c r="T41" i="18"/>
  <c r="T42" i="18"/>
  <c r="T43" i="18"/>
  <c r="T44" i="18"/>
  <c r="T45" i="18"/>
  <c r="T46" i="18"/>
  <c r="T47" i="18"/>
  <c r="T48" i="18"/>
  <c r="T49" i="18"/>
  <c r="T50" i="18"/>
  <c r="T51" i="18"/>
  <c r="T52" i="18"/>
  <c r="T53" i="18"/>
  <c r="T54" i="18"/>
  <c r="T55" i="18"/>
  <c r="T56" i="18"/>
  <c r="T57" i="18"/>
  <c r="T58" i="18"/>
  <c r="T59" i="18"/>
  <c r="T60" i="18"/>
  <c r="T61" i="18"/>
  <c r="T62" i="18"/>
  <c r="T63" i="18"/>
  <c r="T64" i="18"/>
  <c r="T65" i="18"/>
  <c r="T66" i="18"/>
  <c r="T67" i="18"/>
  <c r="T68" i="18"/>
  <c r="T69" i="18"/>
  <c r="T70" i="18"/>
  <c r="T71" i="18"/>
  <c r="T72" i="18"/>
  <c r="T73" i="18"/>
  <c r="T74" i="18"/>
  <c r="T75" i="18"/>
  <c r="T76" i="18"/>
  <c r="T77" i="18"/>
  <c r="T78" i="18"/>
  <c r="T79" i="18"/>
  <c r="T80" i="18"/>
  <c r="T81" i="18"/>
  <c r="T82" i="18"/>
  <c r="T83" i="18"/>
  <c r="T84" i="18"/>
  <c r="T85" i="18"/>
  <c r="T86" i="18"/>
  <c r="T87" i="18"/>
  <c r="T88" i="18"/>
  <c r="T89" i="18"/>
  <c r="T90" i="18"/>
  <c r="T91" i="18"/>
  <c r="T92" i="18"/>
  <c r="T93" i="18"/>
  <c r="T94" i="18"/>
  <c r="T95" i="18"/>
  <c r="T96" i="18"/>
  <c r="T97" i="18"/>
  <c r="T98" i="18"/>
  <c r="T99" i="18"/>
  <c r="T100" i="18"/>
  <c r="T101" i="18"/>
  <c r="T102" i="18"/>
  <c r="T11" i="17"/>
  <c r="T12" i="17"/>
  <c r="T13" i="17"/>
  <c r="T14" i="17"/>
  <c r="T15" i="17"/>
  <c r="T16" i="17"/>
  <c r="T17" i="17"/>
  <c r="T18" i="17"/>
  <c r="T19" i="17"/>
  <c r="T20" i="17"/>
  <c r="T21" i="17"/>
  <c r="T22" i="17"/>
  <c r="T23" i="17"/>
  <c r="T24" i="17"/>
  <c r="T25" i="17"/>
  <c r="T26" i="17"/>
  <c r="T27" i="17"/>
  <c r="T28" i="17"/>
  <c r="T29" i="17"/>
  <c r="T30" i="17"/>
  <c r="T31" i="17"/>
  <c r="T32" i="17"/>
  <c r="T33" i="17"/>
  <c r="T34" i="17"/>
  <c r="T35" i="17"/>
  <c r="T36" i="17"/>
  <c r="T37" i="17"/>
  <c r="T38" i="17"/>
  <c r="T39" i="17"/>
  <c r="T40" i="17"/>
  <c r="T41" i="17"/>
  <c r="T42" i="17"/>
  <c r="T43" i="17"/>
  <c r="T44" i="17"/>
  <c r="T45" i="17"/>
  <c r="T46" i="17"/>
  <c r="T47" i="17"/>
  <c r="T48" i="17"/>
  <c r="T49" i="17"/>
  <c r="T50" i="17"/>
  <c r="T51" i="17"/>
  <c r="T52" i="17"/>
  <c r="T53" i="17"/>
  <c r="T54" i="17"/>
  <c r="T55" i="17"/>
  <c r="T56" i="17"/>
  <c r="T57" i="17"/>
  <c r="T58" i="17"/>
  <c r="T59" i="17"/>
  <c r="T60" i="17"/>
  <c r="T61" i="17"/>
  <c r="T62" i="17"/>
  <c r="T63" i="17"/>
  <c r="T64" i="17"/>
  <c r="T65" i="17"/>
  <c r="T66" i="17"/>
  <c r="T67" i="17"/>
  <c r="T68" i="17"/>
  <c r="T69" i="17"/>
  <c r="T70" i="17"/>
  <c r="T71" i="17"/>
  <c r="T72" i="17"/>
  <c r="T73" i="17"/>
  <c r="T74" i="17"/>
  <c r="T75" i="17"/>
  <c r="T76" i="17"/>
  <c r="T77" i="17"/>
  <c r="T78" i="17"/>
  <c r="T79" i="17"/>
  <c r="T80" i="17"/>
  <c r="T81" i="17"/>
  <c r="T82" i="17"/>
  <c r="T83" i="17"/>
  <c r="T84" i="17"/>
  <c r="T85" i="17"/>
  <c r="T86" i="17"/>
  <c r="T87" i="17"/>
  <c r="T88" i="17"/>
  <c r="T89" i="17"/>
  <c r="T90" i="17"/>
  <c r="T91" i="17"/>
  <c r="T92" i="17"/>
  <c r="T93" i="17"/>
  <c r="T94" i="17"/>
  <c r="T95" i="17"/>
  <c r="T96" i="17"/>
  <c r="T97" i="17"/>
  <c r="T98" i="17"/>
  <c r="T99" i="17"/>
  <c r="T100" i="17"/>
  <c r="T101" i="17"/>
  <c r="T102" i="17"/>
  <c r="T11" i="16"/>
  <c r="T12" i="16"/>
  <c r="T13" i="16"/>
  <c r="T14" i="16"/>
  <c r="T15" i="16"/>
  <c r="T16" i="16"/>
  <c r="T17" i="16"/>
  <c r="T18" i="16"/>
  <c r="T19" i="16"/>
  <c r="T20" i="16"/>
  <c r="T21" i="16"/>
  <c r="T22" i="16"/>
  <c r="T23" i="16"/>
  <c r="T24" i="16"/>
  <c r="T25" i="16"/>
  <c r="T26" i="16"/>
  <c r="T27" i="16"/>
  <c r="T28" i="16"/>
  <c r="T29" i="16"/>
  <c r="T30" i="16"/>
  <c r="T31" i="16"/>
  <c r="T32" i="16"/>
  <c r="T33" i="16"/>
  <c r="T34" i="16"/>
  <c r="T35" i="16"/>
  <c r="T36" i="16"/>
  <c r="T37" i="16"/>
  <c r="T38" i="16"/>
  <c r="T39" i="16"/>
  <c r="T40" i="16"/>
  <c r="T41" i="16"/>
  <c r="T42" i="16"/>
  <c r="T43" i="16"/>
  <c r="T44" i="16"/>
  <c r="T45" i="16"/>
  <c r="T46" i="16"/>
  <c r="T47" i="16"/>
  <c r="T48" i="16"/>
  <c r="T49" i="16"/>
  <c r="T50" i="16"/>
  <c r="T51" i="16"/>
  <c r="T52" i="16"/>
  <c r="T53" i="16"/>
  <c r="T54" i="16"/>
  <c r="T55" i="16"/>
  <c r="T56" i="16"/>
  <c r="T57" i="16"/>
  <c r="T58" i="16"/>
  <c r="T59" i="16"/>
  <c r="T60" i="16"/>
  <c r="T61" i="16"/>
  <c r="T62" i="16"/>
  <c r="T63" i="16"/>
  <c r="T64" i="16"/>
  <c r="T65" i="16"/>
  <c r="T66" i="16"/>
  <c r="T67" i="16"/>
  <c r="T68" i="16"/>
  <c r="T69" i="16"/>
  <c r="T70" i="16"/>
  <c r="T71" i="16"/>
  <c r="T72" i="16"/>
  <c r="T73" i="16"/>
  <c r="T74" i="16"/>
  <c r="T75" i="16"/>
  <c r="T76" i="16"/>
  <c r="T77" i="16"/>
  <c r="T78" i="16"/>
  <c r="T79" i="16"/>
  <c r="T80" i="16"/>
  <c r="T81" i="16"/>
  <c r="T82" i="16"/>
  <c r="T83" i="16"/>
  <c r="T84" i="16"/>
  <c r="T85" i="16"/>
  <c r="T86" i="16"/>
  <c r="T87" i="16"/>
  <c r="T88" i="16"/>
  <c r="T89" i="16"/>
  <c r="T90" i="16"/>
  <c r="T91" i="16"/>
  <c r="T92" i="16"/>
  <c r="T93" i="16"/>
  <c r="T94" i="16"/>
  <c r="T95" i="16"/>
  <c r="T96" i="16"/>
  <c r="T97" i="16"/>
  <c r="T98" i="16"/>
  <c r="T99" i="16"/>
  <c r="T100" i="16"/>
  <c r="T101" i="16"/>
  <c r="T102" i="16"/>
  <c r="T10" i="24"/>
  <c r="T10" i="23"/>
  <c r="T10" i="22"/>
  <c r="T10" i="21"/>
  <c r="T10" i="20"/>
  <c r="T10" i="18"/>
  <c r="T10" i="17"/>
  <c r="T10" i="16"/>
  <c r="T11" i="15"/>
  <c r="T12" i="15"/>
  <c r="T13" i="15"/>
  <c r="T14" i="15"/>
  <c r="T15" i="15"/>
  <c r="T16" i="15"/>
  <c r="T17" i="15"/>
  <c r="T18" i="15"/>
  <c r="T19" i="15"/>
  <c r="T20" i="15"/>
  <c r="T21" i="15"/>
  <c r="T22" i="15"/>
  <c r="T23" i="15"/>
  <c r="T24" i="15"/>
  <c r="T25" i="15"/>
  <c r="T26" i="15"/>
  <c r="T27" i="15"/>
  <c r="T28" i="15"/>
  <c r="T29" i="15"/>
  <c r="T30" i="15"/>
  <c r="T31" i="15"/>
  <c r="T32" i="15"/>
  <c r="T33" i="15"/>
  <c r="T34" i="15"/>
  <c r="T35" i="15"/>
  <c r="T36" i="15"/>
  <c r="T37" i="15"/>
  <c r="T38" i="15"/>
  <c r="T39" i="15"/>
  <c r="T40" i="15"/>
  <c r="T41" i="15"/>
  <c r="T42" i="15"/>
  <c r="T43" i="15"/>
  <c r="T44" i="15"/>
  <c r="T45" i="15"/>
  <c r="T46" i="15"/>
  <c r="T47" i="15"/>
  <c r="T48" i="15"/>
  <c r="T49" i="15"/>
  <c r="T50" i="15"/>
  <c r="T51" i="15"/>
  <c r="T52" i="15"/>
  <c r="T53" i="15"/>
  <c r="T54" i="15"/>
  <c r="T55" i="15"/>
  <c r="T56" i="15"/>
  <c r="T57" i="15"/>
  <c r="T58" i="15"/>
  <c r="T59" i="15"/>
  <c r="T60" i="15"/>
  <c r="T61" i="15"/>
  <c r="T62" i="15"/>
  <c r="T63" i="15"/>
  <c r="T64" i="15"/>
  <c r="T65" i="15"/>
  <c r="T66" i="15"/>
  <c r="T67" i="15"/>
  <c r="T68" i="15"/>
  <c r="T69" i="15"/>
  <c r="T70" i="15"/>
  <c r="T71" i="15"/>
  <c r="T72" i="15"/>
  <c r="T73" i="15"/>
  <c r="T74" i="15"/>
  <c r="T75" i="15"/>
  <c r="T76" i="15"/>
  <c r="T77" i="15"/>
  <c r="T78" i="15"/>
  <c r="T79" i="15"/>
  <c r="T80" i="15"/>
  <c r="T81" i="15"/>
  <c r="T82" i="15"/>
  <c r="T83" i="15"/>
  <c r="T84" i="15"/>
  <c r="T85" i="15"/>
  <c r="T86" i="15"/>
  <c r="T87" i="15"/>
  <c r="T88" i="15"/>
  <c r="T89" i="15"/>
  <c r="T90" i="15"/>
  <c r="T91" i="15"/>
  <c r="T92" i="15"/>
  <c r="T93" i="15"/>
  <c r="T94" i="15"/>
  <c r="T95" i="15"/>
  <c r="T96" i="15"/>
  <c r="T97" i="15"/>
  <c r="T98" i="15"/>
  <c r="T99" i="15"/>
  <c r="T100" i="15"/>
  <c r="T101" i="15"/>
  <c r="T102" i="15"/>
  <c r="T10" i="15"/>
  <c r="T11" i="14"/>
  <c r="T12" i="14"/>
  <c r="T13" i="14"/>
  <c r="T14" i="14"/>
  <c r="T15" i="14"/>
  <c r="T16" i="14"/>
  <c r="T17" i="14"/>
  <c r="T18" i="14"/>
  <c r="T19" i="14"/>
  <c r="T20" i="14"/>
  <c r="T21" i="14"/>
  <c r="T22" i="14"/>
  <c r="T23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T37" i="14"/>
  <c r="T38" i="14"/>
  <c r="T39" i="14"/>
  <c r="T40" i="14"/>
  <c r="T41" i="14"/>
  <c r="T42" i="14"/>
  <c r="T43" i="14"/>
  <c r="T44" i="14"/>
  <c r="T45" i="14"/>
  <c r="T46" i="14"/>
  <c r="T47" i="14"/>
  <c r="T48" i="14"/>
  <c r="T49" i="14"/>
  <c r="T50" i="14"/>
  <c r="T51" i="14"/>
  <c r="T52" i="14"/>
  <c r="T53" i="14"/>
  <c r="T54" i="14"/>
  <c r="T55" i="14"/>
  <c r="T56" i="14"/>
  <c r="T57" i="14"/>
  <c r="T58" i="14"/>
  <c r="T59" i="14"/>
  <c r="T60" i="14"/>
  <c r="T61" i="14"/>
  <c r="T62" i="14"/>
  <c r="T63" i="14"/>
  <c r="T64" i="14"/>
  <c r="T65" i="14"/>
  <c r="T66" i="14"/>
  <c r="T67" i="14"/>
  <c r="T68" i="14"/>
  <c r="T69" i="14"/>
  <c r="T71" i="14"/>
  <c r="T72" i="14"/>
  <c r="T73" i="14"/>
  <c r="T74" i="14"/>
  <c r="T75" i="14"/>
  <c r="T76" i="14"/>
  <c r="T77" i="14"/>
  <c r="T78" i="14"/>
  <c r="T79" i="14"/>
  <c r="T80" i="14"/>
  <c r="T81" i="14"/>
  <c r="T82" i="14"/>
  <c r="T83" i="14"/>
  <c r="T84" i="14"/>
  <c r="T85" i="14"/>
  <c r="T86" i="14"/>
  <c r="T87" i="14"/>
  <c r="T88" i="14"/>
  <c r="T89" i="14"/>
  <c r="T90" i="14"/>
  <c r="T91" i="14"/>
  <c r="T92" i="14"/>
  <c r="T93" i="14"/>
  <c r="T94" i="14"/>
  <c r="T95" i="14"/>
  <c r="T96" i="14"/>
  <c r="T97" i="14"/>
  <c r="T98" i="14"/>
  <c r="T99" i="14"/>
  <c r="T100" i="14"/>
  <c r="V100" i="14" s="1"/>
  <c r="T101" i="14"/>
  <c r="T102" i="14"/>
  <c r="T10" i="14"/>
  <c r="T11" i="13"/>
  <c r="T12" i="13"/>
  <c r="T13" i="13"/>
  <c r="T14" i="13"/>
  <c r="T15" i="13"/>
  <c r="T16" i="13"/>
  <c r="T17" i="13"/>
  <c r="T18" i="13"/>
  <c r="T19" i="13"/>
  <c r="T20" i="13"/>
  <c r="T21" i="13"/>
  <c r="T22" i="13"/>
  <c r="T23" i="13"/>
  <c r="T24" i="13"/>
  <c r="T25" i="13"/>
  <c r="T26" i="13"/>
  <c r="T27" i="13"/>
  <c r="T28" i="13"/>
  <c r="T29" i="13"/>
  <c r="T30" i="13"/>
  <c r="T31" i="13"/>
  <c r="T32" i="13"/>
  <c r="T33" i="13"/>
  <c r="T34" i="13"/>
  <c r="T35" i="13"/>
  <c r="T36" i="13"/>
  <c r="T37" i="13"/>
  <c r="T38" i="13"/>
  <c r="T39" i="13"/>
  <c r="T40" i="13"/>
  <c r="T41" i="13"/>
  <c r="T42" i="13"/>
  <c r="T43" i="13"/>
  <c r="T44" i="13"/>
  <c r="T45" i="13"/>
  <c r="T46" i="13"/>
  <c r="T47" i="13"/>
  <c r="T48" i="13"/>
  <c r="T49" i="13"/>
  <c r="T50" i="13"/>
  <c r="T51" i="13"/>
  <c r="T52" i="13"/>
  <c r="T53" i="13"/>
  <c r="T54" i="13"/>
  <c r="T55" i="13"/>
  <c r="T56" i="13"/>
  <c r="T57" i="13"/>
  <c r="T58" i="13"/>
  <c r="T59" i="13"/>
  <c r="T60" i="13"/>
  <c r="T61" i="13"/>
  <c r="T62" i="13"/>
  <c r="T63" i="13"/>
  <c r="T64" i="13"/>
  <c r="T65" i="13"/>
  <c r="T66" i="13"/>
  <c r="T67" i="13"/>
  <c r="T68" i="13"/>
  <c r="T69" i="13"/>
  <c r="T70" i="13"/>
  <c r="T71" i="13"/>
  <c r="T72" i="13"/>
  <c r="T73" i="13"/>
  <c r="T74" i="13"/>
  <c r="T75" i="13"/>
  <c r="T76" i="13"/>
  <c r="T77" i="13"/>
  <c r="T78" i="13"/>
  <c r="T79" i="13"/>
  <c r="T80" i="13"/>
  <c r="T81" i="13"/>
  <c r="T82" i="13"/>
  <c r="T83" i="13"/>
  <c r="T84" i="13"/>
  <c r="T85" i="13"/>
  <c r="T86" i="13"/>
  <c r="T87" i="13"/>
  <c r="T88" i="13"/>
  <c r="T89" i="13"/>
  <c r="T90" i="13"/>
  <c r="T91" i="13"/>
  <c r="T92" i="13"/>
  <c r="T93" i="13"/>
  <c r="T94" i="13"/>
  <c r="T95" i="13"/>
  <c r="T96" i="13"/>
  <c r="T97" i="13"/>
  <c r="T98" i="13"/>
  <c r="T99" i="13"/>
  <c r="T100" i="13"/>
  <c r="T101" i="13"/>
  <c r="T102" i="13"/>
  <c r="T10" i="13"/>
  <c r="M5" i="26"/>
  <c r="C5" i="26"/>
  <c r="H98" i="27" l="1"/>
  <c r="H90" i="27"/>
  <c r="H82" i="27"/>
  <c r="H74" i="27"/>
  <c r="H66" i="27"/>
  <c r="H58" i="27"/>
  <c r="H50" i="27"/>
  <c r="H42" i="27"/>
  <c r="H34" i="27"/>
  <c r="H26" i="27"/>
  <c r="H18" i="27"/>
  <c r="K102" i="27"/>
  <c r="K94" i="27"/>
  <c r="K86" i="27"/>
  <c r="K78" i="27"/>
  <c r="K70" i="27"/>
  <c r="K62" i="27"/>
  <c r="K54" i="27"/>
  <c r="K46" i="27"/>
  <c r="K38" i="27"/>
  <c r="K30" i="27"/>
  <c r="K22" i="27"/>
  <c r="K14" i="27"/>
  <c r="H104" i="26"/>
  <c r="K105" i="26"/>
  <c r="U51" i="26"/>
  <c r="K106" i="22"/>
  <c r="H105" i="26"/>
  <c r="H103" i="26"/>
  <c r="K106" i="16"/>
  <c r="H106" i="16"/>
  <c r="K106" i="15"/>
  <c r="H106" i="15"/>
  <c r="K106" i="14"/>
  <c r="H106" i="14"/>
  <c r="K106" i="13"/>
  <c r="H95" i="27"/>
  <c r="H87" i="27"/>
  <c r="H79" i="27"/>
  <c r="H71" i="27"/>
  <c r="H63" i="27"/>
  <c r="H55" i="27"/>
  <c r="H47" i="27"/>
  <c r="H39" i="27"/>
  <c r="H31" i="27"/>
  <c r="H23" i="27"/>
  <c r="H15" i="27"/>
  <c r="K103" i="25"/>
  <c r="K19" i="27"/>
  <c r="K104" i="25"/>
  <c r="K11" i="27"/>
  <c r="K89" i="27"/>
  <c r="K81" i="27"/>
  <c r="K65" i="27"/>
  <c r="K57" i="27"/>
  <c r="K49" i="27"/>
  <c r="K41" i="27"/>
  <c r="K25" i="27"/>
  <c r="K17" i="27"/>
  <c r="H10" i="27"/>
  <c r="K105" i="25"/>
  <c r="K90" i="27"/>
  <c r="K82" i="27"/>
  <c r="K74" i="27"/>
  <c r="K66" i="27"/>
  <c r="K58" i="27"/>
  <c r="K50" i="27"/>
  <c r="K42" i="27"/>
  <c r="K26" i="27"/>
  <c r="K18" i="27"/>
  <c r="K106" i="12"/>
  <c r="H106" i="12"/>
  <c r="H105" i="25"/>
  <c r="H104" i="25"/>
  <c r="H106" i="13"/>
  <c r="K103" i="26"/>
  <c r="K106" i="26" s="1"/>
  <c r="K104" i="26"/>
  <c r="H106" i="26"/>
  <c r="H103" i="25"/>
  <c r="M5" i="25"/>
  <c r="M5" i="27" s="1"/>
  <c r="E11" i="13"/>
  <c r="M11" i="13" s="1"/>
  <c r="E12" i="13"/>
  <c r="M12" i="13" s="1"/>
  <c r="E13" i="13"/>
  <c r="M13" i="13" s="1"/>
  <c r="E14" i="13"/>
  <c r="M14" i="13" s="1"/>
  <c r="E15" i="13"/>
  <c r="M15" i="13" s="1"/>
  <c r="E16" i="13"/>
  <c r="M16" i="13" s="1"/>
  <c r="E17" i="13"/>
  <c r="M17" i="13" s="1"/>
  <c r="E18" i="13"/>
  <c r="M18" i="13" s="1"/>
  <c r="E19" i="13"/>
  <c r="M19" i="13" s="1"/>
  <c r="E20" i="13"/>
  <c r="M20" i="13" s="1"/>
  <c r="E21" i="13"/>
  <c r="M21" i="13" s="1"/>
  <c r="E22" i="13"/>
  <c r="M22" i="13" s="1"/>
  <c r="E23" i="13"/>
  <c r="M23" i="13" s="1"/>
  <c r="E24" i="13"/>
  <c r="M24" i="13" s="1"/>
  <c r="E25" i="13"/>
  <c r="M25" i="13" s="1"/>
  <c r="E26" i="13"/>
  <c r="M26" i="13" s="1"/>
  <c r="E27" i="13"/>
  <c r="M27" i="13" s="1"/>
  <c r="E28" i="13"/>
  <c r="M28" i="13" s="1"/>
  <c r="E29" i="13"/>
  <c r="M29" i="13" s="1"/>
  <c r="E30" i="13"/>
  <c r="M30" i="13" s="1"/>
  <c r="E31" i="13"/>
  <c r="M31" i="13" s="1"/>
  <c r="E32" i="13"/>
  <c r="M32" i="13" s="1"/>
  <c r="E33" i="13"/>
  <c r="M33" i="13" s="1"/>
  <c r="E34" i="13"/>
  <c r="M34" i="13" s="1"/>
  <c r="E35" i="13"/>
  <c r="M35" i="13" s="1"/>
  <c r="E36" i="13"/>
  <c r="M36" i="13" s="1"/>
  <c r="E37" i="13"/>
  <c r="M37" i="13" s="1"/>
  <c r="E38" i="13"/>
  <c r="M38" i="13" s="1"/>
  <c r="E39" i="13"/>
  <c r="M39" i="13" s="1"/>
  <c r="E40" i="13"/>
  <c r="M40" i="13" s="1"/>
  <c r="E41" i="13"/>
  <c r="M41" i="13" s="1"/>
  <c r="E42" i="13"/>
  <c r="M42" i="13" s="1"/>
  <c r="E43" i="13"/>
  <c r="M43" i="13" s="1"/>
  <c r="E44" i="13"/>
  <c r="M44" i="13" s="1"/>
  <c r="E45" i="13"/>
  <c r="M45" i="13" s="1"/>
  <c r="E46" i="13"/>
  <c r="M46" i="13" s="1"/>
  <c r="E47" i="13"/>
  <c r="M47" i="13" s="1"/>
  <c r="E48" i="13"/>
  <c r="M48" i="13" s="1"/>
  <c r="E49" i="13"/>
  <c r="M49" i="13" s="1"/>
  <c r="E50" i="13"/>
  <c r="M50" i="13" s="1"/>
  <c r="E51" i="13"/>
  <c r="M51" i="13" s="1"/>
  <c r="E52" i="13"/>
  <c r="M52" i="13" s="1"/>
  <c r="E53" i="13"/>
  <c r="M53" i="13" s="1"/>
  <c r="E54" i="13"/>
  <c r="M54" i="13" s="1"/>
  <c r="E55" i="13"/>
  <c r="M55" i="13" s="1"/>
  <c r="E56" i="13"/>
  <c r="M56" i="13" s="1"/>
  <c r="E57" i="13"/>
  <c r="M57" i="13" s="1"/>
  <c r="E58" i="13"/>
  <c r="M58" i="13" s="1"/>
  <c r="E59" i="13"/>
  <c r="M59" i="13" s="1"/>
  <c r="E60" i="13"/>
  <c r="M60" i="13" s="1"/>
  <c r="E61" i="13"/>
  <c r="M61" i="13" s="1"/>
  <c r="E62" i="13"/>
  <c r="M62" i="13" s="1"/>
  <c r="E63" i="13"/>
  <c r="M63" i="13" s="1"/>
  <c r="E64" i="13"/>
  <c r="M64" i="13" s="1"/>
  <c r="E65" i="13"/>
  <c r="M65" i="13" s="1"/>
  <c r="E66" i="13"/>
  <c r="M66" i="13" s="1"/>
  <c r="E67" i="13"/>
  <c r="M67" i="13" s="1"/>
  <c r="E68" i="13"/>
  <c r="M68" i="13" s="1"/>
  <c r="E69" i="13"/>
  <c r="M69" i="13" s="1"/>
  <c r="E70" i="13"/>
  <c r="M70" i="13" s="1"/>
  <c r="E71" i="13"/>
  <c r="M71" i="13" s="1"/>
  <c r="E72" i="13"/>
  <c r="M72" i="13" s="1"/>
  <c r="E73" i="13"/>
  <c r="M73" i="13" s="1"/>
  <c r="E74" i="13"/>
  <c r="M74" i="13" s="1"/>
  <c r="E75" i="13"/>
  <c r="M75" i="13" s="1"/>
  <c r="E76" i="13"/>
  <c r="M76" i="13" s="1"/>
  <c r="E77" i="13"/>
  <c r="M77" i="13" s="1"/>
  <c r="E78" i="13"/>
  <c r="M78" i="13" s="1"/>
  <c r="E79" i="13"/>
  <c r="M79" i="13" s="1"/>
  <c r="E80" i="13"/>
  <c r="M80" i="13" s="1"/>
  <c r="E81" i="13"/>
  <c r="M81" i="13" s="1"/>
  <c r="E82" i="13"/>
  <c r="M82" i="13" s="1"/>
  <c r="E83" i="13"/>
  <c r="M83" i="13" s="1"/>
  <c r="E84" i="13"/>
  <c r="M84" i="13" s="1"/>
  <c r="E85" i="13"/>
  <c r="M85" i="13" s="1"/>
  <c r="E86" i="13"/>
  <c r="M86" i="13" s="1"/>
  <c r="E87" i="13"/>
  <c r="M87" i="13" s="1"/>
  <c r="E88" i="13"/>
  <c r="M88" i="13" s="1"/>
  <c r="E89" i="13"/>
  <c r="M89" i="13" s="1"/>
  <c r="E90" i="13"/>
  <c r="M90" i="13" s="1"/>
  <c r="E91" i="13"/>
  <c r="M91" i="13" s="1"/>
  <c r="E92" i="13"/>
  <c r="M92" i="13" s="1"/>
  <c r="E93" i="13"/>
  <c r="M93" i="13" s="1"/>
  <c r="E94" i="13"/>
  <c r="M94" i="13" s="1"/>
  <c r="E95" i="13"/>
  <c r="M95" i="13" s="1"/>
  <c r="E96" i="13"/>
  <c r="M96" i="13" s="1"/>
  <c r="E97" i="13"/>
  <c r="M97" i="13" s="1"/>
  <c r="E98" i="13"/>
  <c r="M98" i="13" s="1"/>
  <c r="E99" i="13"/>
  <c r="M99" i="13" s="1"/>
  <c r="E100" i="13"/>
  <c r="M100" i="13" s="1"/>
  <c r="E101" i="13"/>
  <c r="M101" i="13" s="1"/>
  <c r="E102" i="13"/>
  <c r="M102" i="13" s="1"/>
  <c r="E10" i="13"/>
  <c r="M10" i="13" s="1"/>
  <c r="E11" i="14"/>
  <c r="M11" i="14" s="1"/>
  <c r="E12" i="14"/>
  <c r="M12" i="14" s="1"/>
  <c r="E13" i="14"/>
  <c r="M13" i="14" s="1"/>
  <c r="E14" i="14"/>
  <c r="E15" i="14"/>
  <c r="E16" i="14"/>
  <c r="M16" i="14" s="1"/>
  <c r="E17" i="14"/>
  <c r="M17" i="14" s="1"/>
  <c r="E18" i="14"/>
  <c r="M18" i="14" s="1"/>
  <c r="E19" i="14"/>
  <c r="M19" i="14" s="1"/>
  <c r="E20" i="14"/>
  <c r="M20" i="14" s="1"/>
  <c r="E21" i="14"/>
  <c r="M21" i="14" s="1"/>
  <c r="E22" i="14"/>
  <c r="M22" i="14" s="1"/>
  <c r="E23" i="14"/>
  <c r="M23" i="14" s="1"/>
  <c r="E24" i="14"/>
  <c r="M24" i="14" s="1"/>
  <c r="E25" i="14"/>
  <c r="M25" i="14" s="1"/>
  <c r="E26" i="14"/>
  <c r="M26" i="14" s="1"/>
  <c r="E27" i="14"/>
  <c r="M27" i="14" s="1"/>
  <c r="E28" i="14"/>
  <c r="M28" i="14" s="1"/>
  <c r="E29" i="14"/>
  <c r="M29" i="14" s="1"/>
  <c r="E30" i="14"/>
  <c r="M30" i="14" s="1"/>
  <c r="E31" i="14"/>
  <c r="M31" i="14" s="1"/>
  <c r="E32" i="14"/>
  <c r="M32" i="14" s="1"/>
  <c r="E33" i="14"/>
  <c r="M33" i="14" s="1"/>
  <c r="E34" i="14"/>
  <c r="M34" i="14" s="1"/>
  <c r="E35" i="14"/>
  <c r="M35" i="14" s="1"/>
  <c r="E36" i="14"/>
  <c r="M36" i="14" s="1"/>
  <c r="E37" i="14"/>
  <c r="M37" i="14" s="1"/>
  <c r="E38" i="14"/>
  <c r="M38" i="14" s="1"/>
  <c r="E39" i="14"/>
  <c r="M39" i="14" s="1"/>
  <c r="E40" i="14"/>
  <c r="M40" i="14" s="1"/>
  <c r="E41" i="14"/>
  <c r="M42" i="14" s="1"/>
  <c r="E42" i="14"/>
  <c r="M41" i="14" s="1"/>
  <c r="E43" i="14"/>
  <c r="M43" i="14" s="1"/>
  <c r="E44" i="14"/>
  <c r="M44" i="14" s="1"/>
  <c r="E45" i="14"/>
  <c r="M45" i="14" s="1"/>
  <c r="E46" i="14"/>
  <c r="M46" i="14" s="1"/>
  <c r="E47" i="14"/>
  <c r="M47" i="14" s="1"/>
  <c r="E48" i="14"/>
  <c r="M48" i="14" s="1"/>
  <c r="E49" i="14"/>
  <c r="M49" i="14" s="1"/>
  <c r="E50" i="14"/>
  <c r="M50" i="14" s="1"/>
  <c r="E51" i="14"/>
  <c r="M51" i="14" s="1"/>
  <c r="E52" i="14"/>
  <c r="M52" i="14" s="1"/>
  <c r="E53" i="14"/>
  <c r="M53" i="14" s="1"/>
  <c r="E54" i="14"/>
  <c r="M54" i="14" s="1"/>
  <c r="E55" i="14"/>
  <c r="M55" i="14" s="1"/>
  <c r="E56" i="14"/>
  <c r="M56" i="14" s="1"/>
  <c r="E57" i="14"/>
  <c r="M57" i="14" s="1"/>
  <c r="E58" i="14"/>
  <c r="M58" i="14" s="1"/>
  <c r="E59" i="14"/>
  <c r="M59" i="14" s="1"/>
  <c r="E60" i="14"/>
  <c r="M60" i="14" s="1"/>
  <c r="E61" i="14"/>
  <c r="M61" i="14" s="1"/>
  <c r="E62" i="14"/>
  <c r="M62" i="14" s="1"/>
  <c r="E63" i="14"/>
  <c r="M63" i="14" s="1"/>
  <c r="E64" i="14"/>
  <c r="M64" i="14" s="1"/>
  <c r="E65" i="14"/>
  <c r="M65" i="14" s="1"/>
  <c r="E66" i="14"/>
  <c r="M66" i="14" s="1"/>
  <c r="E67" i="14"/>
  <c r="M67" i="14" s="1"/>
  <c r="E68" i="14"/>
  <c r="M68" i="14" s="1"/>
  <c r="E69" i="14"/>
  <c r="M69" i="14" s="1"/>
  <c r="E70" i="14"/>
  <c r="M70" i="14" s="1"/>
  <c r="E71" i="14"/>
  <c r="M71" i="14" s="1"/>
  <c r="E72" i="14"/>
  <c r="M72" i="14" s="1"/>
  <c r="E73" i="14"/>
  <c r="M73" i="14" s="1"/>
  <c r="E74" i="14"/>
  <c r="M74" i="14" s="1"/>
  <c r="E75" i="14"/>
  <c r="M75" i="14" s="1"/>
  <c r="E76" i="14"/>
  <c r="M76" i="14" s="1"/>
  <c r="E77" i="14"/>
  <c r="M77" i="14" s="1"/>
  <c r="E78" i="14"/>
  <c r="M78" i="14" s="1"/>
  <c r="E79" i="14"/>
  <c r="M79" i="14" s="1"/>
  <c r="E80" i="14"/>
  <c r="M80" i="14" s="1"/>
  <c r="E81" i="14"/>
  <c r="M81" i="14" s="1"/>
  <c r="E82" i="14"/>
  <c r="M82" i="14" s="1"/>
  <c r="E83" i="14"/>
  <c r="M83" i="14" s="1"/>
  <c r="E84" i="14"/>
  <c r="M84" i="14" s="1"/>
  <c r="E85" i="14"/>
  <c r="M85" i="14" s="1"/>
  <c r="E86" i="14"/>
  <c r="M86" i="14" s="1"/>
  <c r="E87" i="14"/>
  <c r="M87" i="14" s="1"/>
  <c r="E88" i="14"/>
  <c r="M88" i="14" s="1"/>
  <c r="E89" i="14"/>
  <c r="M89" i="14" s="1"/>
  <c r="E90" i="14"/>
  <c r="M90" i="14" s="1"/>
  <c r="E91" i="14"/>
  <c r="M91" i="14" s="1"/>
  <c r="E92" i="14"/>
  <c r="M92" i="14" s="1"/>
  <c r="E93" i="14"/>
  <c r="M93" i="14" s="1"/>
  <c r="E94" i="14"/>
  <c r="M94" i="14" s="1"/>
  <c r="E95" i="14"/>
  <c r="M95" i="14" s="1"/>
  <c r="E96" i="14"/>
  <c r="M96" i="14" s="1"/>
  <c r="E97" i="14"/>
  <c r="M97" i="14" s="1"/>
  <c r="E98" i="14"/>
  <c r="M98" i="14" s="1"/>
  <c r="E99" i="14"/>
  <c r="M99" i="14" s="1"/>
  <c r="E100" i="14"/>
  <c r="M100" i="14" s="1"/>
  <c r="E101" i="14"/>
  <c r="M101" i="14" s="1"/>
  <c r="E102" i="14"/>
  <c r="M102" i="14" s="1"/>
  <c r="E11" i="15"/>
  <c r="M11" i="15" s="1"/>
  <c r="E12" i="15"/>
  <c r="M12" i="15" s="1"/>
  <c r="E13" i="15"/>
  <c r="M13" i="15" s="1"/>
  <c r="E14" i="15"/>
  <c r="M14" i="15" s="1"/>
  <c r="E15" i="15"/>
  <c r="M15" i="15" s="1"/>
  <c r="E16" i="15"/>
  <c r="M16" i="15" s="1"/>
  <c r="E17" i="15"/>
  <c r="M17" i="15" s="1"/>
  <c r="E18" i="15"/>
  <c r="M18" i="15" s="1"/>
  <c r="E19" i="15"/>
  <c r="M19" i="15" s="1"/>
  <c r="E20" i="15"/>
  <c r="M20" i="15" s="1"/>
  <c r="E21" i="15"/>
  <c r="M21" i="15" s="1"/>
  <c r="E22" i="15"/>
  <c r="M22" i="15" s="1"/>
  <c r="E23" i="15"/>
  <c r="M23" i="15" s="1"/>
  <c r="E24" i="15"/>
  <c r="M24" i="15" s="1"/>
  <c r="E25" i="15"/>
  <c r="M25" i="15" s="1"/>
  <c r="E26" i="15"/>
  <c r="M26" i="15" s="1"/>
  <c r="E27" i="15"/>
  <c r="M27" i="15" s="1"/>
  <c r="E28" i="15"/>
  <c r="M28" i="15" s="1"/>
  <c r="E29" i="15"/>
  <c r="M29" i="15" s="1"/>
  <c r="E30" i="15"/>
  <c r="M30" i="15" s="1"/>
  <c r="E31" i="15"/>
  <c r="M31" i="15" s="1"/>
  <c r="E32" i="15"/>
  <c r="M32" i="15" s="1"/>
  <c r="E33" i="15"/>
  <c r="M33" i="15" s="1"/>
  <c r="E34" i="15"/>
  <c r="M34" i="15" s="1"/>
  <c r="E35" i="15"/>
  <c r="M35" i="15" s="1"/>
  <c r="E36" i="15"/>
  <c r="M36" i="15" s="1"/>
  <c r="E37" i="15"/>
  <c r="M37" i="15" s="1"/>
  <c r="E38" i="15"/>
  <c r="M38" i="15" s="1"/>
  <c r="E39" i="15"/>
  <c r="M39" i="15" s="1"/>
  <c r="E40" i="15"/>
  <c r="M40" i="15" s="1"/>
  <c r="E41" i="15"/>
  <c r="M41" i="15" s="1"/>
  <c r="E42" i="15"/>
  <c r="M42" i="15" s="1"/>
  <c r="E43" i="15"/>
  <c r="M43" i="15" s="1"/>
  <c r="E44" i="15"/>
  <c r="M44" i="15" s="1"/>
  <c r="E45" i="15"/>
  <c r="M45" i="15" s="1"/>
  <c r="E46" i="15"/>
  <c r="M46" i="15" s="1"/>
  <c r="E47" i="15"/>
  <c r="M47" i="15" s="1"/>
  <c r="E48" i="15"/>
  <c r="M48" i="15" s="1"/>
  <c r="E49" i="15"/>
  <c r="M49" i="15" s="1"/>
  <c r="E50" i="15"/>
  <c r="M50" i="15" s="1"/>
  <c r="E51" i="15"/>
  <c r="M51" i="15" s="1"/>
  <c r="E52" i="15"/>
  <c r="M52" i="15" s="1"/>
  <c r="E53" i="15"/>
  <c r="M53" i="15" s="1"/>
  <c r="E54" i="15"/>
  <c r="M54" i="15" s="1"/>
  <c r="E55" i="15"/>
  <c r="M55" i="15" s="1"/>
  <c r="E56" i="15"/>
  <c r="M56" i="15" s="1"/>
  <c r="E57" i="15"/>
  <c r="M57" i="15" s="1"/>
  <c r="E58" i="15"/>
  <c r="M58" i="15" s="1"/>
  <c r="E59" i="15"/>
  <c r="M59" i="15" s="1"/>
  <c r="E60" i="15"/>
  <c r="M60" i="15" s="1"/>
  <c r="E61" i="15"/>
  <c r="M61" i="15" s="1"/>
  <c r="E62" i="15"/>
  <c r="M62" i="15" s="1"/>
  <c r="E63" i="15"/>
  <c r="M63" i="15" s="1"/>
  <c r="E64" i="15"/>
  <c r="M64" i="15" s="1"/>
  <c r="E65" i="15"/>
  <c r="M65" i="15" s="1"/>
  <c r="E66" i="15"/>
  <c r="M66" i="15" s="1"/>
  <c r="E67" i="15"/>
  <c r="M67" i="15" s="1"/>
  <c r="M68" i="15"/>
  <c r="E69" i="15"/>
  <c r="M69" i="15" s="1"/>
  <c r="E70" i="15"/>
  <c r="M70" i="15" s="1"/>
  <c r="E71" i="15"/>
  <c r="M71" i="15" s="1"/>
  <c r="E72" i="15"/>
  <c r="M72" i="15" s="1"/>
  <c r="E73" i="15"/>
  <c r="M73" i="15" s="1"/>
  <c r="E74" i="15"/>
  <c r="M74" i="15" s="1"/>
  <c r="E75" i="15"/>
  <c r="M75" i="15" s="1"/>
  <c r="E76" i="15"/>
  <c r="M76" i="15" s="1"/>
  <c r="E77" i="15"/>
  <c r="M77" i="15" s="1"/>
  <c r="E78" i="15"/>
  <c r="M78" i="15" s="1"/>
  <c r="E79" i="15"/>
  <c r="M79" i="15" s="1"/>
  <c r="E80" i="15"/>
  <c r="M80" i="15" s="1"/>
  <c r="E81" i="15"/>
  <c r="M81" i="15" s="1"/>
  <c r="E82" i="15"/>
  <c r="M82" i="15" s="1"/>
  <c r="E83" i="15"/>
  <c r="M83" i="15" s="1"/>
  <c r="E84" i="15"/>
  <c r="M84" i="15" s="1"/>
  <c r="E85" i="15"/>
  <c r="M85" i="15" s="1"/>
  <c r="E86" i="15"/>
  <c r="M86" i="15" s="1"/>
  <c r="E87" i="15"/>
  <c r="M87" i="15" s="1"/>
  <c r="E88" i="15"/>
  <c r="M88" i="15" s="1"/>
  <c r="E89" i="15"/>
  <c r="M89" i="15" s="1"/>
  <c r="E90" i="15"/>
  <c r="M90" i="15" s="1"/>
  <c r="E91" i="15"/>
  <c r="M91" i="15" s="1"/>
  <c r="E92" i="15"/>
  <c r="M92" i="15" s="1"/>
  <c r="E93" i="15"/>
  <c r="M93" i="15" s="1"/>
  <c r="E94" i="15"/>
  <c r="M94" i="15" s="1"/>
  <c r="E95" i="15"/>
  <c r="M95" i="15" s="1"/>
  <c r="E96" i="15"/>
  <c r="M96" i="15" s="1"/>
  <c r="E97" i="15"/>
  <c r="M97" i="15" s="1"/>
  <c r="E98" i="15"/>
  <c r="M98" i="15" s="1"/>
  <c r="E99" i="15"/>
  <c r="M99" i="15" s="1"/>
  <c r="E100" i="15"/>
  <c r="M100" i="15" s="1"/>
  <c r="E101" i="15"/>
  <c r="M101" i="15" s="1"/>
  <c r="E102" i="15"/>
  <c r="M102" i="15" s="1"/>
  <c r="E11" i="16"/>
  <c r="M11" i="16" s="1"/>
  <c r="E12" i="16"/>
  <c r="M12" i="16" s="1"/>
  <c r="E13" i="16"/>
  <c r="M13" i="16" s="1"/>
  <c r="E14" i="16"/>
  <c r="M14" i="16" s="1"/>
  <c r="E15" i="16"/>
  <c r="M15" i="16" s="1"/>
  <c r="E16" i="16"/>
  <c r="M16" i="16" s="1"/>
  <c r="E17" i="16"/>
  <c r="M17" i="16" s="1"/>
  <c r="E18" i="16"/>
  <c r="M18" i="16" s="1"/>
  <c r="E19" i="16"/>
  <c r="M19" i="16" s="1"/>
  <c r="E20" i="16"/>
  <c r="M20" i="16" s="1"/>
  <c r="E21" i="16"/>
  <c r="M21" i="16" s="1"/>
  <c r="E22" i="16"/>
  <c r="M22" i="16" s="1"/>
  <c r="E23" i="16"/>
  <c r="M23" i="16" s="1"/>
  <c r="E24" i="16"/>
  <c r="M24" i="16" s="1"/>
  <c r="E25" i="16"/>
  <c r="M25" i="16" s="1"/>
  <c r="E26" i="16"/>
  <c r="M26" i="16" s="1"/>
  <c r="E27" i="16"/>
  <c r="M27" i="16" s="1"/>
  <c r="E28" i="16"/>
  <c r="M28" i="16" s="1"/>
  <c r="E29" i="16"/>
  <c r="M29" i="16" s="1"/>
  <c r="E30" i="16"/>
  <c r="M30" i="16" s="1"/>
  <c r="E31" i="16"/>
  <c r="M31" i="16" s="1"/>
  <c r="E32" i="16"/>
  <c r="M32" i="16" s="1"/>
  <c r="E33" i="16"/>
  <c r="M33" i="16" s="1"/>
  <c r="E34" i="16"/>
  <c r="M34" i="16" s="1"/>
  <c r="E35" i="16"/>
  <c r="M35" i="16" s="1"/>
  <c r="E36" i="16"/>
  <c r="M36" i="16" s="1"/>
  <c r="E37" i="16"/>
  <c r="M37" i="16" s="1"/>
  <c r="E38" i="16"/>
  <c r="M38" i="16" s="1"/>
  <c r="E39" i="16"/>
  <c r="M39" i="16" s="1"/>
  <c r="E40" i="16"/>
  <c r="M40" i="16" s="1"/>
  <c r="E41" i="16"/>
  <c r="M41" i="16" s="1"/>
  <c r="E42" i="16"/>
  <c r="M42" i="16" s="1"/>
  <c r="E43" i="16"/>
  <c r="M43" i="16" s="1"/>
  <c r="E44" i="16"/>
  <c r="M44" i="16" s="1"/>
  <c r="E45" i="16"/>
  <c r="M45" i="16" s="1"/>
  <c r="E46" i="16"/>
  <c r="M46" i="16" s="1"/>
  <c r="E47" i="16"/>
  <c r="M47" i="16" s="1"/>
  <c r="E48" i="16"/>
  <c r="M48" i="16" s="1"/>
  <c r="E49" i="16"/>
  <c r="M49" i="16" s="1"/>
  <c r="E50" i="16"/>
  <c r="M50" i="16" s="1"/>
  <c r="E51" i="16"/>
  <c r="M51" i="16" s="1"/>
  <c r="E52" i="16"/>
  <c r="M52" i="16" s="1"/>
  <c r="E53" i="16"/>
  <c r="M53" i="16" s="1"/>
  <c r="E54" i="16"/>
  <c r="M54" i="16" s="1"/>
  <c r="E55" i="16"/>
  <c r="M55" i="16" s="1"/>
  <c r="E56" i="16"/>
  <c r="M56" i="16" s="1"/>
  <c r="E57" i="16"/>
  <c r="M57" i="16" s="1"/>
  <c r="E58" i="16"/>
  <c r="M58" i="16" s="1"/>
  <c r="E59" i="16"/>
  <c r="M59" i="16" s="1"/>
  <c r="E60" i="16"/>
  <c r="M60" i="16" s="1"/>
  <c r="E61" i="16"/>
  <c r="M61" i="16" s="1"/>
  <c r="E62" i="16"/>
  <c r="M62" i="16" s="1"/>
  <c r="E63" i="16"/>
  <c r="M63" i="16" s="1"/>
  <c r="E64" i="16"/>
  <c r="M64" i="16" s="1"/>
  <c r="E65" i="16"/>
  <c r="M65" i="16" s="1"/>
  <c r="E66" i="16"/>
  <c r="M66" i="16" s="1"/>
  <c r="E67" i="16"/>
  <c r="M67" i="16" s="1"/>
  <c r="E68" i="16"/>
  <c r="M68" i="16" s="1"/>
  <c r="E69" i="16"/>
  <c r="M69" i="16" s="1"/>
  <c r="E70" i="16"/>
  <c r="M70" i="16" s="1"/>
  <c r="E71" i="16"/>
  <c r="M71" i="16" s="1"/>
  <c r="E72" i="16"/>
  <c r="M72" i="16" s="1"/>
  <c r="E73" i="16"/>
  <c r="M73" i="16" s="1"/>
  <c r="E74" i="16"/>
  <c r="M74" i="16" s="1"/>
  <c r="E75" i="16"/>
  <c r="M75" i="16" s="1"/>
  <c r="E76" i="16"/>
  <c r="M76" i="16" s="1"/>
  <c r="E77" i="16"/>
  <c r="M77" i="16" s="1"/>
  <c r="E78" i="16"/>
  <c r="M78" i="16" s="1"/>
  <c r="E79" i="16"/>
  <c r="M79" i="16" s="1"/>
  <c r="E80" i="16"/>
  <c r="M80" i="16" s="1"/>
  <c r="E81" i="16"/>
  <c r="M81" i="16" s="1"/>
  <c r="E82" i="16"/>
  <c r="M82" i="16" s="1"/>
  <c r="E83" i="16"/>
  <c r="M83" i="16" s="1"/>
  <c r="E84" i="16"/>
  <c r="M84" i="16" s="1"/>
  <c r="E85" i="16"/>
  <c r="M85" i="16" s="1"/>
  <c r="E86" i="16"/>
  <c r="M86" i="16" s="1"/>
  <c r="E87" i="16"/>
  <c r="M87" i="16" s="1"/>
  <c r="E88" i="16"/>
  <c r="M88" i="16" s="1"/>
  <c r="E89" i="16"/>
  <c r="M89" i="16" s="1"/>
  <c r="E90" i="16"/>
  <c r="M90" i="16" s="1"/>
  <c r="E91" i="16"/>
  <c r="M91" i="16" s="1"/>
  <c r="E92" i="16"/>
  <c r="M92" i="16" s="1"/>
  <c r="E93" i="16"/>
  <c r="M93" i="16" s="1"/>
  <c r="E94" i="16"/>
  <c r="M94" i="16" s="1"/>
  <c r="E95" i="16"/>
  <c r="M95" i="16" s="1"/>
  <c r="E96" i="16"/>
  <c r="M96" i="16" s="1"/>
  <c r="E97" i="16"/>
  <c r="M97" i="16" s="1"/>
  <c r="E98" i="16"/>
  <c r="M98" i="16" s="1"/>
  <c r="E99" i="16"/>
  <c r="M99" i="16" s="1"/>
  <c r="E100" i="16"/>
  <c r="M100" i="16" s="1"/>
  <c r="E101" i="16"/>
  <c r="M101" i="16" s="1"/>
  <c r="E102" i="16"/>
  <c r="M102" i="16" s="1"/>
  <c r="E10" i="16"/>
  <c r="M10" i="16" s="1"/>
  <c r="E11" i="17"/>
  <c r="M11" i="17" s="1"/>
  <c r="E12" i="17"/>
  <c r="M12" i="17" s="1"/>
  <c r="E13" i="17"/>
  <c r="M13" i="17" s="1"/>
  <c r="E14" i="17"/>
  <c r="M14" i="17" s="1"/>
  <c r="E15" i="17"/>
  <c r="M15" i="17" s="1"/>
  <c r="E16" i="17"/>
  <c r="M16" i="17" s="1"/>
  <c r="E17" i="17"/>
  <c r="M17" i="17" s="1"/>
  <c r="E18" i="17"/>
  <c r="M18" i="17" s="1"/>
  <c r="E19" i="17"/>
  <c r="M19" i="17" s="1"/>
  <c r="E20" i="17"/>
  <c r="M20" i="17" s="1"/>
  <c r="E21" i="17"/>
  <c r="M21" i="17" s="1"/>
  <c r="E22" i="17"/>
  <c r="M22" i="17" s="1"/>
  <c r="E23" i="17"/>
  <c r="M23" i="17" s="1"/>
  <c r="E24" i="17"/>
  <c r="M24" i="17" s="1"/>
  <c r="E25" i="17"/>
  <c r="M25" i="17" s="1"/>
  <c r="E26" i="17"/>
  <c r="M26" i="17" s="1"/>
  <c r="E27" i="17"/>
  <c r="M27" i="17" s="1"/>
  <c r="E28" i="17"/>
  <c r="M28" i="17" s="1"/>
  <c r="E29" i="17"/>
  <c r="M29" i="17" s="1"/>
  <c r="E30" i="17"/>
  <c r="M30" i="17" s="1"/>
  <c r="E31" i="17"/>
  <c r="M31" i="17" s="1"/>
  <c r="E32" i="17"/>
  <c r="M32" i="17" s="1"/>
  <c r="E33" i="17"/>
  <c r="M33" i="17" s="1"/>
  <c r="E34" i="17"/>
  <c r="M34" i="17" s="1"/>
  <c r="E35" i="17"/>
  <c r="M35" i="17" s="1"/>
  <c r="E36" i="17"/>
  <c r="M36" i="17" s="1"/>
  <c r="E37" i="17"/>
  <c r="M37" i="17" s="1"/>
  <c r="E38" i="17"/>
  <c r="M38" i="17" s="1"/>
  <c r="E39" i="17"/>
  <c r="M39" i="17" s="1"/>
  <c r="E40" i="17"/>
  <c r="M40" i="17" s="1"/>
  <c r="E41" i="17"/>
  <c r="M41" i="17" s="1"/>
  <c r="E42" i="17"/>
  <c r="M42" i="17" s="1"/>
  <c r="E43" i="17"/>
  <c r="M43" i="17" s="1"/>
  <c r="E44" i="17"/>
  <c r="M44" i="17" s="1"/>
  <c r="E45" i="17"/>
  <c r="M45" i="17" s="1"/>
  <c r="E46" i="17"/>
  <c r="M46" i="17" s="1"/>
  <c r="E47" i="17"/>
  <c r="M47" i="17" s="1"/>
  <c r="E48" i="17"/>
  <c r="M48" i="17" s="1"/>
  <c r="E49" i="17"/>
  <c r="M49" i="17" s="1"/>
  <c r="E50" i="17"/>
  <c r="M50" i="17" s="1"/>
  <c r="E51" i="17"/>
  <c r="M51" i="17" s="1"/>
  <c r="E52" i="17"/>
  <c r="M52" i="17" s="1"/>
  <c r="E53" i="17"/>
  <c r="M53" i="17" s="1"/>
  <c r="E54" i="17"/>
  <c r="M54" i="17" s="1"/>
  <c r="E55" i="17"/>
  <c r="M55" i="17" s="1"/>
  <c r="E56" i="17"/>
  <c r="M56" i="17" s="1"/>
  <c r="E57" i="17"/>
  <c r="M57" i="17" s="1"/>
  <c r="E58" i="17"/>
  <c r="M58" i="17" s="1"/>
  <c r="E59" i="17"/>
  <c r="M59" i="17" s="1"/>
  <c r="E60" i="17"/>
  <c r="M60" i="17" s="1"/>
  <c r="E61" i="17"/>
  <c r="M61" i="17" s="1"/>
  <c r="E62" i="17"/>
  <c r="M62" i="17" s="1"/>
  <c r="E63" i="17"/>
  <c r="M63" i="17" s="1"/>
  <c r="E64" i="17"/>
  <c r="M64" i="17" s="1"/>
  <c r="E65" i="17"/>
  <c r="M65" i="17" s="1"/>
  <c r="E66" i="17"/>
  <c r="M66" i="17" s="1"/>
  <c r="E67" i="17"/>
  <c r="M67" i="17" s="1"/>
  <c r="E68" i="17"/>
  <c r="M68" i="17" s="1"/>
  <c r="E69" i="17"/>
  <c r="M69" i="17" s="1"/>
  <c r="E70" i="17"/>
  <c r="M70" i="17" s="1"/>
  <c r="E71" i="17"/>
  <c r="M71" i="17" s="1"/>
  <c r="E72" i="17"/>
  <c r="M72" i="17" s="1"/>
  <c r="E73" i="17"/>
  <c r="M73" i="17" s="1"/>
  <c r="E74" i="17"/>
  <c r="M74" i="17" s="1"/>
  <c r="E75" i="17"/>
  <c r="M75" i="17" s="1"/>
  <c r="E76" i="17"/>
  <c r="M76" i="17" s="1"/>
  <c r="E77" i="17"/>
  <c r="M77" i="17" s="1"/>
  <c r="E78" i="17"/>
  <c r="M78" i="17" s="1"/>
  <c r="E79" i="17"/>
  <c r="M79" i="17" s="1"/>
  <c r="E80" i="17"/>
  <c r="M80" i="17" s="1"/>
  <c r="E81" i="17"/>
  <c r="M81" i="17" s="1"/>
  <c r="E82" i="17"/>
  <c r="M82" i="17" s="1"/>
  <c r="E83" i="17"/>
  <c r="M83" i="17" s="1"/>
  <c r="E84" i="17"/>
  <c r="M84" i="17" s="1"/>
  <c r="E85" i="17"/>
  <c r="M85" i="17" s="1"/>
  <c r="E86" i="17"/>
  <c r="M86" i="17" s="1"/>
  <c r="E87" i="17"/>
  <c r="M87" i="17" s="1"/>
  <c r="E88" i="17"/>
  <c r="M88" i="17" s="1"/>
  <c r="E89" i="17"/>
  <c r="M89" i="17" s="1"/>
  <c r="E90" i="17"/>
  <c r="M90" i="17" s="1"/>
  <c r="E91" i="17"/>
  <c r="M91" i="17" s="1"/>
  <c r="E92" i="17"/>
  <c r="M92" i="17" s="1"/>
  <c r="E93" i="17"/>
  <c r="M93" i="17" s="1"/>
  <c r="E94" i="17"/>
  <c r="M94" i="17" s="1"/>
  <c r="E95" i="17"/>
  <c r="M95" i="17" s="1"/>
  <c r="E96" i="17"/>
  <c r="M96" i="17" s="1"/>
  <c r="E97" i="17"/>
  <c r="M97" i="17" s="1"/>
  <c r="E98" i="17"/>
  <c r="M98" i="17" s="1"/>
  <c r="E99" i="17"/>
  <c r="M99" i="17" s="1"/>
  <c r="E100" i="17"/>
  <c r="M100" i="17" s="1"/>
  <c r="E101" i="17"/>
  <c r="M101" i="17" s="1"/>
  <c r="E102" i="17"/>
  <c r="M102" i="17" s="1"/>
  <c r="E11" i="18"/>
  <c r="M11" i="18" s="1"/>
  <c r="E12" i="18"/>
  <c r="M12" i="18" s="1"/>
  <c r="E13" i="18"/>
  <c r="M13" i="18" s="1"/>
  <c r="E14" i="18"/>
  <c r="M14" i="18" s="1"/>
  <c r="E15" i="18"/>
  <c r="M15" i="18" s="1"/>
  <c r="E16" i="18"/>
  <c r="M16" i="18" s="1"/>
  <c r="E17" i="18"/>
  <c r="M17" i="18" s="1"/>
  <c r="E18" i="18"/>
  <c r="M18" i="18" s="1"/>
  <c r="E19" i="18"/>
  <c r="M19" i="18" s="1"/>
  <c r="E20" i="18"/>
  <c r="M20" i="18" s="1"/>
  <c r="E21" i="18"/>
  <c r="M21" i="18" s="1"/>
  <c r="E22" i="18"/>
  <c r="M22" i="18" s="1"/>
  <c r="E23" i="18"/>
  <c r="M23" i="18" s="1"/>
  <c r="E24" i="18"/>
  <c r="M24" i="18" s="1"/>
  <c r="E25" i="18"/>
  <c r="M25" i="18" s="1"/>
  <c r="E26" i="18"/>
  <c r="M26" i="18" s="1"/>
  <c r="E27" i="18"/>
  <c r="M27" i="18" s="1"/>
  <c r="E28" i="18"/>
  <c r="M28" i="18" s="1"/>
  <c r="E29" i="18"/>
  <c r="M29" i="18" s="1"/>
  <c r="E30" i="18"/>
  <c r="M30" i="18" s="1"/>
  <c r="E31" i="18"/>
  <c r="M31" i="18" s="1"/>
  <c r="E32" i="18"/>
  <c r="M32" i="18" s="1"/>
  <c r="E33" i="18"/>
  <c r="M33" i="18" s="1"/>
  <c r="E34" i="18"/>
  <c r="M34" i="18" s="1"/>
  <c r="E35" i="18"/>
  <c r="M35" i="18" s="1"/>
  <c r="E36" i="18"/>
  <c r="M36" i="18" s="1"/>
  <c r="E37" i="18"/>
  <c r="M37" i="18" s="1"/>
  <c r="E38" i="18"/>
  <c r="M38" i="18" s="1"/>
  <c r="E39" i="18"/>
  <c r="M39" i="18" s="1"/>
  <c r="E40" i="18"/>
  <c r="M40" i="18" s="1"/>
  <c r="E41" i="18"/>
  <c r="M41" i="18" s="1"/>
  <c r="E42" i="18"/>
  <c r="M42" i="18" s="1"/>
  <c r="E43" i="18"/>
  <c r="M43" i="18" s="1"/>
  <c r="E44" i="18"/>
  <c r="M44" i="18" s="1"/>
  <c r="E45" i="18"/>
  <c r="M45" i="18" s="1"/>
  <c r="E46" i="18"/>
  <c r="M46" i="18" s="1"/>
  <c r="E47" i="18"/>
  <c r="M47" i="18" s="1"/>
  <c r="E48" i="18"/>
  <c r="M48" i="18" s="1"/>
  <c r="E49" i="18"/>
  <c r="M49" i="18" s="1"/>
  <c r="E50" i="18"/>
  <c r="M50" i="18" s="1"/>
  <c r="E51" i="18"/>
  <c r="M51" i="18" s="1"/>
  <c r="E52" i="18"/>
  <c r="M52" i="18" s="1"/>
  <c r="E53" i="18"/>
  <c r="M53" i="18" s="1"/>
  <c r="E54" i="18"/>
  <c r="M54" i="18" s="1"/>
  <c r="E55" i="18"/>
  <c r="M55" i="18" s="1"/>
  <c r="E56" i="18"/>
  <c r="M56" i="18" s="1"/>
  <c r="E57" i="18"/>
  <c r="M57" i="18" s="1"/>
  <c r="E58" i="18"/>
  <c r="M58" i="18" s="1"/>
  <c r="E59" i="18"/>
  <c r="M59" i="18" s="1"/>
  <c r="E60" i="18"/>
  <c r="M60" i="18" s="1"/>
  <c r="E61" i="18"/>
  <c r="M61" i="18" s="1"/>
  <c r="E62" i="18"/>
  <c r="M62" i="18" s="1"/>
  <c r="E63" i="18"/>
  <c r="M63" i="18" s="1"/>
  <c r="E64" i="18"/>
  <c r="M64" i="18" s="1"/>
  <c r="E65" i="18"/>
  <c r="M65" i="18" s="1"/>
  <c r="E66" i="18"/>
  <c r="M66" i="18" s="1"/>
  <c r="E67" i="18"/>
  <c r="M67" i="18" s="1"/>
  <c r="E68" i="18"/>
  <c r="M68" i="18" s="1"/>
  <c r="E69" i="18"/>
  <c r="M69" i="18" s="1"/>
  <c r="E70" i="18"/>
  <c r="M70" i="18" s="1"/>
  <c r="E71" i="18"/>
  <c r="M71" i="18" s="1"/>
  <c r="E72" i="18"/>
  <c r="M72" i="18" s="1"/>
  <c r="E73" i="18"/>
  <c r="M73" i="18" s="1"/>
  <c r="E74" i="18"/>
  <c r="M74" i="18" s="1"/>
  <c r="E75" i="18"/>
  <c r="M75" i="18" s="1"/>
  <c r="E76" i="18"/>
  <c r="M76" i="18" s="1"/>
  <c r="E77" i="18"/>
  <c r="M77" i="18" s="1"/>
  <c r="E78" i="18"/>
  <c r="M78" i="18" s="1"/>
  <c r="E79" i="18"/>
  <c r="M79" i="18" s="1"/>
  <c r="E80" i="18"/>
  <c r="M80" i="18" s="1"/>
  <c r="E81" i="18"/>
  <c r="M81" i="18" s="1"/>
  <c r="E82" i="18"/>
  <c r="M82" i="18" s="1"/>
  <c r="E83" i="18"/>
  <c r="M83" i="18" s="1"/>
  <c r="E84" i="18"/>
  <c r="M84" i="18" s="1"/>
  <c r="E85" i="18"/>
  <c r="M85" i="18" s="1"/>
  <c r="E86" i="18"/>
  <c r="M86" i="18" s="1"/>
  <c r="E87" i="18"/>
  <c r="M87" i="18" s="1"/>
  <c r="E88" i="18"/>
  <c r="M88" i="18" s="1"/>
  <c r="E89" i="18"/>
  <c r="M89" i="18" s="1"/>
  <c r="E90" i="18"/>
  <c r="M90" i="18" s="1"/>
  <c r="E91" i="18"/>
  <c r="M91" i="18" s="1"/>
  <c r="E92" i="18"/>
  <c r="M92" i="18" s="1"/>
  <c r="E93" i="18"/>
  <c r="M93" i="18" s="1"/>
  <c r="E94" i="18"/>
  <c r="M94" i="18" s="1"/>
  <c r="E95" i="18"/>
  <c r="M95" i="18" s="1"/>
  <c r="E96" i="18"/>
  <c r="M96" i="18" s="1"/>
  <c r="E97" i="18"/>
  <c r="M97" i="18" s="1"/>
  <c r="E98" i="18"/>
  <c r="M98" i="18" s="1"/>
  <c r="E99" i="18"/>
  <c r="M99" i="18" s="1"/>
  <c r="E100" i="18"/>
  <c r="M100" i="18" s="1"/>
  <c r="E101" i="18"/>
  <c r="M101" i="18" s="1"/>
  <c r="E102" i="18"/>
  <c r="M102" i="18" s="1"/>
  <c r="E11" i="19"/>
  <c r="M11" i="19" s="1"/>
  <c r="E12" i="19"/>
  <c r="M12" i="19" s="1"/>
  <c r="E13" i="19"/>
  <c r="M13" i="19" s="1"/>
  <c r="E14" i="19"/>
  <c r="M14" i="19" s="1"/>
  <c r="E15" i="19"/>
  <c r="M15" i="19" s="1"/>
  <c r="E16" i="19"/>
  <c r="M16" i="19" s="1"/>
  <c r="E17" i="19"/>
  <c r="M17" i="19" s="1"/>
  <c r="E18" i="19"/>
  <c r="M18" i="19" s="1"/>
  <c r="E19" i="19"/>
  <c r="M19" i="19" s="1"/>
  <c r="E20" i="19"/>
  <c r="M20" i="19" s="1"/>
  <c r="E21" i="19"/>
  <c r="M21" i="19" s="1"/>
  <c r="E22" i="19"/>
  <c r="M22" i="19" s="1"/>
  <c r="E23" i="19"/>
  <c r="M23" i="19" s="1"/>
  <c r="E24" i="19"/>
  <c r="M24" i="19" s="1"/>
  <c r="E25" i="19"/>
  <c r="M25" i="19" s="1"/>
  <c r="E26" i="19"/>
  <c r="M26" i="19" s="1"/>
  <c r="E27" i="19"/>
  <c r="M27" i="19" s="1"/>
  <c r="E28" i="19"/>
  <c r="M28" i="19" s="1"/>
  <c r="E29" i="19"/>
  <c r="M29" i="19" s="1"/>
  <c r="E30" i="19"/>
  <c r="M30" i="19" s="1"/>
  <c r="E31" i="19"/>
  <c r="M31" i="19" s="1"/>
  <c r="E32" i="19"/>
  <c r="M32" i="19" s="1"/>
  <c r="E33" i="19"/>
  <c r="M33" i="19" s="1"/>
  <c r="E34" i="19"/>
  <c r="M34" i="19" s="1"/>
  <c r="E35" i="19"/>
  <c r="M35" i="19" s="1"/>
  <c r="E36" i="19"/>
  <c r="M36" i="19" s="1"/>
  <c r="E37" i="19"/>
  <c r="M37" i="19" s="1"/>
  <c r="E38" i="19"/>
  <c r="M38" i="19" s="1"/>
  <c r="E39" i="19"/>
  <c r="M39" i="19" s="1"/>
  <c r="E40" i="19"/>
  <c r="M40" i="19" s="1"/>
  <c r="E41" i="19"/>
  <c r="M41" i="19" s="1"/>
  <c r="E42" i="19"/>
  <c r="M42" i="19" s="1"/>
  <c r="E43" i="19"/>
  <c r="M43" i="19" s="1"/>
  <c r="E44" i="19"/>
  <c r="M44" i="19" s="1"/>
  <c r="E45" i="19"/>
  <c r="M45" i="19" s="1"/>
  <c r="E46" i="19"/>
  <c r="M46" i="19" s="1"/>
  <c r="E47" i="19"/>
  <c r="M47" i="19" s="1"/>
  <c r="E48" i="19"/>
  <c r="M48" i="19" s="1"/>
  <c r="E49" i="19"/>
  <c r="M49" i="19" s="1"/>
  <c r="E50" i="19"/>
  <c r="M50" i="19" s="1"/>
  <c r="E51" i="19"/>
  <c r="M51" i="19" s="1"/>
  <c r="E52" i="19"/>
  <c r="M52" i="19" s="1"/>
  <c r="E53" i="19"/>
  <c r="M53" i="19" s="1"/>
  <c r="E54" i="19"/>
  <c r="M54" i="19" s="1"/>
  <c r="E55" i="19"/>
  <c r="M55" i="19" s="1"/>
  <c r="E56" i="19"/>
  <c r="M56" i="19" s="1"/>
  <c r="E57" i="19"/>
  <c r="M57" i="19" s="1"/>
  <c r="E58" i="19"/>
  <c r="M58" i="19" s="1"/>
  <c r="E59" i="19"/>
  <c r="M59" i="19" s="1"/>
  <c r="E60" i="19"/>
  <c r="M60" i="19" s="1"/>
  <c r="E61" i="19"/>
  <c r="M61" i="19" s="1"/>
  <c r="E62" i="19"/>
  <c r="M62" i="19" s="1"/>
  <c r="E63" i="19"/>
  <c r="M63" i="19" s="1"/>
  <c r="E64" i="19"/>
  <c r="M64" i="19" s="1"/>
  <c r="E65" i="19"/>
  <c r="M65" i="19" s="1"/>
  <c r="E66" i="19"/>
  <c r="M66" i="19" s="1"/>
  <c r="E67" i="19"/>
  <c r="M67" i="19" s="1"/>
  <c r="E68" i="19"/>
  <c r="M68" i="19" s="1"/>
  <c r="E69" i="19"/>
  <c r="M69" i="19" s="1"/>
  <c r="E70" i="19"/>
  <c r="M70" i="19" s="1"/>
  <c r="E71" i="19"/>
  <c r="M71" i="19" s="1"/>
  <c r="E72" i="19"/>
  <c r="M72" i="19" s="1"/>
  <c r="E73" i="19"/>
  <c r="M73" i="19" s="1"/>
  <c r="E74" i="19"/>
  <c r="M74" i="19" s="1"/>
  <c r="E75" i="19"/>
  <c r="M75" i="19" s="1"/>
  <c r="E76" i="19"/>
  <c r="M76" i="19" s="1"/>
  <c r="E77" i="19"/>
  <c r="M77" i="19" s="1"/>
  <c r="E78" i="19"/>
  <c r="M78" i="19" s="1"/>
  <c r="E79" i="19"/>
  <c r="M79" i="19" s="1"/>
  <c r="E80" i="19"/>
  <c r="M80" i="19" s="1"/>
  <c r="E81" i="19"/>
  <c r="M81" i="19" s="1"/>
  <c r="E82" i="19"/>
  <c r="M82" i="19" s="1"/>
  <c r="E83" i="19"/>
  <c r="M83" i="19" s="1"/>
  <c r="E84" i="19"/>
  <c r="M84" i="19" s="1"/>
  <c r="E85" i="19"/>
  <c r="M85" i="19" s="1"/>
  <c r="E86" i="19"/>
  <c r="M86" i="19" s="1"/>
  <c r="E87" i="19"/>
  <c r="M87" i="19" s="1"/>
  <c r="E88" i="19"/>
  <c r="M88" i="19" s="1"/>
  <c r="E89" i="19"/>
  <c r="M89" i="19" s="1"/>
  <c r="E90" i="19"/>
  <c r="M90" i="19" s="1"/>
  <c r="E91" i="19"/>
  <c r="M91" i="19" s="1"/>
  <c r="E92" i="19"/>
  <c r="M92" i="19" s="1"/>
  <c r="E93" i="19"/>
  <c r="M93" i="19" s="1"/>
  <c r="E94" i="19"/>
  <c r="M94" i="19" s="1"/>
  <c r="E95" i="19"/>
  <c r="M95" i="19" s="1"/>
  <c r="E96" i="19"/>
  <c r="M96" i="19" s="1"/>
  <c r="E97" i="19"/>
  <c r="M97" i="19" s="1"/>
  <c r="E98" i="19"/>
  <c r="M98" i="19" s="1"/>
  <c r="E99" i="19"/>
  <c r="M99" i="19" s="1"/>
  <c r="E100" i="19"/>
  <c r="M100" i="19" s="1"/>
  <c r="E101" i="19"/>
  <c r="M101" i="19" s="1"/>
  <c r="E102" i="19"/>
  <c r="M102" i="19" s="1"/>
  <c r="E11" i="20"/>
  <c r="M11" i="20" s="1"/>
  <c r="E12" i="20"/>
  <c r="M12" i="20" s="1"/>
  <c r="E13" i="20"/>
  <c r="M13" i="20" s="1"/>
  <c r="E14" i="20"/>
  <c r="M14" i="20" s="1"/>
  <c r="E15" i="20"/>
  <c r="M15" i="20" s="1"/>
  <c r="E16" i="20"/>
  <c r="M16" i="20" s="1"/>
  <c r="E17" i="20"/>
  <c r="M17" i="20" s="1"/>
  <c r="E18" i="20"/>
  <c r="M18" i="20" s="1"/>
  <c r="E19" i="20"/>
  <c r="M19" i="20" s="1"/>
  <c r="E20" i="20"/>
  <c r="M20" i="20" s="1"/>
  <c r="E21" i="20"/>
  <c r="M21" i="20" s="1"/>
  <c r="E22" i="20"/>
  <c r="M22" i="20" s="1"/>
  <c r="E23" i="20"/>
  <c r="M23" i="20" s="1"/>
  <c r="E24" i="20"/>
  <c r="M24" i="20" s="1"/>
  <c r="E25" i="20"/>
  <c r="M25" i="20" s="1"/>
  <c r="E26" i="20"/>
  <c r="M26" i="20" s="1"/>
  <c r="E27" i="20"/>
  <c r="M27" i="20" s="1"/>
  <c r="E28" i="20"/>
  <c r="M28" i="20" s="1"/>
  <c r="E29" i="20"/>
  <c r="M29" i="20" s="1"/>
  <c r="E30" i="20"/>
  <c r="M30" i="20" s="1"/>
  <c r="E31" i="20"/>
  <c r="M31" i="20" s="1"/>
  <c r="E32" i="20"/>
  <c r="M32" i="20" s="1"/>
  <c r="E33" i="20"/>
  <c r="M33" i="20" s="1"/>
  <c r="E34" i="20"/>
  <c r="M34" i="20" s="1"/>
  <c r="E35" i="20"/>
  <c r="M35" i="20" s="1"/>
  <c r="E36" i="20"/>
  <c r="M36" i="20" s="1"/>
  <c r="E37" i="20"/>
  <c r="M37" i="20" s="1"/>
  <c r="E38" i="20"/>
  <c r="M38" i="20" s="1"/>
  <c r="E39" i="20"/>
  <c r="M39" i="20" s="1"/>
  <c r="E40" i="20"/>
  <c r="M40" i="20" s="1"/>
  <c r="E41" i="20"/>
  <c r="M41" i="20" s="1"/>
  <c r="E42" i="20"/>
  <c r="M42" i="20" s="1"/>
  <c r="E43" i="20"/>
  <c r="M43" i="20" s="1"/>
  <c r="E44" i="20"/>
  <c r="M44" i="20" s="1"/>
  <c r="E45" i="20"/>
  <c r="M45" i="20" s="1"/>
  <c r="E46" i="20"/>
  <c r="M46" i="20" s="1"/>
  <c r="E47" i="20"/>
  <c r="M47" i="20" s="1"/>
  <c r="E48" i="20"/>
  <c r="M48" i="20" s="1"/>
  <c r="E49" i="20"/>
  <c r="M49" i="20" s="1"/>
  <c r="E50" i="20"/>
  <c r="M50" i="20" s="1"/>
  <c r="E51" i="20"/>
  <c r="M51" i="20" s="1"/>
  <c r="E52" i="20"/>
  <c r="M52" i="20" s="1"/>
  <c r="E53" i="20"/>
  <c r="M53" i="20" s="1"/>
  <c r="E54" i="20"/>
  <c r="M54" i="20" s="1"/>
  <c r="E55" i="20"/>
  <c r="M55" i="20" s="1"/>
  <c r="E56" i="20"/>
  <c r="M56" i="20" s="1"/>
  <c r="E57" i="20"/>
  <c r="M57" i="20" s="1"/>
  <c r="E58" i="20"/>
  <c r="M58" i="20" s="1"/>
  <c r="E59" i="20"/>
  <c r="M59" i="20" s="1"/>
  <c r="E60" i="20"/>
  <c r="M60" i="20" s="1"/>
  <c r="E61" i="20"/>
  <c r="M61" i="20" s="1"/>
  <c r="E62" i="20"/>
  <c r="M62" i="20" s="1"/>
  <c r="E63" i="20"/>
  <c r="M63" i="20" s="1"/>
  <c r="E64" i="20"/>
  <c r="M64" i="20" s="1"/>
  <c r="E65" i="20"/>
  <c r="M65" i="20" s="1"/>
  <c r="E66" i="20"/>
  <c r="M66" i="20" s="1"/>
  <c r="E67" i="20"/>
  <c r="M67" i="20" s="1"/>
  <c r="E68" i="20"/>
  <c r="M68" i="20" s="1"/>
  <c r="E69" i="20"/>
  <c r="M69" i="20" s="1"/>
  <c r="E70" i="20"/>
  <c r="M70" i="20" s="1"/>
  <c r="E71" i="20"/>
  <c r="M71" i="20" s="1"/>
  <c r="E72" i="20"/>
  <c r="M72" i="20" s="1"/>
  <c r="E73" i="20"/>
  <c r="M73" i="20" s="1"/>
  <c r="E74" i="20"/>
  <c r="M74" i="20" s="1"/>
  <c r="E75" i="20"/>
  <c r="M75" i="20" s="1"/>
  <c r="E76" i="20"/>
  <c r="M76" i="20" s="1"/>
  <c r="E77" i="20"/>
  <c r="M77" i="20" s="1"/>
  <c r="E78" i="20"/>
  <c r="M78" i="20" s="1"/>
  <c r="E79" i="20"/>
  <c r="M79" i="20" s="1"/>
  <c r="E80" i="20"/>
  <c r="M80" i="20" s="1"/>
  <c r="E81" i="20"/>
  <c r="M81" i="20" s="1"/>
  <c r="E82" i="20"/>
  <c r="M82" i="20" s="1"/>
  <c r="E83" i="20"/>
  <c r="M83" i="20" s="1"/>
  <c r="E84" i="20"/>
  <c r="M84" i="20" s="1"/>
  <c r="E85" i="20"/>
  <c r="M85" i="20" s="1"/>
  <c r="E86" i="20"/>
  <c r="M86" i="20" s="1"/>
  <c r="E87" i="20"/>
  <c r="M87" i="20" s="1"/>
  <c r="E88" i="20"/>
  <c r="M88" i="20" s="1"/>
  <c r="E89" i="20"/>
  <c r="M89" i="20" s="1"/>
  <c r="E90" i="20"/>
  <c r="M90" i="20" s="1"/>
  <c r="E91" i="20"/>
  <c r="M91" i="20" s="1"/>
  <c r="E92" i="20"/>
  <c r="M92" i="20" s="1"/>
  <c r="E93" i="20"/>
  <c r="M93" i="20" s="1"/>
  <c r="E94" i="20"/>
  <c r="M94" i="20" s="1"/>
  <c r="E95" i="20"/>
  <c r="M95" i="20" s="1"/>
  <c r="E96" i="20"/>
  <c r="M96" i="20" s="1"/>
  <c r="E97" i="20"/>
  <c r="M97" i="20" s="1"/>
  <c r="E98" i="20"/>
  <c r="M98" i="20" s="1"/>
  <c r="E99" i="20"/>
  <c r="M99" i="20" s="1"/>
  <c r="E100" i="20"/>
  <c r="M100" i="20" s="1"/>
  <c r="E101" i="20"/>
  <c r="M101" i="20" s="1"/>
  <c r="E102" i="20"/>
  <c r="M102" i="20" s="1"/>
  <c r="E11" i="21"/>
  <c r="M11" i="21" s="1"/>
  <c r="E12" i="21"/>
  <c r="M12" i="21" s="1"/>
  <c r="E13" i="21"/>
  <c r="M13" i="21" s="1"/>
  <c r="E14" i="21"/>
  <c r="M14" i="21" s="1"/>
  <c r="E15" i="21"/>
  <c r="M15" i="21" s="1"/>
  <c r="E16" i="21"/>
  <c r="M16" i="21" s="1"/>
  <c r="E17" i="21"/>
  <c r="M17" i="21" s="1"/>
  <c r="E18" i="21"/>
  <c r="M18" i="21" s="1"/>
  <c r="E19" i="21"/>
  <c r="M19" i="21" s="1"/>
  <c r="E20" i="21"/>
  <c r="M20" i="21" s="1"/>
  <c r="E21" i="21"/>
  <c r="M21" i="21" s="1"/>
  <c r="E22" i="21"/>
  <c r="M22" i="21" s="1"/>
  <c r="E23" i="21"/>
  <c r="M23" i="21" s="1"/>
  <c r="E24" i="21"/>
  <c r="M24" i="21" s="1"/>
  <c r="E25" i="21"/>
  <c r="M25" i="21" s="1"/>
  <c r="E26" i="21"/>
  <c r="M26" i="21" s="1"/>
  <c r="E27" i="21"/>
  <c r="M27" i="21" s="1"/>
  <c r="E28" i="21"/>
  <c r="M28" i="21" s="1"/>
  <c r="E29" i="21"/>
  <c r="M29" i="21" s="1"/>
  <c r="E30" i="21"/>
  <c r="M30" i="21" s="1"/>
  <c r="E31" i="21"/>
  <c r="M31" i="21" s="1"/>
  <c r="E32" i="21"/>
  <c r="M32" i="21" s="1"/>
  <c r="E33" i="21"/>
  <c r="M33" i="21" s="1"/>
  <c r="E34" i="21"/>
  <c r="M34" i="21" s="1"/>
  <c r="E35" i="21"/>
  <c r="M35" i="21" s="1"/>
  <c r="E36" i="21"/>
  <c r="M36" i="21" s="1"/>
  <c r="E37" i="21"/>
  <c r="M37" i="21" s="1"/>
  <c r="E38" i="21"/>
  <c r="M38" i="21" s="1"/>
  <c r="E39" i="21"/>
  <c r="M39" i="21" s="1"/>
  <c r="E40" i="21"/>
  <c r="M40" i="21" s="1"/>
  <c r="E41" i="21"/>
  <c r="M41" i="21" s="1"/>
  <c r="E42" i="21"/>
  <c r="M42" i="21" s="1"/>
  <c r="E43" i="21"/>
  <c r="M43" i="21" s="1"/>
  <c r="E44" i="21"/>
  <c r="M44" i="21" s="1"/>
  <c r="E45" i="21"/>
  <c r="M45" i="21" s="1"/>
  <c r="E46" i="21"/>
  <c r="M46" i="21" s="1"/>
  <c r="E47" i="21"/>
  <c r="M47" i="21" s="1"/>
  <c r="E48" i="21"/>
  <c r="M48" i="21" s="1"/>
  <c r="E49" i="21"/>
  <c r="M49" i="21" s="1"/>
  <c r="E50" i="21"/>
  <c r="M50" i="21" s="1"/>
  <c r="E51" i="21"/>
  <c r="M51" i="21" s="1"/>
  <c r="E52" i="21"/>
  <c r="M52" i="21" s="1"/>
  <c r="E53" i="21"/>
  <c r="M53" i="21" s="1"/>
  <c r="E54" i="21"/>
  <c r="M54" i="21" s="1"/>
  <c r="E55" i="21"/>
  <c r="M55" i="21" s="1"/>
  <c r="E56" i="21"/>
  <c r="M56" i="21" s="1"/>
  <c r="E57" i="21"/>
  <c r="M57" i="21" s="1"/>
  <c r="E58" i="21"/>
  <c r="M58" i="21" s="1"/>
  <c r="E59" i="21"/>
  <c r="M59" i="21" s="1"/>
  <c r="E60" i="21"/>
  <c r="M60" i="21" s="1"/>
  <c r="E61" i="21"/>
  <c r="M61" i="21" s="1"/>
  <c r="E62" i="21"/>
  <c r="M62" i="21" s="1"/>
  <c r="E63" i="21"/>
  <c r="M63" i="21" s="1"/>
  <c r="E64" i="21"/>
  <c r="M64" i="21" s="1"/>
  <c r="E65" i="21"/>
  <c r="M65" i="21" s="1"/>
  <c r="E66" i="21"/>
  <c r="M66" i="21" s="1"/>
  <c r="E67" i="21"/>
  <c r="M67" i="21" s="1"/>
  <c r="E68" i="21"/>
  <c r="M68" i="21" s="1"/>
  <c r="E69" i="21"/>
  <c r="M69" i="21" s="1"/>
  <c r="E70" i="21"/>
  <c r="M70" i="21" s="1"/>
  <c r="E71" i="21"/>
  <c r="M71" i="21" s="1"/>
  <c r="E72" i="21"/>
  <c r="M72" i="21" s="1"/>
  <c r="E73" i="21"/>
  <c r="M73" i="21" s="1"/>
  <c r="E74" i="21"/>
  <c r="M74" i="21" s="1"/>
  <c r="E75" i="21"/>
  <c r="M75" i="21" s="1"/>
  <c r="E76" i="21"/>
  <c r="M76" i="21" s="1"/>
  <c r="E77" i="21"/>
  <c r="M77" i="21" s="1"/>
  <c r="E78" i="21"/>
  <c r="M78" i="21" s="1"/>
  <c r="E79" i="21"/>
  <c r="M79" i="21" s="1"/>
  <c r="E80" i="21"/>
  <c r="M80" i="21" s="1"/>
  <c r="E81" i="21"/>
  <c r="M81" i="21" s="1"/>
  <c r="E82" i="21"/>
  <c r="M82" i="21" s="1"/>
  <c r="E83" i="21"/>
  <c r="M83" i="21" s="1"/>
  <c r="E84" i="21"/>
  <c r="M84" i="21" s="1"/>
  <c r="E85" i="21"/>
  <c r="M85" i="21" s="1"/>
  <c r="E86" i="21"/>
  <c r="M86" i="21" s="1"/>
  <c r="E87" i="21"/>
  <c r="M87" i="21" s="1"/>
  <c r="E88" i="21"/>
  <c r="M88" i="21" s="1"/>
  <c r="E89" i="21"/>
  <c r="M89" i="21" s="1"/>
  <c r="E90" i="21"/>
  <c r="M90" i="21" s="1"/>
  <c r="E91" i="21"/>
  <c r="M91" i="21" s="1"/>
  <c r="E92" i="21"/>
  <c r="M92" i="21" s="1"/>
  <c r="E93" i="21"/>
  <c r="M93" i="21" s="1"/>
  <c r="E94" i="21"/>
  <c r="M94" i="21" s="1"/>
  <c r="E95" i="21"/>
  <c r="M95" i="21" s="1"/>
  <c r="E96" i="21"/>
  <c r="M96" i="21" s="1"/>
  <c r="E97" i="21"/>
  <c r="M97" i="21" s="1"/>
  <c r="E98" i="21"/>
  <c r="M98" i="21" s="1"/>
  <c r="E99" i="21"/>
  <c r="M99" i="21" s="1"/>
  <c r="E100" i="21"/>
  <c r="M100" i="21" s="1"/>
  <c r="E101" i="21"/>
  <c r="M101" i="21" s="1"/>
  <c r="E102" i="21"/>
  <c r="M102" i="21" s="1"/>
  <c r="E11" i="22"/>
  <c r="M11" i="22" s="1"/>
  <c r="E12" i="22"/>
  <c r="M12" i="22" s="1"/>
  <c r="E13" i="22"/>
  <c r="M13" i="22" s="1"/>
  <c r="E14" i="22"/>
  <c r="M14" i="22" s="1"/>
  <c r="E15" i="22"/>
  <c r="M15" i="22" s="1"/>
  <c r="E16" i="22"/>
  <c r="M16" i="22" s="1"/>
  <c r="E17" i="22"/>
  <c r="M17" i="22" s="1"/>
  <c r="E18" i="22"/>
  <c r="M18" i="22" s="1"/>
  <c r="E19" i="22"/>
  <c r="M19" i="22" s="1"/>
  <c r="E20" i="22"/>
  <c r="M20" i="22" s="1"/>
  <c r="E21" i="22"/>
  <c r="M21" i="22" s="1"/>
  <c r="E22" i="22"/>
  <c r="M22" i="22" s="1"/>
  <c r="E23" i="22"/>
  <c r="M23" i="22" s="1"/>
  <c r="E24" i="22"/>
  <c r="M24" i="22" s="1"/>
  <c r="E25" i="22"/>
  <c r="M25" i="22" s="1"/>
  <c r="E26" i="22"/>
  <c r="M26" i="22" s="1"/>
  <c r="E27" i="22"/>
  <c r="M27" i="22" s="1"/>
  <c r="E28" i="22"/>
  <c r="M28" i="22" s="1"/>
  <c r="E29" i="22"/>
  <c r="M29" i="22" s="1"/>
  <c r="E30" i="22"/>
  <c r="M30" i="22" s="1"/>
  <c r="E31" i="22"/>
  <c r="M31" i="22" s="1"/>
  <c r="E32" i="22"/>
  <c r="M32" i="22" s="1"/>
  <c r="E33" i="22"/>
  <c r="M33" i="22" s="1"/>
  <c r="E34" i="22"/>
  <c r="M34" i="22" s="1"/>
  <c r="E35" i="22"/>
  <c r="M35" i="22" s="1"/>
  <c r="E36" i="22"/>
  <c r="M36" i="22" s="1"/>
  <c r="E37" i="22"/>
  <c r="M37" i="22" s="1"/>
  <c r="E38" i="22"/>
  <c r="M38" i="22" s="1"/>
  <c r="E39" i="22"/>
  <c r="M39" i="22" s="1"/>
  <c r="E40" i="22"/>
  <c r="M40" i="22" s="1"/>
  <c r="E41" i="22"/>
  <c r="M41" i="22" s="1"/>
  <c r="E42" i="22"/>
  <c r="M42" i="22" s="1"/>
  <c r="E43" i="22"/>
  <c r="M43" i="22" s="1"/>
  <c r="E44" i="22"/>
  <c r="M44" i="22" s="1"/>
  <c r="E45" i="22"/>
  <c r="M45" i="22" s="1"/>
  <c r="E46" i="22"/>
  <c r="M46" i="22" s="1"/>
  <c r="E47" i="22"/>
  <c r="M47" i="22" s="1"/>
  <c r="E48" i="22"/>
  <c r="M48" i="22" s="1"/>
  <c r="E49" i="22"/>
  <c r="M49" i="22" s="1"/>
  <c r="E50" i="22"/>
  <c r="M50" i="22" s="1"/>
  <c r="E51" i="22"/>
  <c r="M51" i="22" s="1"/>
  <c r="E52" i="22"/>
  <c r="M52" i="22" s="1"/>
  <c r="E53" i="22"/>
  <c r="M53" i="22" s="1"/>
  <c r="E54" i="22"/>
  <c r="M54" i="22" s="1"/>
  <c r="E55" i="22"/>
  <c r="M55" i="22" s="1"/>
  <c r="E56" i="22"/>
  <c r="M56" i="22" s="1"/>
  <c r="E57" i="22"/>
  <c r="M57" i="22" s="1"/>
  <c r="E58" i="22"/>
  <c r="M58" i="22" s="1"/>
  <c r="E59" i="22"/>
  <c r="M59" i="22" s="1"/>
  <c r="E60" i="22"/>
  <c r="M60" i="22" s="1"/>
  <c r="E61" i="22"/>
  <c r="M61" i="22" s="1"/>
  <c r="E62" i="22"/>
  <c r="M62" i="22" s="1"/>
  <c r="E63" i="22"/>
  <c r="M63" i="22" s="1"/>
  <c r="E64" i="22"/>
  <c r="M64" i="22" s="1"/>
  <c r="E65" i="22"/>
  <c r="M65" i="22" s="1"/>
  <c r="E66" i="22"/>
  <c r="M66" i="22" s="1"/>
  <c r="E67" i="22"/>
  <c r="M67" i="22" s="1"/>
  <c r="E68" i="22"/>
  <c r="M68" i="22" s="1"/>
  <c r="E69" i="22"/>
  <c r="M69" i="22" s="1"/>
  <c r="E70" i="22"/>
  <c r="M70" i="22" s="1"/>
  <c r="E71" i="22"/>
  <c r="M71" i="22" s="1"/>
  <c r="E72" i="22"/>
  <c r="M72" i="22" s="1"/>
  <c r="E73" i="22"/>
  <c r="M73" i="22" s="1"/>
  <c r="E74" i="22"/>
  <c r="M74" i="22" s="1"/>
  <c r="E75" i="22"/>
  <c r="M75" i="22" s="1"/>
  <c r="E76" i="22"/>
  <c r="M76" i="22" s="1"/>
  <c r="E77" i="22"/>
  <c r="M77" i="22" s="1"/>
  <c r="E78" i="22"/>
  <c r="M78" i="22" s="1"/>
  <c r="E79" i="22"/>
  <c r="M79" i="22" s="1"/>
  <c r="E80" i="22"/>
  <c r="M80" i="22" s="1"/>
  <c r="E81" i="22"/>
  <c r="M81" i="22" s="1"/>
  <c r="E82" i="22"/>
  <c r="M82" i="22" s="1"/>
  <c r="E83" i="22"/>
  <c r="M83" i="22" s="1"/>
  <c r="E84" i="22"/>
  <c r="M84" i="22" s="1"/>
  <c r="E85" i="22"/>
  <c r="M85" i="22" s="1"/>
  <c r="E86" i="22"/>
  <c r="M86" i="22" s="1"/>
  <c r="E87" i="22"/>
  <c r="M87" i="22" s="1"/>
  <c r="E88" i="22"/>
  <c r="M88" i="22" s="1"/>
  <c r="E89" i="22"/>
  <c r="M89" i="22" s="1"/>
  <c r="E90" i="22"/>
  <c r="M90" i="22" s="1"/>
  <c r="E91" i="22"/>
  <c r="M91" i="22" s="1"/>
  <c r="E92" i="22"/>
  <c r="M92" i="22" s="1"/>
  <c r="E93" i="22"/>
  <c r="M93" i="22" s="1"/>
  <c r="E94" i="22"/>
  <c r="M94" i="22" s="1"/>
  <c r="E95" i="22"/>
  <c r="M95" i="22" s="1"/>
  <c r="E96" i="22"/>
  <c r="M96" i="22" s="1"/>
  <c r="E97" i="22"/>
  <c r="M97" i="22" s="1"/>
  <c r="E98" i="22"/>
  <c r="M98" i="22" s="1"/>
  <c r="E99" i="22"/>
  <c r="M99" i="22" s="1"/>
  <c r="E100" i="22"/>
  <c r="M100" i="22" s="1"/>
  <c r="E101" i="22"/>
  <c r="M101" i="22" s="1"/>
  <c r="E102" i="22"/>
  <c r="M102" i="22" s="1"/>
  <c r="E11" i="23"/>
  <c r="M11" i="23" s="1"/>
  <c r="E12" i="23"/>
  <c r="M12" i="23" s="1"/>
  <c r="E13" i="23"/>
  <c r="M13" i="23" s="1"/>
  <c r="E14" i="23"/>
  <c r="M14" i="23" s="1"/>
  <c r="E15" i="23"/>
  <c r="M15" i="23" s="1"/>
  <c r="E16" i="23"/>
  <c r="M16" i="23" s="1"/>
  <c r="E17" i="23"/>
  <c r="M17" i="23" s="1"/>
  <c r="E18" i="23"/>
  <c r="M18" i="23" s="1"/>
  <c r="E19" i="23"/>
  <c r="M19" i="23" s="1"/>
  <c r="E20" i="23"/>
  <c r="M20" i="23" s="1"/>
  <c r="E21" i="23"/>
  <c r="M21" i="23" s="1"/>
  <c r="E22" i="23"/>
  <c r="M22" i="23" s="1"/>
  <c r="E23" i="23"/>
  <c r="M23" i="23" s="1"/>
  <c r="E24" i="23"/>
  <c r="M24" i="23" s="1"/>
  <c r="E25" i="23"/>
  <c r="M25" i="23" s="1"/>
  <c r="E26" i="23"/>
  <c r="M26" i="23" s="1"/>
  <c r="E27" i="23"/>
  <c r="M27" i="23" s="1"/>
  <c r="E28" i="23"/>
  <c r="M28" i="23" s="1"/>
  <c r="E29" i="23"/>
  <c r="M29" i="23" s="1"/>
  <c r="E30" i="23"/>
  <c r="M30" i="23" s="1"/>
  <c r="E31" i="23"/>
  <c r="M31" i="23" s="1"/>
  <c r="E32" i="23"/>
  <c r="M32" i="23" s="1"/>
  <c r="E33" i="23"/>
  <c r="M33" i="23" s="1"/>
  <c r="E34" i="23"/>
  <c r="M34" i="23" s="1"/>
  <c r="E35" i="23"/>
  <c r="M35" i="23" s="1"/>
  <c r="E36" i="23"/>
  <c r="M36" i="23" s="1"/>
  <c r="E37" i="23"/>
  <c r="M37" i="23" s="1"/>
  <c r="E38" i="23"/>
  <c r="M38" i="23" s="1"/>
  <c r="E39" i="23"/>
  <c r="M39" i="23" s="1"/>
  <c r="E40" i="23"/>
  <c r="M40" i="23" s="1"/>
  <c r="E41" i="23"/>
  <c r="M41" i="23" s="1"/>
  <c r="E42" i="23"/>
  <c r="M42" i="23" s="1"/>
  <c r="E43" i="23"/>
  <c r="M43" i="23" s="1"/>
  <c r="E44" i="23"/>
  <c r="M44" i="23" s="1"/>
  <c r="E45" i="23"/>
  <c r="M45" i="23" s="1"/>
  <c r="E46" i="23"/>
  <c r="M46" i="23" s="1"/>
  <c r="E47" i="23"/>
  <c r="M47" i="23" s="1"/>
  <c r="E48" i="23"/>
  <c r="M48" i="23" s="1"/>
  <c r="E49" i="23"/>
  <c r="M49" i="23" s="1"/>
  <c r="E50" i="23"/>
  <c r="M50" i="23" s="1"/>
  <c r="E51" i="23"/>
  <c r="M51" i="23" s="1"/>
  <c r="E52" i="23"/>
  <c r="M52" i="23" s="1"/>
  <c r="E53" i="23"/>
  <c r="M53" i="23" s="1"/>
  <c r="E54" i="23"/>
  <c r="M54" i="23" s="1"/>
  <c r="E55" i="23"/>
  <c r="M55" i="23" s="1"/>
  <c r="E56" i="23"/>
  <c r="M56" i="23" s="1"/>
  <c r="E57" i="23"/>
  <c r="M57" i="23" s="1"/>
  <c r="E58" i="23"/>
  <c r="M58" i="23" s="1"/>
  <c r="E59" i="23"/>
  <c r="M59" i="23" s="1"/>
  <c r="E60" i="23"/>
  <c r="M60" i="23" s="1"/>
  <c r="E61" i="23"/>
  <c r="M61" i="23" s="1"/>
  <c r="E62" i="23"/>
  <c r="M62" i="23" s="1"/>
  <c r="E63" i="23"/>
  <c r="M63" i="23" s="1"/>
  <c r="E64" i="23"/>
  <c r="M64" i="23" s="1"/>
  <c r="E65" i="23"/>
  <c r="M65" i="23" s="1"/>
  <c r="E66" i="23"/>
  <c r="M66" i="23" s="1"/>
  <c r="E67" i="23"/>
  <c r="M67" i="23" s="1"/>
  <c r="E68" i="23"/>
  <c r="M68" i="23" s="1"/>
  <c r="E69" i="23"/>
  <c r="M69" i="23" s="1"/>
  <c r="E70" i="23"/>
  <c r="M70" i="23" s="1"/>
  <c r="E71" i="23"/>
  <c r="M71" i="23" s="1"/>
  <c r="E72" i="23"/>
  <c r="M72" i="23" s="1"/>
  <c r="E73" i="23"/>
  <c r="M73" i="23" s="1"/>
  <c r="E74" i="23"/>
  <c r="M74" i="23" s="1"/>
  <c r="E75" i="23"/>
  <c r="M75" i="23" s="1"/>
  <c r="E76" i="23"/>
  <c r="M76" i="23" s="1"/>
  <c r="E77" i="23"/>
  <c r="M77" i="23" s="1"/>
  <c r="E78" i="23"/>
  <c r="M78" i="23" s="1"/>
  <c r="E79" i="23"/>
  <c r="M79" i="23" s="1"/>
  <c r="E80" i="23"/>
  <c r="M80" i="23" s="1"/>
  <c r="E81" i="23"/>
  <c r="M81" i="23" s="1"/>
  <c r="E82" i="23"/>
  <c r="M82" i="23" s="1"/>
  <c r="E83" i="23"/>
  <c r="M83" i="23" s="1"/>
  <c r="E84" i="23"/>
  <c r="M84" i="23" s="1"/>
  <c r="E85" i="23"/>
  <c r="M85" i="23" s="1"/>
  <c r="E86" i="23"/>
  <c r="M86" i="23" s="1"/>
  <c r="E87" i="23"/>
  <c r="M87" i="23" s="1"/>
  <c r="E88" i="23"/>
  <c r="M88" i="23" s="1"/>
  <c r="E89" i="23"/>
  <c r="M89" i="23" s="1"/>
  <c r="E90" i="23"/>
  <c r="M90" i="23" s="1"/>
  <c r="E91" i="23"/>
  <c r="M91" i="23" s="1"/>
  <c r="E92" i="23"/>
  <c r="M92" i="23" s="1"/>
  <c r="E93" i="23"/>
  <c r="M93" i="23" s="1"/>
  <c r="E94" i="23"/>
  <c r="M94" i="23" s="1"/>
  <c r="E95" i="23"/>
  <c r="M95" i="23" s="1"/>
  <c r="E96" i="23"/>
  <c r="M96" i="23" s="1"/>
  <c r="E97" i="23"/>
  <c r="M97" i="23" s="1"/>
  <c r="E98" i="23"/>
  <c r="M98" i="23" s="1"/>
  <c r="E99" i="23"/>
  <c r="M99" i="23" s="1"/>
  <c r="E100" i="23"/>
  <c r="M100" i="23" s="1"/>
  <c r="E101" i="23"/>
  <c r="M101" i="23" s="1"/>
  <c r="E102" i="23"/>
  <c r="M102" i="23" s="1"/>
  <c r="E11" i="24"/>
  <c r="M11" i="24" s="1"/>
  <c r="E12" i="24"/>
  <c r="M12" i="24" s="1"/>
  <c r="E13" i="24"/>
  <c r="M13" i="24" s="1"/>
  <c r="E14" i="24"/>
  <c r="M14" i="24" s="1"/>
  <c r="E15" i="24"/>
  <c r="M15" i="24" s="1"/>
  <c r="E16" i="24"/>
  <c r="M16" i="24" s="1"/>
  <c r="E17" i="24"/>
  <c r="M17" i="24" s="1"/>
  <c r="E18" i="24"/>
  <c r="M18" i="24" s="1"/>
  <c r="E19" i="24"/>
  <c r="M19" i="24" s="1"/>
  <c r="E20" i="24"/>
  <c r="M20" i="24" s="1"/>
  <c r="E21" i="24"/>
  <c r="M21" i="24" s="1"/>
  <c r="E22" i="24"/>
  <c r="M22" i="24" s="1"/>
  <c r="E23" i="24"/>
  <c r="M23" i="24" s="1"/>
  <c r="E24" i="24"/>
  <c r="M24" i="24" s="1"/>
  <c r="E25" i="24"/>
  <c r="M25" i="24" s="1"/>
  <c r="E26" i="24"/>
  <c r="M26" i="24" s="1"/>
  <c r="E27" i="24"/>
  <c r="M27" i="24" s="1"/>
  <c r="E28" i="24"/>
  <c r="M28" i="24" s="1"/>
  <c r="E29" i="24"/>
  <c r="M29" i="24" s="1"/>
  <c r="E30" i="24"/>
  <c r="M30" i="24" s="1"/>
  <c r="E31" i="24"/>
  <c r="M31" i="24" s="1"/>
  <c r="E32" i="24"/>
  <c r="M32" i="24" s="1"/>
  <c r="E33" i="24"/>
  <c r="M33" i="24" s="1"/>
  <c r="E34" i="24"/>
  <c r="M34" i="24" s="1"/>
  <c r="E35" i="24"/>
  <c r="M35" i="24" s="1"/>
  <c r="E36" i="24"/>
  <c r="M36" i="24" s="1"/>
  <c r="E37" i="24"/>
  <c r="M37" i="24" s="1"/>
  <c r="E38" i="24"/>
  <c r="M38" i="24" s="1"/>
  <c r="E39" i="24"/>
  <c r="M39" i="24" s="1"/>
  <c r="E40" i="24"/>
  <c r="M40" i="24" s="1"/>
  <c r="E41" i="24"/>
  <c r="M41" i="24" s="1"/>
  <c r="E42" i="24"/>
  <c r="M42" i="24" s="1"/>
  <c r="E43" i="24"/>
  <c r="M43" i="24" s="1"/>
  <c r="E44" i="24"/>
  <c r="M44" i="24" s="1"/>
  <c r="E45" i="24"/>
  <c r="M45" i="24" s="1"/>
  <c r="E46" i="24"/>
  <c r="M46" i="24" s="1"/>
  <c r="E47" i="24"/>
  <c r="M47" i="24" s="1"/>
  <c r="E48" i="24"/>
  <c r="M48" i="24" s="1"/>
  <c r="E49" i="24"/>
  <c r="M49" i="24" s="1"/>
  <c r="E50" i="24"/>
  <c r="M50" i="24" s="1"/>
  <c r="E51" i="24"/>
  <c r="M51" i="24" s="1"/>
  <c r="E52" i="24"/>
  <c r="M52" i="24" s="1"/>
  <c r="E53" i="24"/>
  <c r="M53" i="24" s="1"/>
  <c r="E54" i="24"/>
  <c r="M54" i="24" s="1"/>
  <c r="E55" i="24"/>
  <c r="M55" i="24" s="1"/>
  <c r="E56" i="24"/>
  <c r="M56" i="24" s="1"/>
  <c r="E57" i="24"/>
  <c r="M57" i="24" s="1"/>
  <c r="E58" i="24"/>
  <c r="M58" i="24" s="1"/>
  <c r="E59" i="24"/>
  <c r="M59" i="24" s="1"/>
  <c r="E60" i="24"/>
  <c r="M60" i="24" s="1"/>
  <c r="E61" i="24"/>
  <c r="M61" i="24" s="1"/>
  <c r="E62" i="24"/>
  <c r="M62" i="24" s="1"/>
  <c r="E63" i="24"/>
  <c r="M63" i="24" s="1"/>
  <c r="E64" i="24"/>
  <c r="M64" i="24" s="1"/>
  <c r="E65" i="24"/>
  <c r="M65" i="24" s="1"/>
  <c r="E66" i="24"/>
  <c r="M66" i="24" s="1"/>
  <c r="E67" i="24"/>
  <c r="M67" i="24" s="1"/>
  <c r="E68" i="24"/>
  <c r="M68" i="24" s="1"/>
  <c r="E69" i="24"/>
  <c r="M69" i="24" s="1"/>
  <c r="E70" i="24"/>
  <c r="M70" i="24" s="1"/>
  <c r="E71" i="24"/>
  <c r="M71" i="24" s="1"/>
  <c r="E72" i="24"/>
  <c r="M72" i="24" s="1"/>
  <c r="E73" i="24"/>
  <c r="M73" i="24" s="1"/>
  <c r="E74" i="24"/>
  <c r="M74" i="24" s="1"/>
  <c r="E75" i="24"/>
  <c r="M75" i="24" s="1"/>
  <c r="E76" i="24"/>
  <c r="M76" i="24" s="1"/>
  <c r="E77" i="24"/>
  <c r="M77" i="24" s="1"/>
  <c r="E78" i="24"/>
  <c r="M78" i="24" s="1"/>
  <c r="E79" i="24"/>
  <c r="M79" i="24" s="1"/>
  <c r="E80" i="24"/>
  <c r="M80" i="24" s="1"/>
  <c r="E81" i="24"/>
  <c r="M81" i="24" s="1"/>
  <c r="E82" i="24"/>
  <c r="M82" i="24" s="1"/>
  <c r="E83" i="24"/>
  <c r="M83" i="24" s="1"/>
  <c r="E84" i="24"/>
  <c r="M84" i="24" s="1"/>
  <c r="E85" i="24"/>
  <c r="M85" i="24" s="1"/>
  <c r="E86" i="24"/>
  <c r="M86" i="24" s="1"/>
  <c r="E87" i="24"/>
  <c r="M87" i="24" s="1"/>
  <c r="E88" i="24"/>
  <c r="M88" i="24" s="1"/>
  <c r="E89" i="24"/>
  <c r="M89" i="24" s="1"/>
  <c r="E90" i="24"/>
  <c r="M90" i="24" s="1"/>
  <c r="E91" i="24"/>
  <c r="M91" i="24" s="1"/>
  <c r="E92" i="24"/>
  <c r="M92" i="24" s="1"/>
  <c r="E93" i="24"/>
  <c r="M93" i="24" s="1"/>
  <c r="E94" i="24"/>
  <c r="M94" i="24" s="1"/>
  <c r="E95" i="24"/>
  <c r="M95" i="24" s="1"/>
  <c r="E96" i="24"/>
  <c r="M96" i="24" s="1"/>
  <c r="E97" i="24"/>
  <c r="M97" i="24" s="1"/>
  <c r="E98" i="24"/>
  <c r="M98" i="24" s="1"/>
  <c r="E99" i="24"/>
  <c r="M99" i="24" s="1"/>
  <c r="E100" i="24"/>
  <c r="M100" i="24" s="1"/>
  <c r="E101" i="24"/>
  <c r="M101" i="24" s="1"/>
  <c r="E102" i="24"/>
  <c r="M102" i="24" s="1"/>
  <c r="E10" i="24"/>
  <c r="M10" i="24" s="1"/>
  <c r="E10" i="23"/>
  <c r="M10" i="23" s="1"/>
  <c r="E10" i="22"/>
  <c r="M10" i="22" s="1"/>
  <c r="E10" i="21"/>
  <c r="M10" i="21" s="1"/>
  <c r="E10" i="20"/>
  <c r="M10" i="20" s="1"/>
  <c r="E10" i="19"/>
  <c r="M10" i="19" s="1"/>
  <c r="E10" i="18"/>
  <c r="M10" i="18" s="1"/>
  <c r="E10" i="17"/>
  <c r="M10" i="17" s="1"/>
  <c r="E10" i="15"/>
  <c r="M10" i="15" s="1"/>
  <c r="E10" i="14"/>
  <c r="M10" i="14" s="1"/>
  <c r="E11" i="12"/>
  <c r="M11" i="12" s="1"/>
  <c r="E12" i="12"/>
  <c r="M12" i="12" s="1"/>
  <c r="E13" i="12"/>
  <c r="M13" i="12" s="1"/>
  <c r="E14" i="12"/>
  <c r="M14" i="12" s="1"/>
  <c r="E15" i="12"/>
  <c r="M15" i="12" s="1"/>
  <c r="E16" i="12"/>
  <c r="M16" i="12" s="1"/>
  <c r="E17" i="12"/>
  <c r="M17" i="12" s="1"/>
  <c r="E18" i="12"/>
  <c r="M18" i="12" s="1"/>
  <c r="E19" i="12"/>
  <c r="M19" i="12" s="1"/>
  <c r="E20" i="12"/>
  <c r="M20" i="12" s="1"/>
  <c r="E21" i="12"/>
  <c r="M21" i="12" s="1"/>
  <c r="E22" i="12"/>
  <c r="M22" i="12" s="1"/>
  <c r="E23" i="12"/>
  <c r="M23" i="12" s="1"/>
  <c r="E24" i="12"/>
  <c r="M24" i="12" s="1"/>
  <c r="E25" i="12"/>
  <c r="M25" i="12" s="1"/>
  <c r="E26" i="12"/>
  <c r="M26" i="12" s="1"/>
  <c r="E27" i="12"/>
  <c r="M27" i="12" s="1"/>
  <c r="E28" i="12"/>
  <c r="M28" i="12" s="1"/>
  <c r="E29" i="12"/>
  <c r="M29" i="12" s="1"/>
  <c r="E30" i="12"/>
  <c r="M30" i="12" s="1"/>
  <c r="E31" i="12"/>
  <c r="M31" i="12" s="1"/>
  <c r="E32" i="12"/>
  <c r="M32" i="12" s="1"/>
  <c r="E33" i="12"/>
  <c r="M33" i="12" s="1"/>
  <c r="E34" i="12"/>
  <c r="M34" i="12" s="1"/>
  <c r="E35" i="12"/>
  <c r="M35" i="12" s="1"/>
  <c r="E36" i="12"/>
  <c r="M36" i="12" s="1"/>
  <c r="E37" i="12"/>
  <c r="M37" i="12" s="1"/>
  <c r="E38" i="12"/>
  <c r="M38" i="12" s="1"/>
  <c r="E39" i="12"/>
  <c r="M39" i="12" s="1"/>
  <c r="E40" i="12"/>
  <c r="M40" i="12" s="1"/>
  <c r="E41" i="12"/>
  <c r="M41" i="12" s="1"/>
  <c r="E42" i="12"/>
  <c r="M42" i="12" s="1"/>
  <c r="E43" i="12"/>
  <c r="M43" i="12" s="1"/>
  <c r="E44" i="12"/>
  <c r="M44" i="12" s="1"/>
  <c r="E45" i="12"/>
  <c r="M45" i="12" s="1"/>
  <c r="E46" i="12"/>
  <c r="M46" i="12" s="1"/>
  <c r="E47" i="12"/>
  <c r="M47" i="12" s="1"/>
  <c r="E48" i="12"/>
  <c r="M48" i="12" s="1"/>
  <c r="E49" i="12"/>
  <c r="M49" i="12" s="1"/>
  <c r="E50" i="12"/>
  <c r="M50" i="12" s="1"/>
  <c r="E51" i="12"/>
  <c r="M51" i="12" s="1"/>
  <c r="E52" i="12"/>
  <c r="M52" i="12" s="1"/>
  <c r="E53" i="12"/>
  <c r="M53" i="12" s="1"/>
  <c r="E54" i="12"/>
  <c r="M54" i="12" s="1"/>
  <c r="E55" i="12"/>
  <c r="M55" i="12" s="1"/>
  <c r="E56" i="12"/>
  <c r="M56" i="12" s="1"/>
  <c r="E57" i="12"/>
  <c r="M57" i="12" s="1"/>
  <c r="E58" i="12"/>
  <c r="M58" i="12" s="1"/>
  <c r="E59" i="12"/>
  <c r="M59" i="12" s="1"/>
  <c r="E60" i="12"/>
  <c r="M60" i="12" s="1"/>
  <c r="E61" i="12"/>
  <c r="M61" i="12" s="1"/>
  <c r="E62" i="12"/>
  <c r="M62" i="12" s="1"/>
  <c r="E63" i="12"/>
  <c r="M63" i="12" s="1"/>
  <c r="E64" i="12"/>
  <c r="M64" i="12" s="1"/>
  <c r="E65" i="12"/>
  <c r="M65" i="12" s="1"/>
  <c r="E66" i="12"/>
  <c r="M66" i="12" s="1"/>
  <c r="E67" i="12"/>
  <c r="M67" i="12" s="1"/>
  <c r="E68" i="12"/>
  <c r="M68" i="12" s="1"/>
  <c r="E69" i="12"/>
  <c r="M69" i="12" s="1"/>
  <c r="E70" i="12"/>
  <c r="M70" i="12" s="1"/>
  <c r="E71" i="12"/>
  <c r="M71" i="12" s="1"/>
  <c r="E72" i="12"/>
  <c r="M72" i="12" s="1"/>
  <c r="E73" i="12"/>
  <c r="M73" i="12" s="1"/>
  <c r="E74" i="12"/>
  <c r="M74" i="12" s="1"/>
  <c r="E75" i="12"/>
  <c r="M75" i="12" s="1"/>
  <c r="E76" i="12"/>
  <c r="M76" i="12" s="1"/>
  <c r="E77" i="12"/>
  <c r="M77" i="12" s="1"/>
  <c r="E78" i="12"/>
  <c r="M78" i="12" s="1"/>
  <c r="E79" i="12"/>
  <c r="M79" i="12" s="1"/>
  <c r="E80" i="12"/>
  <c r="M80" i="12" s="1"/>
  <c r="E81" i="12"/>
  <c r="M81" i="12" s="1"/>
  <c r="E82" i="12"/>
  <c r="M82" i="12" s="1"/>
  <c r="E83" i="12"/>
  <c r="M83" i="12" s="1"/>
  <c r="E84" i="12"/>
  <c r="M84" i="12" s="1"/>
  <c r="E85" i="12"/>
  <c r="M85" i="12" s="1"/>
  <c r="E86" i="12"/>
  <c r="M86" i="12" s="1"/>
  <c r="E87" i="12"/>
  <c r="M87" i="12" s="1"/>
  <c r="E88" i="12"/>
  <c r="M88" i="12" s="1"/>
  <c r="E89" i="12"/>
  <c r="M89" i="12" s="1"/>
  <c r="E90" i="12"/>
  <c r="M90" i="12" s="1"/>
  <c r="E91" i="12"/>
  <c r="M91" i="12" s="1"/>
  <c r="E92" i="12"/>
  <c r="M92" i="12" s="1"/>
  <c r="E93" i="12"/>
  <c r="M93" i="12" s="1"/>
  <c r="E94" i="12"/>
  <c r="M94" i="12" s="1"/>
  <c r="E95" i="12"/>
  <c r="M95" i="12" s="1"/>
  <c r="E96" i="12"/>
  <c r="M96" i="12" s="1"/>
  <c r="E97" i="12"/>
  <c r="M97" i="12" s="1"/>
  <c r="E98" i="12"/>
  <c r="M98" i="12" s="1"/>
  <c r="E99" i="12"/>
  <c r="M99" i="12" s="1"/>
  <c r="E100" i="12"/>
  <c r="M100" i="12" s="1"/>
  <c r="E101" i="12"/>
  <c r="M101" i="12" s="1"/>
  <c r="E102" i="12"/>
  <c r="M102" i="12" s="1"/>
  <c r="E10" i="12"/>
  <c r="M10" i="12" s="1"/>
  <c r="Q103" i="20"/>
  <c r="O104" i="20"/>
  <c r="P104" i="20"/>
  <c r="Q104" i="20"/>
  <c r="R104" i="20"/>
  <c r="S104" i="20"/>
  <c r="F104" i="20"/>
  <c r="G104" i="20"/>
  <c r="I104" i="20"/>
  <c r="J104" i="20"/>
  <c r="L104" i="20"/>
  <c r="O105" i="20"/>
  <c r="P105" i="20"/>
  <c r="Q105" i="20"/>
  <c r="U105" i="20" s="1"/>
  <c r="R105" i="20"/>
  <c r="S105" i="20"/>
  <c r="F105" i="20"/>
  <c r="G105" i="20"/>
  <c r="I105" i="20"/>
  <c r="J105" i="20"/>
  <c r="L105" i="20"/>
  <c r="C105" i="18"/>
  <c r="C104" i="18"/>
  <c r="C103" i="18"/>
  <c r="D103" i="18"/>
  <c r="D104" i="18"/>
  <c r="D105" i="18"/>
  <c r="C103" i="17"/>
  <c r="C104" i="17"/>
  <c r="C105" i="17"/>
  <c r="N105" i="17" s="1"/>
  <c r="C103" i="16"/>
  <c r="C104" i="16"/>
  <c r="C105" i="16"/>
  <c r="C103" i="14"/>
  <c r="C104" i="14"/>
  <c r="C105" i="14"/>
  <c r="C103" i="12"/>
  <c r="C104" i="12"/>
  <c r="C105" i="12"/>
  <c r="D103" i="12"/>
  <c r="D104" i="12"/>
  <c r="D105" i="12"/>
  <c r="C103" i="24"/>
  <c r="C104" i="24"/>
  <c r="C105" i="24"/>
  <c r="D103" i="24"/>
  <c r="D103" i="26" s="1"/>
  <c r="D104" i="24"/>
  <c r="D105" i="24"/>
  <c r="C103" i="23"/>
  <c r="C104" i="23"/>
  <c r="C105" i="23"/>
  <c r="D103" i="23"/>
  <c r="D104" i="23"/>
  <c r="D104" i="26" s="1"/>
  <c r="D105" i="23"/>
  <c r="C103" i="22"/>
  <c r="C104" i="22"/>
  <c r="C105" i="22"/>
  <c r="D103" i="22"/>
  <c r="D104" i="22"/>
  <c r="D105" i="22"/>
  <c r="C103" i="21"/>
  <c r="C104" i="21"/>
  <c r="C105" i="21"/>
  <c r="D103" i="21"/>
  <c r="D104" i="21"/>
  <c r="D105" i="21"/>
  <c r="I103" i="18"/>
  <c r="L103" i="18"/>
  <c r="I104" i="18"/>
  <c r="L104" i="18"/>
  <c r="I105" i="18"/>
  <c r="L105" i="18"/>
  <c r="J103" i="18"/>
  <c r="J105" i="18"/>
  <c r="J106" i="18" s="1"/>
  <c r="J104" i="18"/>
  <c r="I103" i="17"/>
  <c r="L103" i="17"/>
  <c r="I104" i="17"/>
  <c r="L104" i="17"/>
  <c r="I105" i="17"/>
  <c r="L105" i="17"/>
  <c r="J103" i="17"/>
  <c r="J105" i="17"/>
  <c r="J104" i="17"/>
  <c r="I103" i="15"/>
  <c r="L103" i="15"/>
  <c r="I104" i="15"/>
  <c r="L104" i="15"/>
  <c r="I105" i="15"/>
  <c r="L105" i="15"/>
  <c r="J103" i="15"/>
  <c r="J105" i="15"/>
  <c r="J104" i="15"/>
  <c r="F103" i="18"/>
  <c r="F105" i="18"/>
  <c r="G103" i="18"/>
  <c r="G105" i="18"/>
  <c r="Q3" i="18"/>
  <c r="I9" i="2" s="1"/>
  <c r="F103" i="17"/>
  <c r="F105" i="17"/>
  <c r="G103" i="17"/>
  <c r="G106" i="17" s="1"/>
  <c r="G105" i="17"/>
  <c r="F103" i="15"/>
  <c r="F105" i="15"/>
  <c r="G103" i="15"/>
  <c r="G105" i="15"/>
  <c r="S105" i="24"/>
  <c r="R105" i="24"/>
  <c r="Q105" i="24"/>
  <c r="Q106" i="24" s="1"/>
  <c r="P105" i="24"/>
  <c r="O105" i="24"/>
  <c r="U105" i="24" s="1"/>
  <c r="L105" i="24"/>
  <c r="J105" i="24"/>
  <c r="I105" i="24"/>
  <c r="G105" i="24"/>
  <c r="F105" i="24"/>
  <c r="S104" i="24"/>
  <c r="S106" i="24" s="1"/>
  <c r="R104" i="24"/>
  <c r="R106" i="24" s="1"/>
  <c r="Q104" i="24"/>
  <c r="P104" i="24"/>
  <c r="O104" i="24"/>
  <c r="L104" i="24"/>
  <c r="J104" i="24"/>
  <c r="I104" i="24"/>
  <c r="G104" i="24"/>
  <c r="F104" i="24"/>
  <c r="S103" i="24"/>
  <c r="R103" i="24"/>
  <c r="Q103" i="24"/>
  <c r="P103" i="24"/>
  <c r="O103" i="24"/>
  <c r="L103" i="24"/>
  <c r="I103" i="24"/>
  <c r="Q4" i="24" s="1"/>
  <c r="J15" i="2" s="1"/>
  <c r="J103" i="24"/>
  <c r="G103" i="24"/>
  <c r="F103" i="24"/>
  <c r="V102" i="24"/>
  <c r="V101" i="24"/>
  <c r="V100" i="24"/>
  <c r="V99" i="24"/>
  <c r="V98" i="24"/>
  <c r="V97" i="24"/>
  <c r="V96" i="24"/>
  <c r="V95" i="24"/>
  <c r="V94" i="24"/>
  <c r="V93" i="24"/>
  <c r="V92" i="24"/>
  <c r="V91" i="24"/>
  <c r="V90" i="24"/>
  <c r="V89" i="24"/>
  <c r="V88" i="24"/>
  <c r="V87" i="24"/>
  <c r="V86" i="24"/>
  <c r="V85" i="24"/>
  <c r="V84" i="24"/>
  <c r="V83" i="24"/>
  <c r="V82" i="24"/>
  <c r="V81" i="24"/>
  <c r="V80" i="24"/>
  <c r="V79" i="24"/>
  <c r="V78" i="24"/>
  <c r="V77" i="24"/>
  <c r="V76" i="24"/>
  <c r="V75" i="24"/>
  <c r="V74" i="24"/>
  <c r="V73" i="24"/>
  <c r="V72" i="24"/>
  <c r="V71" i="24"/>
  <c r="V70" i="24"/>
  <c r="V69" i="24"/>
  <c r="V68" i="24"/>
  <c r="V67" i="24"/>
  <c r="V66" i="24"/>
  <c r="V65" i="24"/>
  <c r="V64" i="24"/>
  <c r="V63" i="24"/>
  <c r="V62" i="24"/>
  <c r="V61" i="24"/>
  <c r="V60" i="24"/>
  <c r="V59" i="24"/>
  <c r="V58" i="24"/>
  <c r="V57" i="24"/>
  <c r="V56" i="24"/>
  <c r="V55" i="24"/>
  <c r="V54" i="24"/>
  <c r="V53" i="24"/>
  <c r="V52" i="24"/>
  <c r="V51" i="24"/>
  <c r="V50" i="24"/>
  <c r="V49" i="24"/>
  <c r="V48" i="24"/>
  <c r="V47" i="24"/>
  <c r="V46" i="24"/>
  <c r="V45" i="24"/>
  <c r="V44" i="24"/>
  <c r="V43" i="24"/>
  <c r="V42" i="24"/>
  <c r="V41" i="24"/>
  <c r="V40" i="24"/>
  <c r="V39" i="24"/>
  <c r="V38" i="24"/>
  <c r="V37" i="24"/>
  <c r="V36" i="24"/>
  <c r="V35" i="24"/>
  <c r="V34" i="24"/>
  <c r="V33" i="24"/>
  <c r="V32" i="24"/>
  <c r="V31" i="24"/>
  <c r="V30" i="24"/>
  <c r="V29" i="24"/>
  <c r="V28" i="24"/>
  <c r="V27" i="24"/>
  <c r="V26" i="24"/>
  <c r="V25" i="24"/>
  <c r="V24" i="24"/>
  <c r="V23" i="24"/>
  <c r="V22" i="24"/>
  <c r="V21" i="24"/>
  <c r="V20" i="24"/>
  <c r="V19" i="24"/>
  <c r="V18" i="24"/>
  <c r="V17" i="24"/>
  <c r="V16" i="24"/>
  <c r="V15" i="24"/>
  <c r="V14" i="24"/>
  <c r="V13" i="24"/>
  <c r="V12" i="24"/>
  <c r="V11" i="24"/>
  <c r="V10" i="24"/>
  <c r="S105" i="23"/>
  <c r="R105" i="23"/>
  <c r="Q105" i="23"/>
  <c r="P105" i="23"/>
  <c r="O105" i="23"/>
  <c r="L105" i="23"/>
  <c r="J105" i="23"/>
  <c r="I105" i="23"/>
  <c r="G105" i="23"/>
  <c r="F105" i="23"/>
  <c r="S104" i="23"/>
  <c r="R104" i="23"/>
  <c r="Q104" i="23"/>
  <c r="P104" i="23"/>
  <c r="O104" i="23"/>
  <c r="T104" i="23" s="1"/>
  <c r="L104" i="23"/>
  <c r="L106" i="23" s="1"/>
  <c r="J104" i="23"/>
  <c r="I104" i="23"/>
  <c r="G104" i="23"/>
  <c r="F104" i="23"/>
  <c r="S103" i="23"/>
  <c r="S106" i="23" s="1"/>
  <c r="R103" i="23"/>
  <c r="Q103" i="23"/>
  <c r="Q106" i="23" s="1"/>
  <c r="P103" i="23"/>
  <c r="O103" i="23"/>
  <c r="U103" i="23" s="1"/>
  <c r="L103" i="23"/>
  <c r="J103" i="23"/>
  <c r="I103" i="23"/>
  <c r="G103" i="23"/>
  <c r="G106" i="23" s="1"/>
  <c r="F103" i="23"/>
  <c r="V102" i="23"/>
  <c r="V101" i="23"/>
  <c r="V100" i="23"/>
  <c r="V99" i="23"/>
  <c r="V98" i="23"/>
  <c r="V97" i="23"/>
  <c r="V96" i="23"/>
  <c r="V95" i="23"/>
  <c r="V94" i="23"/>
  <c r="V93" i="23"/>
  <c r="V92" i="23"/>
  <c r="V91" i="23"/>
  <c r="V90" i="23"/>
  <c r="V89" i="23"/>
  <c r="V88" i="23"/>
  <c r="V87" i="23"/>
  <c r="V86" i="23"/>
  <c r="V85" i="23"/>
  <c r="V84" i="23"/>
  <c r="V83" i="23"/>
  <c r="V82" i="23"/>
  <c r="V81" i="23"/>
  <c r="V80" i="23"/>
  <c r="V79" i="23"/>
  <c r="V78" i="23"/>
  <c r="V77" i="23"/>
  <c r="V76" i="23"/>
  <c r="V75" i="23"/>
  <c r="V74" i="23"/>
  <c r="V73" i="23"/>
  <c r="V72" i="23"/>
  <c r="V71" i="23"/>
  <c r="V70" i="23"/>
  <c r="V69" i="23"/>
  <c r="V68" i="23"/>
  <c r="V67" i="23"/>
  <c r="V66" i="23"/>
  <c r="V65" i="23"/>
  <c r="V64" i="23"/>
  <c r="V63" i="23"/>
  <c r="V62" i="23"/>
  <c r="V61" i="23"/>
  <c r="V60" i="23"/>
  <c r="V59" i="23"/>
  <c r="V58" i="23"/>
  <c r="V57" i="23"/>
  <c r="V56" i="23"/>
  <c r="V55" i="23"/>
  <c r="V54" i="23"/>
  <c r="V53" i="23"/>
  <c r="V52" i="23"/>
  <c r="V51" i="23"/>
  <c r="V50" i="23"/>
  <c r="V49" i="23"/>
  <c r="V48" i="23"/>
  <c r="V47" i="23"/>
  <c r="V46" i="23"/>
  <c r="V45" i="23"/>
  <c r="V44" i="23"/>
  <c r="V43" i="23"/>
  <c r="V42" i="23"/>
  <c r="V41" i="23"/>
  <c r="V40" i="23"/>
  <c r="V39" i="23"/>
  <c r="V38" i="23"/>
  <c r="V37" i="23"/>
  <c r="V36" i="23"/>
  <c r="V35" i="23"/>
  <c r="V34" i="23"/>
  <c r="V33" i="23"/>
  <c r="V32" i="23"/>
  <c r="V31" i="23"/>
  <c r="V30" i="23"/>
  <c r="V29" i="23"/>
  <c r="V28" i="23"/>
  <c r="V27" i="23"/>
  <c r="V26" i="23"/>
  <c r="V25" i="23"/>
  <c r="V24" i="23"/>
  <c r="V23" i="23"/>
  <c r="V22" i="23"/>
  <c r="V21" i="23"/>
  <c r="V20" i="23"/>
  <c r="V19" i="23"/>
  <c r="V18" i="23"/>
  <c r="V17" i="23"/>
  <c r="V16" i="23"/>
  <c r="V15" i="23"/>
  <c r="V14" i="23"/>
  <c r="V13" i="23"/>
  <c r="V12" i="23"/>
  <c r="V11" i="23"/>
  <c r="V10" i="23"/>
  <c r="S105" i="22"/>
  <c r="R105" i="22"/>
  <c r="Q105" i="22"/>
  <c r="P105" i="22"/>
  <c r="P106" i="22" s="1"/>
  <c r="O105" i="22"/>
  <c r="L105" i="22"/>
  <c r="J105" i="22"/>
  <c r="I105" i="22"/>
  <c r="G105" i="22"/>
  <c r="F105" i="22"/>
  <c r="S104" i="22"/>
  <c r="R104" i="22"/>
  <c r="Q104" i="22"/>
  <c r="P104" i="22"/>
  <c r="O104" i="22"/>
  <c r="U104" i="22" s="1"/>
  <c r="L104" i="22"/>
  <c r="J104" i="22"/>
  <c r="I104" i="22"/>
  <c r="G104" i="22"/>
  <c r="F104" i="22"/>
  <c r="S103" i="22"/>
  <c r="R103" i="22"/>
  <c r="Q103" i="22"/>
  <c r="Q106" i="22"/>
  <c r="P103" i="22"/>
  <c r="O103" i="22"/>
  <c r="L103" i="22"/>
  <c r="J103" i="22"/>
  <c r="I103" i="22"/>
  <c r="G103" i="22"/>
  <c r="F103" i="22"/>
  <c r="V102" i="22"/>
  <c r="V101" i="22"/>
  <c r="V100" i="22"/>
  <c r="V99" i="22"/>
  <c r="V98" i="22"/>
  <c r="V97" i="22"/>
  <c r="V96" i="22"/>
  <c r="V95" i="22"/>
  <c r="V94" i="22"/>
  <c r="V93" i="22"/>
  <c r="V92" i="22"/>
  <c r="V91" i="22"/>
  <c r="V90" i="22"/>
  <c r="V89" i="22"/>
  <c r="V88" i="22"/>
  <c r="V87" i="22"/>
  <c r="V86" i="22"/>
  <c r="V85" i="22"/>
  <c r="V84" i="22"/>
  <c r="V83" i="22"/>
  <c r="V82" i="22"/>
  <c r="V81" i="22"/>
  <c r="V80" i="22"/>
  <c r="V79" i="22"/>
  <c r="V78" i="22"/>
  <c r="V77" i="22"/>
  <c r="V76" i="22"/>
  <c r="V75" i="22"/>
  <c r="V74" i="22"/>
  <c r="V73" i="22"/>
  <c r="V72" i="22"/>
  <c r="V71" i="22"/>
  <c r="V70" i="22"/>
  <c r="V69" i="22"/>
  <c r="V68" i="22"/>
  <c r="V67" i="22"/>
  <c r="V66" i="22"/>
  <c r="V65" i="22"/>
  <c r="V64" i="22"/>
  <c r="V63" i="22"/>
  <c r="V62" i="22"/>
  <c r="V61" i="22"/>
  <c r="V60" i="22"/>
  <c r="V59" i="22"/>
  <c r="V58" i="22"/>
  <c r="V57" i="22"/>
  <c r="V56" i="22"/>
  <c r="V55" i="22"/>
  <c r="V54" i="22"/>
  <c r="V53" i="22"/>
  <c r="V52" i="22"/>
  <c r="V51" i="22"/>
  <c r="V50" i="22"/>
  <c r="V49" i="22"/>
  <c r="V48" i="22"/>
  <c r="V47" i="22"/>
  <c r="V46" i="22"/>
  <c r="V45" i="22"/>
  <c r="V44" i="22"/>
  <c r="V43" i="22"/>
  <c r="V42" i="22"/>
  <c r="V41" i="22"/>
  <c r="V40" i="22"/>
  <c r="V39" i="22"/>
  <c r="V38" i="22"/>
  <c r="V37" i="22"/>
  <c r="V36" i="22"/>
  <c r="V35" i="22"/>
  <c r="V34" i="22"/>
  <c r="V33" i="22"/>
  <c r="V32" i="22"/>
  <c r="V31" i="22"/>
  <c r="V30" i="22"/>
  <c r="V29" i="22"/>
  <c r="V28" i="22"/>
  <c r="V27" i="22"/>
  <c r="V26" i="22"/>
  <c r="V25" i="22"/>
  <c r="V24" i="22"/>
  <c r="V23" i="22"/>
  <c r="V22" i="22"/>
  <c r="V21" i="22"/>
  <c r="V20" i="22"/>
  <c r="V19" i="22"/>
  <c r="V18" i="22"/>
  <c r="V17" i="22"/>
  <c r="V16" i="22"/>
  <c r="V15" i="22"/>
  <c r="V14" i="22"/>
  <c r="V13" i="22"/>
  <c r="V12" i="22"/>
  <c r="V11" i="22"/>
  <c r="V10" i="22"/>
  <c r="D105" i="20"/>
  <c r="C105" i="20"/>
  <c r="D104" i="20"/>
  <c r="C104" i="20"/>
  <c r="S103" i="20"/>
  <c r="R103" i="20"/>
  <c r="P103" i="20"/>
  <c r="O103" i="20"/>
  <c r="L103" i="20"/>
  <c r="L106" i="20" s="1"/>
  <c r="J103" i="20"/>
  <c r="J106" i="20" s="1"/>
  <c r="I103" i="20"/>
  <c r="G103" i="20"/>
  <c r="F103" i="20"/>
  <c r="D103" i="20"/>
  <c r="C103" i="20"/>
  <c r="V102" i="20"/>
  <c r="V101" i="20"/>
  <c r="V100" i="20"/>
  <c r="V99" i="20"/>
  <c r="V98" i="20"/>
  <c r="V97" i="20"/>
  <c r="V96" i="20"/>
  <c r="V95" i="20"/>
  <c r="V94" i="20"/>
  <c r="V93" i="20"/>
  <c r="V92" i="20"/>
  <c r="V91" i="20"/>
  <c r="V90" i="20"/>
  <c r="V89" i="20"/>
  <c r="V88" i="20"/>
  <c r="V87" i="20"/>
  <c r="V86" i="20"/>
  <c r="V85" i="20"/>
  <c r="V84" i="20"/>
  <c r="V83" i="20"/>
  <c r="V82" i="20"/>
  <c r="V81" i="20"/>
  <c r="V80" i="20"/>
  <c r="V79" i="20"/>
  <c r="V78" i="20"/>
  <c r="V77" i="20"/>
  <c r="V76" i="20"/>
  <c r="V75" i="20"/>
  <c r="V74" i="20"/>
  <c r="V73" i="20"/>
  <c r="V72" i="20"/>
  <c r="V71" i="20"/>
  <c r="V70" i="20"/>
  <c r="V69" i="20"/>
  <c r="V68" i="20"/>
  <c r="V67" i="20"/>
  <c r="V66" i="20"/>
  <c r="V65" i="20"/>
  <c r="V64" i="20"/>
  <c r="V63" i="20"/>
  <c r="V62" i="20"/>
  <c r="V61" i="20"/>
  <c r="V60" i="20"/>
  <c r="V59" i="20"/>
  <c r="V58" i="20"/>
  <c r="V57" i="20"/>
  <c r="V56" i="20"/>
  <c r="V55" i="20"/>
  <c r="V54" i="20"/>
  <c r="V53" i="20"/>
  <c r="V52" i="20"/>
  <c r="V51" i="20"/>
  <c r="V50" i="20"/>
  <c r="V49" i="20"/>
  <c r="V48" i="20"/>
  <c r="V47" i="20"/>
  <c r="V46" i="20"/>
  <c r="V45" i="20"/>
  <c r="V44" i="20"/>
  <c r="V43" i="20"/>
  <c r="V42" i="20"/>
  <c r="V41" i="20"/>
  <c r="V40" i="20"/>
  <c r="V39" i="20"/>
  <c r="V38" i="20"/>
  <c r="V37" i="20"/>
  <c r="V36" i="20"/>
  <c r="V35" i="20"/>
  <c r="V34" i="20"/>
  <c r="V33" i="20"/>
  <c r="V32" i="20"/>
  <c r="V31" i="20"/>
  <c r="V30" i="20"/>
  <c r="V29" i="20"/>
  <c r="V28" i="20"/>
  <c r="V27" i="20"/>
  <c r="V26" i="20"/>
  <c r="V25" i="20"/>
  <c r="V24" i="20"/>
  <c r="V23" i="20"/>
  <c r="V22" i="20"/>
  <c r="V21" i="20"/>
  <c r="V20" i="20"/>
  <c r="V19" i="20"/>
  <c r="V18" i="20"/>
  <c r="V17" i="20"/>
  <c r="V16" i="20"/>
  <c r="V15" i="20"/>
  <c r="V14" i="20"/>
  <c r="V13" i="20"/>
  <c r="V12" i="20"/>
  <c r="V11" i="20"/>
  <c r="V10" i="20"/>
  <c r="S105" i="21"/>
  <c r="R105" i="21"/>
  <c r="Q105" i="21"/>
  <c r="P105" i="21"/>
  <c r="U105" i="21" s="1"/>
  <c r="O105" i="21"/>
  <c r="L105" i="21"/>
  <c r="J105" i="21"/>
  <c r="I105" i="21"/>
  <c r="G105" i="21"/>
  <c r="F105" i="21"/>
  <c r="S104" i="21"/>
  <c r="R104" i="21"/>
  <c r="Q104" i="21"/>
  <c r="P104" i="21"/>
  <c r="O104" i="21"/>
  <c r="U104" i="21" s="1"/>
  <c r="L104" i="21"/>
  <c r="J104" i="21"/>
  <c r="I104" i="21"/>
  <c r="G104" i="21"/>
  <c r="F104" i="21"/>
  <c r="S103" i="21"/>
  <c r="R103" i="21"/>
  <c r="Q103" i="21"/>
  <c r="P103" i="21"/>
  <c r="O103" i="21"/>
  <c r="L103" i="21"/>
  <c r="J103" i="21"/>
  <c r="I103" i="21"/>
  <c r="I106" i="21" s="1"/>
  <c r="G103" i="21"/>
  <c r="F103" i="21"/>
  <c r="V102" i="21"/>
  <c r="V101" i="21"/>
  <c r="V100" i="21"/>
  <c r="V99" i="21"/>
  <c r="V98" i="21"/>
  <c r="V97" i="21"/>
  <c r="V96" i="21"/>
  <c r="V95" i="21"/>
  <c r="V94" i="21"/>
  <c r="V93" i="21"/>
  <c r="V92" i="21"/>
  <c r="V91" i="21"/>
  <c r="V90" i="21"/>
  <c r="V89" i="21"/>
  <c r="V88" i="21"/>
  <c r="V87" i="21"/>
  <c r="V86" i="21"/>
  <c r="V85" i="21"/>
  <c r="V84" i="21"/>
  <c r="V83" i="21"/>
  <c r="V82" i="21"/>
  <c r="V81" i="21"/>
  <c r="V80" i="21"/>
  <c r="V79" i="21"/>
  <c r="V78" i="21"/>
  <c r="V77" i="21"/>
  <c r="V76" i="21"/>
  <c r="V75" i="21"/>
  <c r="V74" i="21"/>
  <c r="V73" i="21"/>
  <c r="V72" i="21"/>
  <c r="V71" i="21"/>
  <c r="V70" i="21"/>
  <c r="V69" i="21"/>
  <c r="V68" i="21"/>
  <c r="V67" i="21"/>
  <c r="V66" i="21"/>
  <c r="V65" i="21"/>
  <c r="V64" i="21"/>
  <c r="V63" i="21"/>
  <c r="V62" i="21"/>
  <c r="V61" i="21"/>
  <c r="V60" i="21"/>
  <c r="V59" i="21"/>
  <c r="V58" i="21"/>
  <c r="V57" i="21"/>
  <c r="V56" i="21"/>
  <c r="V55" i="21"/>
  <c r="V54" i="21"/>
  <c r="V53" i="21"/>
  <c r="V52" i="21"/>
  <c r="V51" i="21"/>
  <c r="V50" i="21"/>
  <c r="V49" i="21"/>
  <c r="V48" i="21"/>
  <c r="V47" i="21"/>
  <c r="V46" i="21"/>
  <c r="V45" i="21"/>
  <c r="V44" i="21"/>
  <c r="V43" i="21"/>
  <c r="V42" i="21"/>
  <c r="V41" i="21"/>
  <c r="V40" i="21"/>
  <c r="V39" i="21"/>
  <c r="V38" i="21"/>
  <c r="V37" i="21"/>
  <c r="V36" i="21"/>
  <c r="V35" i="21"/>
  <c r="V34" i="21"/>
  <c r="V33" i="21"/>
  <c r="V32" i="21"/>
  <c r="V31" i="21"/>
  <c r="V30" i="21"/>
  <c r="V29" i="21"/>
  <c r="V28" i="21"/>
  <c r="V27" i="21"/>
  <c r="V26" i="21"/>
  <c r="V25" i="21"/>
  <c r="V24" i="21"/>
  <c r="V23" i="21"/>
  <c r="V22" i="21"/>
  <c r="V21" i="21"/>
  <c r="V20" i="21"/>
  <c r="V19" i="21"/>
  <c r="V18" i="21"/>
  <c r="V17" i="21"/>
  <c r="V16" i="21"/>
  <c r="V15" i="21"/>
  <c r="V14" i="21"/>
  <c r="V13" i="21"/>
  <c r="V12" i="21"/>
  <c r="V11" i="21"/>
  <c r="V10" i="21"/>
  <c r="V105" i="19"/>
  <c r="S105" i="19"/>
  <c r="R105" i="19"/>
  <c r="Q105" i="19"/>
  <c r="P105" i="19"/>
  <c r="O105" i="19"/>
  <c r="L105" i="19"/>
  <c r="J105" i="19"/>
  <c r="I105" i="19"/>
  <c r="G105" i="19"/>
  <c r="F105" i="19"/>
  <c r="D105" i="19"/>
  <c r="C105" i="19"/>
  <c r="S104" i="19"/>
  <c r="R104" i="19"/>
  <c r="Q104" i="19"/>
  <c r="Q106" i="19" s="1"/>
  <c r="P104" i="19"/>
  <c r="O104" i="19"/>
  <c r="L104" i="19"/>
  <c r="J104" i="19"/>
  <c r="I104" i="19"/>
  <c r="G104" i="19"/>
  <c r="F104" i="19"/>
  <c r="D104" i="19"/>
  <c r="C104" i="19"/>
  <c r="N104" i="19" s="1"/>
  <c r="S103" i="19"/>
  <c r="R103" i="19"/>
  <c r="Q103" i="19"/>
  <c r="P103" i="19"/>
  <c r="O103" i="19"/>
  <c r="U103" i="19" s="1"/>
  <c r="L103" i="19"/>
  <c r="J103" i="19"/>
  <c r="J106" i="19" s="1"/>
  <c r="I103" i="19"/>
  <c r="G103" i="19"/>
  <c r="F103" i="19"/>
  <c r="D103" i="19"/>
  <c r="C103" i="19"/>
  <c r="V102" i="19"/>
  <c r="V101" i="19"/>
  <c r="V100" i="19"/>
  <c r="V99" i="19"/>
  <c r="V98" i="19"/>
  <c r="V97" i="19"/>
  <c r="V96" i="19"/>
  <c r="V95" i="19"/>
  <c r="V94" i="19"/>
  <c r="V93" i="19"/>
  <c r="V92" i="19"/>
  <c r="V91" i="19"/>
  <c r="V90" i="19"/>
  <c r="V89" i="19"/>
  <c r="V88" i="19"/>
  <c r="V87" i="19"/>
  <c r="V86" i="19"/>
  <c r="V85" i="19"/>
  <c r="V84" i="19"/>
  <c r="V83" i="19"/>
  <c r="V82" i="19"/>
  <c r="V81" i="19"/>
  <c r="V80" i="19"/>
  <c r="V79" i="19"/>
  <c r="V78" i="19"/>
  <c r="V77" i="19"/>
  <c r="V76" i="19"/>
  <c r="V75" i="19"/>
  <c r="V74" i="19"/>
  <c r="V73" i="19"/>
  <c r="V72" i="19"/>
  <c r="V71" i="19"/>
  <c r="V70" i="19"/>
  <c r="V69" i="19"/>
  <c r="V68" i="19"/>
  <c r="V67" i="19"/>
  <c r="V66" i="19"/>
  <c r="V65" i="19"/>
  <c r="V64" i="19"/>
  <c r="V63" i="19"/>
  <c r="V62" i="19"/>
  <c r="V61" i="19"/>
  <c r="V60" i="19"/>
  <c r="V59" i="19"/>
  <c r="V58" i="19"/>
  <c r="V57" i="19"/>
  <c r="V56" i="19"/>
  <c r="V55" i="19"/>
  <c r="V54" i="19"/>
  <c r="V53" i="19"/>
  <c r="V52" i="19"/>
  <c r="V51" i="19"/>
  <c r="V50" i="19"/>
  <c r="V49" i="19"/>
  <c r="V48" i="19"/>
  <c r="V47" i="19"/>
  <c r="V46" i="19"/>
  <c r="V45" i="19"/>
  <c r="V44" i="19"/>
  <c r="V43" i="19"/>
  <c r="V42" i="19"/>
  <c r="V41" i="19"/>
  <c r="V40" i="19"/>
  <c r="V39" i="19"/>
  <c r="V38" i="19"/>
  <c r="V37" i="19"/>
  <c r="V36" i="19"/>
  <c r="V35" i="19"/>
  <c r="V34" i="19"/>
  <c r="V33" i="19"/>
  <c r="V32" i="19"/>
  <c r="V31" i="19"/>
  <c r="V30" i="19"/>
  <c r="V29" i="19"/>
  <c r="V28" i="19"/>
  <c r="V27" i="19"/>
  <c r="V26" i="19"/>
  <c r="V25" i="19"/>
  <c r="V24" i="19"/>
  <c r="V23" i="19"/>
  <c r="V22" i="19"/>
  <c r="V21" i="19"/>
  <c r="V20" i="19"/>
  <c r="V19" i="19"/>
  <c r="V18" i="19"/>
  <c r="V17" i="19"/>
  <c r="V16" i="19"/>
  <c r="V15" i="19"/>
  <c r="V14" i="19"/>
  <c r="V13" i="19"/>
  <c r="V12" i="19"/>
  <c r="V11" i="19"/>
  <c r="V10" i="19"/>
  <c r="S105" i="18"/>
  <c r="R105" i="18"/>
  <c r="Q105" i="18"/>
  <c r="P105" i="18"/>
  <c r="O105" i="18"/>
  <c r="U105" i="18" s="1"/>
  <c r="S104" i="18"/>
  <c r="R104" i="18"/>
  <c r="Q104" i="18"/>
  <c r="P104" i="18"/>
  <c r="O104" i="18"/>
  <c r="U104" i="18" s="1"/>
  <c r="G104" i="18"/>
  <c r="F104" i="18"/>
  <c r="S103" i="18"/>
  <c r="R103" i="18"/>
  <c r="Q103" i="18"/>
  <c r="Q106" i="18" s="1"/>
  <c r="P103" i="18"/>
  <c r="O103" i="18"/>
  <c r="U103" i="18" s="1"/>
  <c r="V102" i="18"/>
  <c r="V101" i="18"/>
  <c r="V100" i="18"/>
  <c r="V99" i="18"/>
  <c r="V98" i="18"/>
  <c r="V97" i="18"/>
  <c r="V96" i="18"/>
  <c r="V95" i="18"/>
  <c r="V94" i="18"/>
  <c r="V93" i="18"/>
  <c r="V92" i="18"/>
  <c r="V91" i="18"/>
  <c r="V90" i="18"/>
  <c r="V89" i="18"/>
  <c r="V88" i="18"/>
  <c r="V87" i="18"/>
  <c r="V86" i="18"/>
  <c r="V85" i="18"/>
  <c r="V84" i="18"/>
  <c r="V83" i="18"/>
  <c r="V82" i="18"/>
  <c r="V81" i="18"/>
  <c r="V80" i="18"/>
  <c r="V79" i="18"/>
  <c r="V78" i="18"/>
  <c r="V77" i="18"/>
  <c r="V76" i="18"/>
  <c r="V75" i="18"/>
  <c r="V74" i="18"/>
  <c r="V73" i="18"/>
  <c r="V72" i="18"/>
  <c r="V71" i="18"/>
  <c r="V70" i="18"/>
  <c r="V69" i="18"/>
  <c r="V68" i="18"/>
  <c r="V67" i="18"/>
  <c r="V66" i="18"/>
  <c r="V65" i="18"/>
  <c r="V64" i="18"/>
  <c r="V63" i="18"/>
  <c r="V62" i="18"/>
  <c r="V61" i="18"/>
  <c r="V60" i="18"/>
  <c r="V59" i="18"/>
  <c r="V58" i="18"/>
  <c r="V57" i="18"/>
  <c r="V56" i="18"/>
  <c r="V55" i="18"/>
  <c r="V54" i="18"/>
  <c r="V53" i="18"/>
  <c r="V52" i="18"/>
  <c r="V51" i="18"/>
  <c r="V50" i="18"/>
  <c r="V49" i="18"/>
  <c r="V48" i="18"/>
  <c r="V47" i="18"/>
  <c r="V46" i="18"/>
  <c r="V45" i="18"/>
  <c r="V44" i="18"/>
  <c r="V43" i="18"/>
  <c r="V42" i="18"/>
  <c r="V41" i="18"/>
  <c r="V40" i="18"/>
  <c r="V39" i="18"/>
  <c r="V38" i="18"/>
  <c r="V37" i="18"/>
  <c r="V36" i="18"/>
  <c r="V35" i="18"/>
  <c r="V34" i="18"/>
  <c r="V33" i="18"/>
  <c r="V32" i="18"/>
  <c r="V31" i="18"/>
  <c r="V30" i="18"/>
  <c r="V29" i="18"/>
  <c r="V28" i="18"/>
  <c r="V27" i="18"/>
  <c r="V26" i="18"/>
  <c r="V25" i="18"/>
  <c r="V24" i="18"/>
  <c r="V23" i="18"/>
  <c r="V22" i="18"/>
  <c r="V21" i="18"/>
  <c r="V20" i="18"/>
  <c r="V19" i="18"/>
  <c r="V18" i="18"/>
  <c r="V17" i="18"/>
  <c r="V16" i="18"/>
  <c r="V15" i="18"/>
  <c r="V14" i="18"/>
  <c r="V13" i="18"/>
  <c r="V12" i="18"/>
  <c r="V11" i="18"/>
  <c r="V10" i="18"/>
  <c r="S105" i="17"/>
  <c r="R105" i="17"/>
  <c r="Q105" i="17"/>
  <c r="P105" i="17"/>
  <c r="O105" i="17"/>
  <c r="U105" i="17" s="1"/>
  <c r="D105" i="17"/>
  <c r="S104" i="17"/>
  <c r="R104" i="17"/>
  <c r="Q104" i="17"/>
  <c r="P104" i="17"/>
  <c r="O104" i="17"/>
  <c r="U104" i="17" s="1"/>
  <c r="G104" i="17"/>
  <c r="F104" i="17"/>
  <c r="D104" i="17"/>
  <c r="S103" i="17"/>
  <c r="R103" i="17"/>
  <c r="Q103" i="17"/>
  <c r="U103" i="17" s="1"/>
  <c r="P103" i="17"/>
  <c r="O103" i="17"/>
  <c r="D103" i="17"/>
  <c r="V102" i="17"/>
  <c r="V101" i="17"/>
  <c r="V100" i="17"/>
  <c r="V99" i="17"/>
  <c r="V98" i="17"/>
  <c r="V97" i="17"/>
  <c r="V96" i="17"/>
  <c r="V95" i="17"/>
  <c r="V94" i="17"/>
  <c r="V93" i="17"/>
  <c r="V92" i="17"/>
  <c r="V91" i="17"/>
  <c r="V90" i="17"/>
  <c r="V89" i="17"/>
  <c r="V88" i="17"/>
  <c r="V87" i="17"/>
  <c r="V86" i="17"/>
  <c r="V85" i="17"/>
  <c r="V84" i="17"/>
  <c r="V83" i="17"/>
  <c r="V82" i="17"/>
  <c r="V81" i="17"/>
  <c r="V80" i="17"/>
  <c r="V79" i="17"/>
  <c r="V78" i="17"/>
  <c r="V77" i="17"/>
  <c r="V76" i="17"/>
  <c r="V75" i="17"/>
  <c r="V74" i="17"/>
  <c r="V73" i="17"/>
  <c r="V72" i="17"/>
  <c r="V71" i="17"/>
  <c r="V70" i="17"/>
  <c r="V69" i="17"/>
  <c r="V68" i="17"/>
  <c r="V67" i="17"/>
  <c r="V66" i="17"/>
  <c r="V65" i="17"/>
  <c r="V64" i="17"/>
  <c r="V63" i="17"/>
  <c r="V62" i="17"/>
  <c r="V61" i="17"/>
  <c r="V60" i="17"/>
  <c r="V59" i="17"/>
  <c r="V58" i="17"/>
  <c r="V57" i="17"/>
  <c r="V56" i="17"/>
  <c r="V55" i="17"/>
  <c r="V54" i="17"/>
  <c r="V53" i="17"/>
  <c r="V52" i="17"/>
  <c r="V51" i="17"/>
  <c r="V50" i="17"/>
  <c r="V49" i="17"/>
  <c r="V48" i="17"/>
  <c r="V47" i="17"/>
  <c r="V46" i="17"/>
  <c r="V45" i="17"/>
  <c r="V44" i="17"/>
  <c r="V43" i="17"/>
  <c r="V42" i="17"/>
  <c r="V41" i="17"/>
  <c r="V40" i="17"/>
  <c r="V39" i="17"/>
  <c r="V38" i="17"/>
  <c r="V37" i="17"/>
  <c r="V36" i="17"/>
  <c r="V35" i="17"/>
  <c r="V34" i="17"/>
  <c r="V33" i="17"/>
  <c r="V32" i="17"/>
  <c r="V31" i="17"/>
  <c r="V30" i="17"/>
  <c r="V29" i="17"/>
  <c r="V28" i="17"/>
  <c r="V27" i="17"/>
  <c r="V26" i="17"/>
  <c r="V25" i="17"/>
  <c r="V24" i="17"/>
  <c r="V23" i="17"/>
  <c r="V22" i="17"/>
  <c r="V21" i="17"/>
  <c r="V20" i="17"/>
  <c r="V19" i="17"/>
  <c r="V18" i="17"/>
  <c r="V17" i="17"/>
  <c r="V16" i="17"/>
  <c r="V15" i="17"/>
  <c r="V14" i="17"/>
  <c r="V13" i="17"/>
  <c r="V12" i="17"/>
  <c r="V11" i="17"/>
  <c r="V10" i="17"/>
  <c r="S105" i="16"/>
  <c r="R105" i="16"/>
  <c r="Q105" i="16"/>
  <c r="P105" i="16"/>
  <c r="O105" i="16"/>
  <c r="L105" i="16"/>
  <c r="J105" i="16"/>
  <c r="I105" i="16"/>
  <c r="G105" i="16"/>
  <c r="F105" i="16"/>
  <c r="D105" i="16"/>
  <c r="S104" i="16"/>
  <c r="R104" i="16"/>
  <c r="Q104" i="16"/>
  <c r="P104" i="16"/>
  <c r="O104" i="16"/>
  <c r="L104" i="16"/>
  <c r="J104" i="16"/>
  <c r="I104" i="16"/>
  <c r="G104" i="16"/>
  <c r="F104" i="16"/>
  <c r="D104" i="16"/>
  <c r="S103" i="16"/>
  <c r="R103" i="16"/>
  <c r="Q103" i="16"/>
  <c r="P103" i="16"/>
  <c r="O103" i="16"/>
  <c r="L103" i="16"/>
  <c r="J103" i="16"/>
  <c r="I103" i="16"/>
  <c r="G103" i="16"/>
  <c r="F103" i="16"/>
  <c r="D103" i="16"/>
  <c r="V102" i="16"/>
  <c r="V101" i="16"/>
  <c r="V100" i="16"/>
  <c r="V99" i="16"/>
  <c r="V98" i="16"/>
  <c r="V97" i="16"/>
  <c r="V96" i="16"/>
  <c r="V95" i="16"/>
  <c r="V94" i="16"/>
  <c r="V93" i="16"/>
  <c r="V92" i="16"/>
  <c r="V91" i="16"/>
  <c r="V90" i="16"/>
  <c r="V89" i="16"/>
  <c r="V88" i="16"/>
  <c r="V87" i="16"/>
  <c r="V86" i="16"/>
  <c r="V85" i="16"/>
  <c r="V84" i="16"/>
  <c r="V83" i="16"/>
  <c r="V82" i="16"/>
  <c r="V81" i="16"/>
  <c r="V80" i="16"/>
  <c r="V79" i="16"/>
  <c r="V78" i="16"/>
  <c r="V77" i="16"/>
  <c r="V76" i="16"/>
  <c r="V75" i="16"/>
  <c r="V74" i="16"/>
  <c r="V73" i="16"/>
  <c r="V72" i="16"/>
  <c r="V71" i="16"/>
  <c r="V70" i="16"/>
  <c r="V69" i="16"/>
  <c r="V68" i="16"/>
  <c r="V67" i="16"/>
  <c r="V66" i="16"/>
  <c r="V65" i="16"/>
  <c r="V64" i="16"/>
  <c r="V63" i="16"/>
  <c r="V62" i="16"/>
  <c r="V61" i="16"/>
  <c r="V60" i="16"/>
  <c r="V59" i="16"/>
  <c r="V58" i="16"/>
  <c r="V57" i="16"/>
  <c r="V56" i="16"/>
  <c r="V55" i="16"/>
  <c r="V54" i="16"/>
  <c r="V53" i="16"/>
  <c r="V52" i="16"/>
  <c r="V51" i="16"/>
  <c r="V50" i="16"/>
  <c r="V49" i="16"/>
  <c r="V48" i="16"/>
  <c r="V47" i="16"/>
  <c r="V46" i="16"/>
  <c r="V45" i="16"/>
  <c r="V44" i="16"/>
  <c r="V43" i="16"/>
  <c r="V42" i="16"/>
  <c r="V41" i="16"/>
  <c r="V40" i="16"/>
  <c r="V39" i="16"/>
  <c r="V38" i="16"/>
  <c r="V37" i="16"/>
  <c r="V36" i="16"/>
  <c r="V35" i="16"/>
  <c r="V34" i="16"/>
  <c r="V33" i="16"/>
  <c r="V32" i="16"/>
  <c r="V31" i="16"/>
  <c r="V30" i="16"/>
  <c r="V29" i="16"/>
  <c r="V28" i="16"/>
  <c r="V27" i="16"/>
  <c r="V26" i="16"/>
  <c r="V25" i="16"/>
  <c r="V24" i="16"/>
  <c r="V23" i="16"/>
  <c r="V22" i="16"/>
  <c r="V21" i="16"/>
  <c r="V20" i="16"/>
  <c r="V19" i="16"/>
  <c r="V18" i="16"/>
  <c r="V17" i="16"/>
  <c r="V16" i="16"/>
  <c r="V15" i="16"/>
  <c r="V14" i="16"/>
  <c r="V13" i="16"/>
  <c r="V12" i="16"/>
  <c r="V11" i="16"/>
  <c r="V10" i="16"/>
  <c r="S105" i="15"/>
  <c r="R105" i="15"/>
  <c r="Q105" i="15"/>
  <c r="P105" i="15"/>
  <c r="O105" i="15"/>
  <c r="D105" i="15"/>
  <c r="C105" i="15"/>
  <c r="S104" i="15"/>
  <c r="R104" i="15"/>
  <c r="Q104" i="15"/>
  <c r="P104" i="15"/>
  <c r="O104" i="15"/>
  <c r="G104" i="15"/>
  <c r="F104" i="15"/>
  <c r="D104" i="15"/>
  <c r="C104" i="15"/>
  <c r="S103" i="15"/>
  <c r="R103" i="15"/>
  <c r="Q103" i="15"/>
  <c r="P103" i="15"/>
  <c r="O103" i="15"/>
  <c r="D103" i="15"/>
  <c r="C103" i="15"/>
  <c r="V102" i="15"/>
  <c r="V101" i="15"/>
  <c r="V100" i="15"/>
  <c r="V99" i="15"/>
  <c r="V98" i="15"/>
  <c r="V97" i="15"/>
  <c r="V96" i="15"/>
  <c r="V95" i="15"/>
  <c r="V94" i="15"/>
  <c r="V93" i="15"/>
  <c r="V92" i="15"/>
  <c r="V91" i="15"/>
  <c r="V90" i="15"/>
  <c r="V89" i="15"/>
  <c r="V88" i="15"/>
  <c r="V87" i="15"/>
  <c r="V86" i="15"/>
  <c r="V85" i="15"/>
  <c r="V84" i="15"/>
  <c r="V83" i="15"/>
  <c r="V82" i="15"/>
  <c r="V81" i="15"/>
  <c r="V80" i="15"/>
  <c r="V79" i="15"/>
  <c r="V78" i="15"/>
  <c r="V77" i="15"/>
  <c r="V76" i="15"/>
  <c r="V75" i="15"/>
  <c r="V74" i="15"/>
  <c r="V73" i="15"/>
  <c r="V72" i="15"/>
  <c r="V71" i="15"/>
  <c r="V70" i="15"/>
  <c r="V69" i="15"/>
  <c r="V68" i="15"/>
  <c r="V67" i="15"/>
  <c r="V66" i="15"/>
  <c r="V65" i="15"/>
  <c r="V64" i="15"/>
  <c r="V63" i="15"/>
  <c r="V62" i="15"/>
  <c r="V61" i="15"/>
  <c r="V60" i="15"/>
  <c r="V59" i="15"/>
  <c r="V58" i="15"/>
  <c r="V57" i="15"/>
  <c r="V56" i="15"/>
  <c r="V55" i="15"/>
  <c r="V54" i="15"/>
  <c r="V53" i="15"/>
  <c r="V52" i="15"/>
  <c r="V51" i="15"/>
  <c r="V50" i="15"/>
  <c r="V49" i="15"/>
  <c r="V48" i="15"/>
  <c r="V47" i="15"/>
  <c r="V46" i="15"/>
  <c r="V45" i="15"/>
  <c r="V44" i="15"/>
  <c r="V43" i="15"/>
  <c r="V42" i="15"/>
  <c r="V41" i="15"/>
  <c r="V40" i="15"/>
  <c r="V39" i="15"/>
  <c r="V38" i="15"/>
  <c r="V37" i="15"/>
  <c r="V36" i="15"/>
  <c r="V35" i="15"/>
  <c r="V34" i="15"/>
  <c r="V33" i="15"/>
  <c r="V32" i="15"/>
  <c r="V31" i="15"/>
  <c r="V30" i="15"/>
  <c r="V29" i="15"/>
  <c r="V28" i="15"/>
  <c r="V27" i="15"/>
  <c r="V26" i="15"/>
  <c r="V25" i="15"/>
  <c r="V24" i="15"/>
  <c r="V23" i="15"/>
  <c r="V22" i="15"/>
  <c r="V21" i="15"/>
  <c r="V20" i="15"/>
  <c r="V19" i="15"/>
  <c r="V18" i="15"/>
  <c r="V17" i="15"/>
  <c r="V16" i="15"/>
  <c r="V15" i="15"/>
  <c r="V14" i="15"/>
  <c r="V13" i="15"/>
  <c r="V12" i="15"/>
  <c r="V11" i="15"/>
  <c r="V10" i="15"/>
  <c r="D11" i="2"/>
  <c r="D4" i="2"/>
  <c r="D5" i="2"/>
  <c r="D6" i="2"/>
  <c r="D7" i="2"/>
  <c r="D8" i="2"/>
  <c r="D9" i="2"/>
  <c r="D10" i="2"/>
  <c r="D12" i="2"/>
  <c r="D13" i="2"/>
  <c r="D14" i="2"/>
  <c r="D15" i="2"/>
  <c r="D106" i="20"/>
  <c r="F11" i="2" s="1"/>
  <c r="L106" i="16"/>
  <c r="R106" i="19"/>
  <c r="G106" i="22"/>
  <c r="P106" i="20"/>
  <c r="R106" i="20"/>
  <c r="J106" i="24"/>
  <c r="L106" i="22"/>
  <c r="O106" i="22"/>
  <c r="Q3" i="23"/>
  <c r="I14" i="2" s="1"/>
  <c r="L106" i="18"/>
  <c r="J106" i="17"/>
  <c r="Q3" i="24"/>
  <c r="I15" i="2" s="1"/>
  <c r="O106" i="17"/>
  <c r="C5" i="25"/>
  <c r="O104" i="14"/>
  <c r="P104" i="14"/>
  <c r="Q104" i="14"/>
  <c r="R104" i="14"/>
  <c r="S104" i="14"/>
  <c r="O105" i="14"/>
  <c r="P105" i="14"/>
  <c r="Q105" i="14"/>
  <c r="R105" i="14"/>
  <c r="S105" i="14"/>
  <c r="P103" i="14"/>
  <c r="Q103" i="14"/>
  <c r="R103" i="14"/>
  <c r="S103" i="14"/>
  <c r="J11" i="25"/>
  <c r="L11" i="25"/>
  <c r="J12" i="25"/>
  <c r="L12" i="25"/>
  <c r="J13" i="25"/>
  <c r="L13" i="25"/>
  <c r="J14" i="25"/>
  <c r="L14" i="25"/>
  <c r="J15" i="25"/>
  <c r="L15" i="25"/>
  <c r="J16" i="25"/>
  <c r="L16" i="25"/>
  <c r="J17" i="25"/>
  <c r="L17" i="25"/>
  <c r="J18" i="25"/>
  <c r="L18" i="25"/>
  <c r="J19" i="25"/>
  <c r="L19" i="25"/>
  <c r="J20" i="25"/>
  <c r="L20" i="25"/>
  <c r="J21" i="25"/>
  <c r="L21" i="25"/>
  <c r="J22" i="25"/>
  <c r="L22" i="25"/>
  <c r="J23" i="25"/>
  <c r="L23" i="25"/>
  <c r="J24" i="25"/>
  <c r="L24" i="25"/>
  <c r="J25" i="25"/>
  <c r="L25" i="25"/>
  <c r="J26" i="25"/>
  <c r="L26" i="25"/>
  <c r="J27" i="25"/>
  <c r="L27" i="25"/>
  <c r="J28" i="25"/>
  <c r="L28" i="25"/>
  <c r="J29" i="25"/>
  <c r="L29" i="25"/>
  <c r="J30" i="25"/>
  <c r="L30" i="25"/>
  <c r="J31" i="25"/>
  <c r="L31" i="25"/>
  <c r="J32" i="25"/>
  <c r="L32" i="25"/>
  <c r="J33" i="25"/>
  <c r="L33" i="25"/>
  <c r="J34" i="25"/>
  <c r="L34" i="25"/>
  <c r="J35" i="25"/>
  <c r="L35" i="25"/>
  <c r="J36" i="25"/>
  <c r="L36" i="25"/>
  <c r="J37" i="25"/>
  <c r="L37" i="25"/>
  <c r="J38" i="25"/>
  <c r="L38" i="25"/>
  <c r="J39" i="25"/>
  <c r="L39" i="25"/>
  <c r="J40" i="25"/>
  <c r="L40" i="25"/>
  <c r="J41" i="25"/>
  <c r="L41" i="25"/>
  <c r="J42" i="25"/>
  <c r="L42" i="25"/>
  <c r="J43" i="25"/>
  <c r="L43" i="25"/>
  <c r="J44" i="25"/>
  <c r="L44" i="25"/>
  <c r="J45" i="25"/>
  <c r="L45" i="25"/>
  <c r="J46" i="25"/>
  <c r="L46" i="25"/>
  <c r="J47" i="25"/>
  <c r="L47" i="25"/>
  <c r="J48" i="25"/>
  <c r="L48" i="25"/>
  <c r="J49" i="25"/>
  <c r="L49" i="25"/>
  <c r="J50" i="25"/>
  <c r="L50" i="25"/>
  <c r="J51" i="25"/>
  <c r="L51" i="25"/>
  <c r="J52" i="25"/>
  <c r="L52" i="25"/>
  <c r="J53" i="25"/>
  <c r="L53" i="25"/>
  <c r="J54" i="25"/>
  <c r="L54" i="25"/>
  <c r="J55" i="25"/>
  <c r="L55" i="25"/>
  <c r="J56" i="25"/>
  <c r="L56" i="25"/>
  <c r="J57" i="25"/>
  <c r="L57" i="25"/>
  <c r="J58" i="25"/>
  <c r="L58" i="25"/>
  <c r="J59" i="25"/>
  <c r="L59" i="25"/>
  <c r="J60" i="25"/>
  <c r="L60" i="25"/>
  <c r="J61" i="25"/>
  <c r="L61" i="25"/>
  <c r="J62" i="25"/>
  <c r="L62" i="25"/>
  <c r="J63" i="25"/>
  <c r="L63" i="25"/>
  <c r="J64" i="25"/>
  <c r="L64" i="25"/>
  <c r="J65" i="25"/>
  <c r="L65" i="25"/>
  <c r="J66" i="25"/>
  <c r="L66" i="25"/>
  <c r="J67" i="25"/>
  <c r="L67" i="25"/>
  <c r="J68" i="25"/>
  <c r="L68" i="25"/>
  <c r="J69" i="25"/>
  <c r="L69" i="25"/>
  <c r="J70" i="25"/>
  <c r="L70" i="25"/>
  <c r="J71" i="25"/>
  <c r="L71" i="25"/>
  <c r="J72" i="25"/>
  <c r="L72" i="25"/>
  <c r="J73" i="25"/>
  <c r="L73" i="25"/>
  <c r="J74" i="25"/>
  <c r="L74" i="25"/>
  <c r="J75" i="25"/>
  <c r="L75" i="25"/>
  <c r="J76" i="25"/>
  <c r="L76" i="25"/>
  <c r="J77" i="25"/>
  <c r="L77" i="25"/>
  <c r="J78" i="25"/>
  <c r="L78" i="25"/>
  <c r="J79" i="25"/>
  <c r="L79" i="25"/>
  <c r="J80" i="25"/>
  <c r="L80" i="25"/>
  <c r="J81" i="25"/>
  <c r="L81" i="25"/>
  <c r="J82" i="25"/>
  <c r="L82" i="25"/>
  <c r="J83" i="25"/>
  <c r="L83" i="25"/>
  <c r="J84" i="25"/>
  <c r="L84" i="25"/>
  <c r="J85" i="25"/>
  <c r="L85" i="25"/>
  <c r="J86" i="25"/>
  <c r="L86" i="25"/>
  <c r="J87" i="25"/>
  <c r="L87" i="25"/>
  <c r="J88" i="25"/>
  <c r="L88" i="25"/>
  <c r="J89" i="25"/>
  <c r="L89" i="25"/>
  <c r="J90" i="25"/>
  <c r="L90" i="25"/>
  <c r="J91" i="25"/>
  <c r="L91" i="25"/>
  <c r="J92" i="25"/>
  <c r="L92" i="25"/>
  <c r="J93" i="25"/>
  <c r="L93" i="25"/>
  <c r="J94" i="25"/>
  <c r="L94" i="25"/>
  <c r="J95" i="25"/>
  <c r="L95" i="25"/>
  <c r="J96" i="25"/>
  <c r="L96" i="25"/>
  <c r="J97" i="25"/>
  <c r="L97" i="25"/>
  <c r="J98" i="25"/>
  <c r="L98" i="25"/>
  <c r="J99" i="25"/>
  <c r="L99" i="25"/>
  <c r="J100" i="25"/>
  <c r="L100" i="25"/>
  <c r="J101" i="25"/>
  <c r="L101" i="25"/>
  <c r="J102" i="25"/>
  <c r="L102" i="25"/>
  <c r="L10" i="25"/>
  <c r="J10" i="25"/>
  <c r="O11" i="25"/>
  <c r="P11" i="25"/>
  <c r="Q11" i="25"/>
  <c r="R11" i="25"/>
  <c r="S11" i="25"/>
  <c r="O12" i="25"/>
  <c r="P12" i="25"/>
  <c r="Q12" i="25"/>
  <c r="R12" i="25"/>
  <c r="S12" i="25"/>
  <c r="O13" i="25"/>
  <c r="P13" i="25"/>
  <c r="Q13" i="25"/>
  <c r="R13" i="25"/>
  <c r="S13" i="25"/>
  <c r="O14" i="25"/>
  <c r="P14" i="25"/>
  <c r="Q14" i="25"/>
  <c r="R14" i="25"/>
  <c r="S14" i="25"/>
  <c r="O15" i="25"/>
  <c r="P15" i="25"/>
  <c r="Q15" i="25"/>
  <c r="R15" i="25"/>
  <c r="S15" i="25"/>
  <c r="O16" i="25"/>
  <c r="P16" i="25"/>
  <c r="Q16" i="25"/>
  <c r="R16" i="25"/>
  <c r="S16" i="25"/>
  <c r="O17" i="25"/>
  <c r="P17" i="25"/>
  <c r="Q17" i="25"/>
  <c r="R17" i="25"/>
  <c r="S17" i="25"/>
  <c r="O18" i="25"/>
  <c r="P18" i="25"/>
  <c r="Q18" i="25"/>
  <c r="R18" i="25"/>
  <c r="S18" i="25"/>
  <c r="O19" i="25"/>
  <c r="P19" i="25"/>
  <c r="Q19" i="25"/>
  <c r="R19" i="25"/>
  <c r="S19" i="25"/>
  <c r="O20" i="25"/>
  <c r="P20" i="25"/>
  <c r="Q20" i="25"/>
  <c r="R20" i="25"/>
  <c r="S20" i="25"/>
  <c r="O21" i="25"/>
  <c r="P21" i="25"/>
  <c r="Q21" i="25"/>
  <c r="R21" i="25"/>
  <c r="S21" i="25"/>
  <c r="O22" i="25"/>
  <c r="P22" i="25"/>
  <c r="Q22" i="25"/>
  <c r="R22" i="25"/>
  <c r="S22" i="25"/>
  <c r="O23" i="25"/>
  <c r="P23" i="25"/>
  <c r="Q23" i="25"/>
  <c r="R23" i="25"/>
  <c r="S23" i="25"/>
  <c r="O24" i="25"/>
  <c r="P24" i="25"/>
  <c r="Q24" i="25"/>
  <c r="R24" i="25"/>
  <c r="S24" i="25"/>
  <c r="O25" i="25"/>
  <c r="P25" i="25"/>
  <c r="Q25" i="25"/>
  <c r="R25" i="25"/>
  <c r="S25" i="25"/>
  <c r="O26" i="25"/>
  <c r="P26" i="25"/>
  <c r="Q26" i="25"/>
  <c r="R26" i="25"/>
  <c r="S26" i="25"/>
  <c r="O27" i="25"/>
  <c r="P27" i="25"/>
  <c r="Q27" i="25"/>
  <c r="R27" i="25"/>
  <c r="S27" i="25"/>
  <c r="O28" i="25"/>
  <c r="P28" i="25"/>
  <c r="Q28" i="25"/>
  <c r="R28" i="25"/>
  <c r="S28" i="25"/>
  <c r="O29" i="25"/>
  <c r="P29" i="25"/>
  <c r="Q29" i="25"/>
  <c r="R29" i="25"/>
  <c r="S29" i="25"/>
  <c r="O30" i="25"/>
  <c r="P30" i="25"/>
  <c r="Q30" i="25"/>
  <c r="R30" i="25"/>
  <c r="S30" i="25"/>
  <c r="O31" i="25"/>
  <c r="P31" i="25"/>
  <c r="Q31" i="25"/>
  <c r="R31" i="25"/>
  <c r="S31" i="25"/>
  <c r="O32" i="25"/>
  <c r="P32" i="25"/>
  <c r="Q32" i="25"/>
  <c r="R32" i="25"/>
  <c r="S32" i="25"/>
  <c r="O33" i="25"/>
  <c r="P33" i="25"/>
  <c r="Q33" i="25"/>
  <c r="R33" i="25"/>
  <c r="S33" i="25"/>
  <c r="O34" i="25"/>
  <c r="P34" i="25"/>
  <c r="Q34" i="25"/>
  <c r="R34" i="25"/>
  <c r="S34" i="25"/>
  <c r="O35" i="25"/>
  <c r="P35" i="25"/>
  <c r="Q35" i="25"/>
  <c r="R35" i="25"/>
  <c r="S35" i="25"/>
  <c r="O36" i="25"/>
  <c r="P36" i="25"/>
  <c r="Q36" i="25"/>
  <c r="R36" i="25"/>
  <c r="S36" i="25"/>
  <c r="O37" i="25"/>
  <c r="P37" i="25"/>
  <c r="Q37" i="25"/>
  <c r="R37" i="25"/>
  <c r="S37" i="25"/>
  <c r="O38" i="25"/>
  <c r="P38" i="25"/>
  <c r="Q38" i="25"/>
  <c r="R38" i="25"/>
  <c r="O39" i="25"/>
  <c r="P39" i="25"/>
  <c r="Q39" i="25"/>
  <c r="R39" i="25"/>
  <c r="S39" i="25"/>
  <c r="O40" i="25"/>
  <c r="P40" i="25"/>
  <c r="Q40" i="25"/>
  <c r="R40" i="25"/>
  <c r="O41" i="25"/>
  <c r="P41" i="25"/>
  <c r="Q41" i="25"/>
  <c r="R41" i="25"/>
  <c r="S41" i="25"/>
  <c r="O42" i="25"/>
  <c r="P42" i="25"/>
  <c r="Q42" i="25"/>
  <c r="R42" i="25"/>
  <c r="S42" i="25"/>
  <c r="O43" i="25"/>
  <c r="P43" i="25"/>
  <c r="Q43" i="25"/>
  <c r="R43" i="25"/>
  <c r="S43" i="25"/>
  <c r="O44" i="25"/>
  <c r="P44" i="25"/>
  <c r="Q44" i="25"/>
  <c r="R44" i="25"/>
  <c r="S44" i="25"/>
  <c r="O45" i="25"/>
  <c r="P45" i="25"/>
  <c r="Q45" i="25"/>
  <c r="R45" i="25"/>
  <c r="S45" i="25"/>
  <c r="O46" i="25"/>
  <c r="P46" i="25"/>
  <c r="Q46" i="25"/>
  <c r="R46" i="25"/>
  <c r="S46" i="25"/>
  <c r="O47" i="25"/>
  <c r="P47" i="25"/>
  <c r="Q47" i="25"/>
  <c r="R47" i="25"/>
  <c r="S47" i="25"/>
  <c r="O48" i="25"/>
  <c r="P48" i="25"/>
  <c r="Q48" i="25"/>
  <c r="R48" i="25"/>
  <c r="S48" i="25"/>
  <c r="O49" i="25"/>
  <c r="P49" i="25"/>
  <c r="Q49" i="25"/>
  <c r="R49" i="25"/>
  <c r="S49" i="25"/>
  <c r="O50" i="25"/>
  <c r="P50" i="25"/>
  <c r="Q50" i="25"/>
  <c r="R50" i="25"/>
  <c r="S50" i="25"/>
  <c r="O51" i="25"/>
  <c r="P51" i="25"/>
  <c r="Q51" i="25"/>
  <c r="R51" i="25"/>
  <c r="S51" i="25"/>
  <c r="O52" i="25"/>
  <c r="P52" i="25"/>
  <c r="Q52" i="25"/>
  <c r="R52" i="25"/>
  <c r="S52" i="25"/>
  <c r="O53" i="25"/>
  <c r="P53" i="25"/>
  <c r="Q53" i="25"/>
  <c r="R53" i="25"/>
  <c r="S53" i="25"/>
  <c r="O54" i="25"/>
  <c r="P54" i="25"/>
  <c r="Q54" i="25"/>
  <c r="R54" i="25"/>
  <c r="S54" i="25"/>
  <c r="O55" i="25"/>
  <c r="P55" i="25"/>
  <c r="Q55" i="25"/>
  <c r="R55" i="25"/>
  <c r="S55" i="25"/>
  <c r="O56" i="25"/>
  <c r="P56" i="25"/>
  <c r="Q56" i="25"/>
  <c r="R56" i="25"/>
  <c r="S56" i="25"/>
  <c r="O57" i="25"/>
  <c r="P57" i="25"/>
  <c r="Q57" i="25"/>
  <c r="R57" i="25"/>
  <c r="S57" i="25"/>
  <c r="O58" i="25"/>
  <c r="P58" i="25"/>
  <c r="Q58" i="25"/>
  <c r="R58" i="25"/>
  <c r="S58" i="25"/>
  <c r="O59" i="25"/>
  <c r="P59" i="25"/>
  <c r="Q59" i="25"/>
  <c r="R59" i="25"/>
  <c r="S59" i="25"/>
  <c r="O60" i="25"/>
  <c r="P60" i="25"/>
  <c r="Q60" i="25"/>
  <c r="R60" i="25"/>
  <c r="S60" i="25"/>
  <c r="O61" i="25"/>
  <c r="P61" i="25"/>
  <c r="Q61" i="25"/>
  <c r="R61" i="25"/>
  <c r="S61" i="25"/>
  <c r="O62" i="25"/>
  <c r="P62" i="25"/>
  <c r="Q62" i="25"/>
  <c r="R62" i="25"/>
  <c r="S62" i="25"/>
  <c r="O63" i="25"/>
  <c r="P63" i="25"/>
  <c r="Q63" i="25"/>
  <c r="R63" i="25"/>
  <c r="S63" i="25"/>
  <c r="O64" i="25"/>
  <c r="P64" i="25"/>
  <c r="Q64" i="25"/>
  <c r="R64" i="25"/>
  <c r="S64" i="25"/>
  <c r="O65" i="25"/>
  <c r="P65" i="25"/>
  <c r="Q65" i="25"/>
  <c r="R65" i="25"/>
  <c r="S65" i="25"/>
  <c r="O66" i="25"/>
  <c r="P66" i="25"/>
  <c r="Q66" i="25"/>
  <c r="R66" i="25"/>
  <c r="S66" i="25"/>
  <c r="O67" i="25"/>
  <c r="P67" i="25"/>
  <c r="Q67" i="25"/>
  <c r="R67" i="25"/>
  <c r="S67" i="25"/>
  <c r="O68" i="25"/>
  <c r="P68" i="25"/>
  <c r="Q68" i="25"/>
  <c r="R68" i="25"/>
  <c r="S68" i="25"/>
  <c r="O69" i="25"/>
  <c r="P69" i="25"/>
  <c r="Q69" i="25"/>
  <c r="R69" i="25"/>
  <c r="S69" i="25"/>
  <c r="O70" i="25"/>
  <c r="P70" i="25"/>
  <c r="Q70" i="25"/>
  <c r="R70" i="25"/>
  <c r="S70" i="25"/>
  <c r="O71" i="25"/>
  <c r="P71" i="25"/>
  <c r="Q71" i="25"/>
  <c r="R71" i="25"/>
  <c r="S71" i="25"/>
  <c r="O72" i="25"/>
  <c r="P72" i="25"/>
  <c r="Q72" i="25"/>
  <c r="R72" i="25"/>
  <c r="S72" i="25"/>
  <c r="O73" i="25"/>
  <c r="P73" i="25"/>
  <c r="Q73" i="25"/>
  <c r="R73" i="25"/>
  <c r="S73" i="25"/>
  <c r="O74" i="25"/>
  <c r="P74" i="25"/>
  <c r="Q74" i="25"/>
  <c r="R74" i="25"/>
  <c r="S74" i="25"/>
  <c r="O75" i="25"/>
  <c r="P75" i="25"/>
  <c r="Q75" i="25"/>
  <c r="R75" i="25"/>
  <c r="S75" i="25"/>
  <c r="O76" i="25"/>
  <c r="P76" i="25"/>
  <c r="Q76" i="25"/>
  <c r="R76" i="25"/>
  <c r="S76" i="25"/>
  <c r="O77" i="25"/>
  <c r="P77" i="25"/>
  <c r="Q77" i="25"/>
  <c r="R77" i="25"/>
  <c r="S77" i="25"/>
  <c r="O78" i="25"/>
  <c r="P78" i="25"/>
  <c r="Q78" i="25"/>
  <c r="R78" i="25"/>
  <c r="S78" i="25"/>
  <c r="O79" i="25"/>
  <c r="P79" i="25"/>
  <c r="Q79" i="25"/>
  <c r="R79" i="25"/>
  <c r="S79" i="25"/>
  <c r="O80" i="25"/>
  <c r="P80" i="25"/>
  <c r="Q80" i="25"/>
  <c r="R80" i="25"/>
  <c r="S80" i="25"/>
  <c r="O81" i="25"/>
  <c r="P81" i="25"/>
  <c r="Q81" i="25"/>
  <c r="R81" i="25"/>
  <c r="S81" i="25"/>
  <c r="O82" i="25"/>
  <c r="P82" i="25"/>
  <c r="Q82" i="25"/>
  <c r="R82" i="25"/>
  <c r="S82" i="25"/>
  <c r="O83" i="25"/>
  <c r="P83" i="25"/>
  <c r="Q83" i="25"/>
  <c r="R83" i="25"/>
  <c r="S83" i="25"/>
  <c r="O84" i="25"/>
  <c r="P84" i="25"/>
  <c r="Q84" i="25"/>
  <c r="R84" i="25"/>
  <c r="S84" i="25"/>
  <c r="O85" i="25"/>
  <c r="P85" i="25"/>
  <c r="Q85" i="25"/>
  <c r="R85" i="25"/>
  <c r="S85" i="25"/>
  <c r="O86" i="25"/>
  <c r="P86" i="25"/>
  <c r="Q86" i="25"/>
  <c r="R86" i="25"/>
  <c r="S86" i="25"/>
  <c r="O87" i="25"/>
  <c r="P87" i="25"/>
  <c r="Q87" i="25"/>
  <c r="R87" i="25"/>
  <c r="S87" i="25"/>
  <c r="O88" i="25"/>
  <c r="P88" i="25"/>
  <c r="Q88" i="25"/>
  <c r="R88" i="25"/>
  <c r="S88" i="25"/>
  <c r="O89" i="25"/>
  <c r="P89" i="25"/>
  <c r="Q89" i="25"/>
  <c r="R89" i="25"/>
  <c r="S89" i="25"/>
  <c r="O90" i="25"/>
  <c r="P90" i="25"/>
  <c r="Q90" i="25"/>
  <c r="R90" i="25"/>
  <c r="S90" i="25"/>
  <c r="O91" i="25"/>
  <c r="P91" i="25"/>
  <c r="Q91" i="25"/>
  <c r="R91" i="25"/>
  <c r="S91" i="25"/>
  <c r="O92" i="25"/>
  <c r="P92" i="25"/>
  <c r="Q92" i="25"/>
  <c r="R92" i="25"/>
  <c r="S92" i="25"/>
  <c r="O93" i="25"/>
  <c r="P93" i="25"/>
  <c r="Q93" i="25"/>
  <c r="R93" i="25"/>
  <c r="S93" i="25"/>
  <c r="O94" i="25"/>
  <c r="P94" i="25"/>
  <c r="Q94" i="25"/>
  <c r="R94" i="25"/>
  <c r="S94" i="25"/>
  <c r="O95" i="25"/>
  <c r="P95" i="25"/>
  <c r="Q95" i="25"/>
  <c r="R95" i="25"/>
  <c r="S95" i="25"/>
  <c r="O96" i="25"/>
  <c r="P96" i="25"/>
  <c r="Q96" i="25"/>
  <c r="R96" i="25"/>
  <c r="S96" i="25"/>
  <c r="O97" i="25"/>
  <c r="P97" i="25"/>
  <c r="Q97" i="25"/>
  <c r="R97" i="25"/>
  <c r="S97" i="25"/>
  <c r="O98" i="25"/>
  <c r="P98" i="25"/>
  <c r="Q98" i="25"/>
  <c r="R98" i="25"/>
  <c r="S98" i="25"/>
  <c r="O99" i="25"/>
  <c r="P99" i="25"/>
  <c r="Q99" i="25"/>
  <c r="R99" i="25"/>
  <c r="S99" i="25"/>
  <c r="O100" i="25"/>
  <c r="P100" i="25"/>
  <c r="Q100" i="25"/>
  <c r="R100" i="25"/>
  <c r="S100" i="25"/>
  <c r="O101" i="25"/>
  <c r="P101" i="25"/>
  <c r="Q101" i="25"/>
  <c r="R101" i="25"/>
  <c r="S101" i="25"/>
  <c r="O102" i="25"/>
  <c r="P102" i="25"/>
  <c r="Q102" i="25"/>
  <c r="R102" i="25"/>
  <c r="S102" i="25"/>
  <c r="P10" i="25"/>
  <c r="Q10" i="25"/>
  <c r="R10" i="25"/>
  <c r="S10" i="25"/>
  <c r="O10" i="25"/>
  <c r="I103" i="13"/>
  <c r="L105" i="14"/>
  <c r="J105" i="14"/>
  <c r="I105" i="14"/>
  <c r="G105" i="14"/>
  <c r="F105" i="14"/>
  <c r="D105" i="14"/>
  <c r="L104" i="14"/>
  <c r="J104" i="14"/>
  <c r="I104" i="14"/>
  <c r="G104" i="14"/>
  <c r="F104" i="14"/>
  <c r="D104" i="14"/>
  <c r="O103" i="14"/>
  <c r="L103" i="14"/>
  <c r="J103" i="14"/>
  <c r="I103" i="14"/>
  <c r="G103" i="14"/>
  <c r="F103" i="14"/>
  <c r="D103" i="14"/>
  <c r="V99" i="14"/>
  <c r="V98" i="14"/>
  <c r="V97" i="14"/>
  <c r="V96" i="14"/>
  <c r="V95" i="14"/>
  <c r="V94" i="14"/>
  <c r="V93" i="14"/>
  <c r="V92" i="14"/>
  <c r="V91" i="14"/>
  <c r="V90" i="14"/>
  <c r="V89" i="14"/>
  <c r="V88" i="14"/>
  <c r="V87" i="14"/>
  <c r="V86" i="14"/>
  <c r="V85" i="14"/>
  <c r="V84" i="14"/>
  <c r="V83" i="14"/>
  <c r="V82" i="14"/>
  <c r="V81" i="14"/>
  <c r="V80" i="14"/>
  <c r="V79" i="14"/>
  <c r="V78" i="14"/>
  <c r="V77" i="14"/>
  <c r="V76" i="14"/>
  <c r="V75" i="14"/>
  <c r="V74" i="14"/>
  <c r="V73" i="14"/>
  <c r="V72" i="14"/>
  <c r="V71" i="14"/>
  <c r="V70" i="14"/>
  <c r="V69" i="14"/>
  <c r="V68" i="14"/>
  <c r="V67" i="14"/>
  <c r="V66" i="14"/>
  <c r="V65" i="14"/>
  <c r="V64" i="14"/>
  <c r="V63" i="14"/>
  <c r="V62" i="14"/>
  <c r="V61" i="14"/>
  <c r="V60" i="14"/>
  <c r="V59" i="14"/>
  <c r="V58" i="14"/>
  <c r="V57" i="14"/>
  <c r="V56" i="14"/>
  <c r="V55" i="14"/>
  <c r="V54" i="14"/>
  <c r="V53" i="14"/>
  <c r="V52" i="14"/>
  <c r="V51" i="14"/>
  <c r="V50" i="14"/>
  <c r="V49" i="14"/>
  <c r="V48" i="14"/>
  <c r="V47" i="14"/>
  <c r="V46" i="14"/>
  <c r="V45" i="14"/>
  <c r="V44" i="14"/>
  <c r="V43" i="14"/>
  <c r="V42" i="14"/>
  <c r="V41" i="14"/>
  <c r="V40" i="14"/>
  <c r="V39" i="14"/>
  <c r="V38" i="14"/>
  <c r="V37" i="14"/>
  <c r="V36" i="14"/>
  <c r="V35" i="14"/>
  <c r="V34" i="14"/>
  <c r="V33" i="14"/>
  <c r="V32" i="14"/>
  <c r="V31" i="14"/>
  <c r="V30" i="14"/>
  <c r="V29" i="14"/>
  <c r="V28" i="14"/>
  <c r="V27" i="14"/>
  <c r="V26" i="14"/>
  <c r="V25" i="14"/>
  <c r="V24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V11" i="14"/>
  <c r="V10" i="14"/>
  <c r="S105" i="13"/>
  <c r="R105" i="13"/>
  <c r="Q105" i="13"/>
  <c r="P105" i="13"/>
  <c r="O105" i="13"/>
  <c r="L105" i="13"/>
  <c r="J105" i="13"/>
  <c r="I105" i="13"/>
  <c r="G105" i="13"/>
  <c r="F105" i="13"/>
  <c r="F103" i="13"/>
  <c r="G103" i="13"/>
  <c r="D105" i="13"/>
  <c r="C105" i="13"/>
  <c r="S104" i="13"/>
  <c r="R104" i="13"/>
  <c r="Q104" i="13"/>
  <c r="P104" i="13"/>
  <c r="O104" i="13"/>
  <c r="L104" i="13"/>
  <c r="J104" i="13"/>
  <c r="I104" i="13"/>
  <c r="G104" i="13"/>
  <c r="F104" i="13"/>
  <c r="D104" i="13"/>
  <c r="C104" i="13"/>
  <c r="S103" i="13"/>
  <c r="R103" i="13"/>
  <c r="Q103" i="13"/>
  <c r="P103" i="13"/>
  <c r="O103" i="13"/>
  <c r="L103" i="13"/>
  <c r="J103" i="13"/>
  <c r="D103" i="13"/>
  <c r="C103" i="13"/>
  <c r="V102" i="13"/>
  <c r="V101" i="13"/>
  <c r="V100" i="13"/>
  <c r="V99" i="13"/>
  <c r="V98" i="13"/>
  <c r="V97" i="13"/>
  <c r="V96" i="13"/>
  <c r="V95" i="13"/>
  <c r="V94" i="13"/>
  <c r="V93" i="13"/>
  <c r="V92" i="13"/>
  <c r="V91" i="13"/>
  <c r="V90" i="13"/>
  <c r="V89" i="13"/>
  <c r="V88" i="13"/>
  <c r="V87" i="13"/>
  <c r="V86" i="13"/>
  <c r="V85" i="13"/>
  <c r="V84" i="13"/>
  <c r="V83" i="13"/>
  <c r="V82" i="13"/>
  <c r="V81" i="13"/>
  <c r="V80" i="13"/>
  <c r="V79" i="13"/>
  <c r="V78" i="13"/>
  <c r="V77" i="13"/>
  <c r="V76" i="13"/>
  <c r="V75" i="13"/>
  <c r="V74" i="13"/>
  <c r="V73" i="13"/>
  <c r="V72" i="13"/>
  <c r="V71" i="13"/>
  <c r="V70" i="13"/>
  <c r="V69" i="13"/>
  <c r="V68" i="13"/>
  <c r="V67" i="13"/>
  <c r="V66" i="13"/>
  <c r="V65" i="13"/>
  <c r="V64" i="13"/>
  <c r="V63" i="13"/>
  <c r="V62" i="13"/>
  <c r="V61" i="13"/>
  <c r="V60" i="13"/>
  <c r="V59" i="13"/>
  <c r="V58" i="13"/>
  <c r="V57" i="13"/>
  <c r="V56" i="13"/>
  <c r="V55" i="13"/>
  <c r="V54" i="13"/>
  <c r="V53" i="13"/>
  <c r="V52" i="13"/>
  <c r="V51" i="13"/>
  <c r="V50" i="13"/>
  <c r="V49" i="13"/>
  <c r="V48" i="13"/>
  <c r="V47" i="13"/>
  <c r="V46" i="13"/>
  <c r="V45" i="13"/>
  <c r="V44" i="13"/>
  <c r="V43" i="13"/>
  <c r="V42" i="13"/>
  <c r="V41" i="13"/>
  <c r="V40" i="13"/>
  <c r="V39" i="13"/>
  <c r="V38" i="13"/>
  <c r="V37" i="13"/>
  <c r="V36" i="13"/>
  <c r="V35" i="13"/>
  <c r="V34" i="13"/>
  <c r="V33" i="13"/>
  <c r="V32" i="13"/>
  <c r="V31" i="13"/>
  <c r="V30" i="13"/>
  <c r="V29" i="13"/>
  <c r="V28" i="13"/>
  <c r="V27" i="13"/>
  <c r="V26" i="13"/>
  <c r="V25" i="13"/>
  <c r="V24" i="13"/>
  <c r="V23" i="13"/>
  <c r="V22" i="13"/>
  <c r="V21" i="13"/>
  <c r="V20" i="13"/>
  <c r="V19" i="13"/>
  <c r="V18" i="13"/>
  <c r="V17" i="13"/>
  <c r="V16" i="13"/>
  <c r="V15" i="13"/>
  <c r="V14" i="13"/>
  <c r="V13" i="13"/>
  <c r="V12" i="13"/>
  <c r="V11" i="13"/>
  <c r="V10" i="13"/>
  <c r="O11" i="26"/>
  <c r="U11" i="26" s="1"/>
  <c r="P11" i="26"/>
  <c r="Q11" i="26"/>
  <c r="R11" i="26"/>
  <c r="S11" i="26"/>
  <c r="O12" i="26"/>
  <c r="P12" i="26"/>
  <c r="Q12" i="26"/>
  <c r="R12" i="26"/>
  <c r="S12" i="26"/>
  <c r="O13" i="26"/>
  <c r="P13" i="26"/>
  <c r="Q13" i="26"/>
  <c r="R13" i="26"/>
  <c r="S13" i="26"/>
  <c r="O14" i="26"/>
  <c r="P14" i="26"/>
  <c r="Q14" i="26"/>
  <c r="R14" i="26"/>
  <c r="S14" i="26"/>
  <c r="O15" i="26"/>
  <c r="P15" i="26"/>
  <c r="Q15" i="26"/>
  <c r="Q15" i="27" s="1"/>
  <c r="R15" i="26"/>
  <c r="S15" i="26"/>
  <c r="O16" i="26"/>
  <c r="P16" i="26"/>
  <c r="Q16" i="26"/>
  <c r="R16" i="26"/>
  <c r="S16" i="26"/>
  <c r="O17" i="26"/>
  <c r="P17" i="26"/>
  <c r="Q17" i="26"/>
  <c r="R17" i="26"/>
  <c r="S17" i="26"/>
  <c r="O18" i="26"/>
  <c r="P18" i="26"/>
  <c r="Q18" i="26"/>
  <c r="R18" i="26"/>
  <c r="S18" i="26"/>
  <c r="O19" i="26"/>
  <c r="U19" i="26" s="1"/>
  <c r="P19" i="26"/>
  <c r="Q19" i="26"/>
  <c r="R19" i="26"/>
  <c r="S19" i="26"/>
  <c r="O20" i="26"/>
  <c r="P20" i="26"/>
  <c r="Q20" i="26"/>
  <c r="R20" i="26"/>
  <c r="S20" i="26"/>
  <c r="O21" i="26"/>
  <c r="P21" i="26"/>
  <c r="Q21" i="26"/>
  <c r="R21" i="26"/>
  <c r="S21" i="26"/>
  <c r="O22" i="26"/>
  <c r="P22" i="26"/>
  <c r="Q22" i="26"/>
  <c r="R22" i="26"/>
  <c r="S22" i="26"/>
  <c r="O23" i="26"/>
  <c r="P23" i="26"/>
  <c r="Q23" i="26"/>
  <c r="R23" i="26"/>
  <c r="S23" i="26"/>
  <c r="O24" i="26"/>
  <c r="P24" i="26"/>
  <c r="Q24" i="26"/>
  <c r="R24" i="26"/>
  <c r="S24" i="26"/>
  <c r="O25" i="26"/>
  <c r="P25" i="26"/>
  <c r="Q25" i="26"/>
  <c r="R25" i="26"/>
  <c r="S25" i="26"/>
  <c r="O26" i="26"/>
  <c r="P26" i="26"/>
  <c r="Q26" i="26"/>
  <c r="R26" i="26"/>
  <c r="S26" i="26"/>
  <c r="O27" i="26"/>
  <c r="U27" i="26" s="1"/>
  <c r="P27" i="26"/>
  <c r="Q27" i="26"/>
  <c r="R27" i="26"/>
  <c r="S27" i="26"/>
  <c r="O28" i="26"/>
  <c r="P28" i="26"/>
  <c r="Q28" i="26"/>
  <c r="R28" i="26"/>
  <c r="S28" i="26"/>
  <c r="O29" i="26"/>
  <c r="P29" i="26"/>
  <c r="Q29" i="26"/>
  <c r="R29" i="26"/>
  <c r="S29" i="26"/>
  <c r="O30" i="26"/>
  <c r="P30" i="26"/>
  <c r="Q30" i="26"/>
  <c r="R30" i="26"/>
  <c r="S30" i="26"/>
  <c r="O31" i="26"/>
  <c r="P31" i="26"/>
  <c r="Q31" i="26"/>
  <c r="R31" i="26"/>
  <c r="S31" i="26"/>
  <c r="O32" i="26"/>
  <c r="P32" i="26"/>
  <c r="Q32" i="26"/>
  <c r="R32" i="26"/>
  <c r="S32" i="26"/>
  <c r="O33" i="26"/>
  <c r="P33" i="26"/>
  <c r="Q33" i="26"/>
  <c r="R33" i="26"/>
  <c r="S33" i="26"/>
  <c r="O34" i="26"/>
  <c r="P34" i="26"/>
  <c r="Q34" i="26"/>
  <c r="R34" i="26"/>
  <c r="S34" i="26"/>
  <c r="O35" i="26"/>
  <c r="U35" i="26" s="1"/>
  <c r="P35" i="26"/>
  <c r="Q35" i="26"/>
  <c r="R35" i="26"/>
  <c r="S35" i="26"/>
  <c r="O36" i="26"/>
  <c r="P36" i="26"/>
  <c r="Q36" i="26"/>
  <c r="R36" i="26"/>
  <c r="S36" i="26"/>
  <c r="O37" i="26"/>
  <c r="P37" i="26"/>
  <c r="Q37" i="26"/>
  <c r="R37" i="26"/>
  <c r="S37" i="26"/>
  <c r="O38" i="26"/>
  <c r="P38" i="26"/>
  <c r="Q38" i="26"/>
  <c r="R38" i="26"/>
  <c r="S38" i="26"/>
  <c r="O39" i="26"/>
  <c r="P39" i="26"/>
  <c r="Q39" i="26"/>
  <c r="R39" i="26"/>
  <c r="S39" i="26"/>
  <c r="O40" i="26"/>
  <c r="P40" i="26"/>
  <c r="Q40" i="26"/>
  <c r="R40" i="26"/>
  <c r="S40" i="26"/>
  <c r="O41" i="26"/>
  <c r="P41" i="26"/>
  <c r="Q41" i="26"/>
  <c r="R41" i="26"/>
  <c r="S41" i="26"/>
  <c r="O42" i="26"/>
  <c r="P42" i="26"/>
  <c r="Q42" i="26"/>
  <c r="R42" i="26"/>
  <c r="S42" i="26"/>
  <c r="O43" i="26"/>
  <c r="U43" i="26" s="1"/>
  <c r="P43" i="26"/>
  <c r="Q43" i="26"/>
  <c r="R43" i="26"/>
  <c r="S43" i="26"/>
  <c r="O44" i="26"/>
  <c r="P44" i="26"/>
  <c r="Q44" i="26"/>
  <c r="R44" i="26"/>
  <c r="S44" i="26"/>
  <c r="O45" i="26"/>
  <c r="P45" i="26"/>
  <c r="Q45" i="26"/>
  <c r="R45" i="26"/>
  <c r="S45" i="26"/>
  <c r="O46" i="26"/>
  <c r="P46" i="26"/>
  <c r="Q46" i="26"/>
  <c r="R46" i="26"/>
  <c r="S46" i="26"/>
  <c r="O47" i="26"/>
  <c r="P47" i="26"/>
  <c r="Q47" i="26"/>
  <c r="R47" i="26"/>
  <c r="S47" i="26"/>
  <c r="O48" i="26"/>
  <c r="P48" i="26"/>
  <c r="Q48" i="26"/>
  <c r="R48" i="26"/>
  <c r="S48" i="26"/>
  <c r="O49" i="26"/>
  <c r="U49" i="26" s="1"/>
  <c r="P49" i="26"/>
  <c r="P49" i="27" s="1"/>
  <c r="Q49" i="26"/>
  <c r="R49" i="26"/>
  <c r="S49" i="26"/>
  <c r="O50" i="26"/>
  <c r="P50" i="26"/>
  <c r="Q50" i="26"/>
  <c r="R50" i="26"/>
  <c r="S50" i="26"/>
  <c r="O51" i="26"/>
  <c r="P51" i="26"/>
  <c r="P51" i="27" s="1"/>
  <c r="Q51" i="26"/>
  <c r="R51" i="26"/>
  <c r="S51" i="26"/>
  <c r="O52" i="26"/>
  <c r="P52" i="26"/>
  <c r="Q52" i="26"/>
  <c r="Q52" i="27" s="1"/>
  <c r="R52" i="26"/>
  <c r="S52" i="26"/>
  <c r="O53" i="26"/>
  <c r="P53" i="26"/>
  <c r="Q53" i="26"/>
  <c r="R53" i="26"/>
  <c r="S53" i="26"/>
  <c r="O54" i="26"/>
  <c r="P54" i="26"/>
  <c r="Q54" i="26"/>
  <c r="R54" i="26"/>
  <c r="S54" i="26"/>
  <c r="O55" i="26"/>
  <c r="P55" i="26"/>
  <c r="Q55" i="26"/>
  <c r="R55" i="26"/>
  <c r="S55" i="26"/>
  <c r="O56" i="26"/>
  <c r="P56" i="26"/>
  <c r="Q56" i="26"/>
  <c r="R56" i="26"/>
  <c r="S56" i="26"/>
  <c r="O57" i="26"/>
  <c r="P57" i="26"/>
  <c r="Q57" i="26"/>
  <c r="R57" i="26"/>
  <c r="S57" i="26"/>
  <c r="O58" i="26"/>
  <c r="U58" i="26" s="1"/>
  <c r="P58" i="26"/>
  <c r="Q58" i="26"/>
  <c r="R58" i="26"/>
  <c r="S58" i="26"/>
  <c r="O59" i="26"/>
  <c r="P59" i="26"/>
  <c r="Q59" i="26"/>
  <c r="R59" i="26"/>
  <c r="S59" i="26"/>
  <c r="O60" i="26"/>
  <c r="P60" i="26"/>
  <c r="Q60" i="26"/>
  <c r="R60" i="26"/>
  <c r="S60" i="26"/>
  <c r="O61" i="26"/>
  <c r="P61" i="26"/>
  <c r="Q61" i="26"/>
  <c r="R61" i="26"/>
  <c r="S61" i="26"/>
  <c r="O62" i="26"/>
  <c r="P62" i="26"/>
  <c r="Q62" i="26"/>
  <c r="R62" i="26"/>
  <c r="S62" i="26"/>
  <c r="O63" i="26"/>
  <c r="P63" i="26"/>
  <c r="Q63" i="26"/>
  <c r="R63" i="26"/>
  <c r="S63" i="26"/>
  <c r="O64" i="26"/>
  <c r="P64" i="26"/>
  <c r="Q64" i="26"/>
  <c r="R64" i="26"/>
  <c r="S64" i="26"/>
  <c r="O65" i="26"/>
  <c r="P65" i="26"/>
  <c r="Q65" i="26"/>
  <c r="R65" i="26"/>
  <c r="S65" i="26"/>
  <c r="O66" i="26"/>
  <c r="P66" i="26"/>
  <c r="Q66" i="26"/>
  <c r="R66" i="26"/>
  <c r="S66" i="26"/>
  <c r="O67" i="26"/>
  <c r="P67" i="26"/>
  <c r="Q67" i="26"/>
  <c r="R67" i="26"/>
  <c r="S67" i="26"/>
  <c r="O68" i="26"/>
  <c r="P68" i="26"/>
  <c r="Q68" i="26"/>
  <c r="R68" i="26"/>
  <c r="S68" i="26"/>
  <c r="O69" i="26"/>
  <c r="P69" i="26"/>
  <c r="Q69" i="26"/>
  <c r="R69" i="26"/>
  <c r="S69" i="26"/>
  <c r="O70" i="26"/>
  <c r="P70" i="26"/>
  <c r="Q70" i="26"/>
  <c r="R70" i="26"/>
  <c r="S70" i="26"/>
  <c r="O71" i="26"/>
  <c r="P71" i="26"/>
  <c r="Q71" i="26"/>
  <c r="R71" i="26"/>
  <c r="S71" i="26"/>
  <c r="O72" i="26"/>
  <c r="P72" i="26"/>
  <c r="Q72" i="26"/>
  <c r="R72" i="26"/>
  <c r="S72" i="26"/>
  <c r="O73" i="26"/>
  <c r="P73" i="26"/>
  <c r="Q73" i="26"/>
  <c r="R73" i="26"/>
  <c r="S73" i="26"/>
  <c r="O74" i="26"/>
  <c r="P74" i="26"/>
  <c r="Q74" i="26"/>
  <c r="R74" i="26"/>
  <c r="S74" i="26"/>
  <c r="O75" i="26"/>
  <c r="P75" i="26"/>
  <c r="Q75" i="26"/>
  <c r="R75" i="26"/>
  <c r="S75" i="26"/>
  <c r="O76" i="26"/>
  <c r="P76" i="26"/>
  <c r="Q76" i="26"/>
  <c r="R76" i="26"/>
  <c r="S76" i="26"/>
  <c r="O77" i="26"/>
  <c r="P77" i="26"/>
  <c r="Q77" i="26"/>
  <c r="R77" i="26"/>
  <c r="S77" i="26"/>
  <c r="O78" i="26"/>
  <c r="P78" i="26"/>
  <c r="Q78" i="26"/>
  <c r="R78" i="26"/>
  <c r="S78" i="26"/>
  <c r="O79" i="26"/>
  <c r="P79" i="26"/>
  <c r="Q79" i="26"/>
  <c r="R79" i="26"/>
  <c r="S79" i="26"/>
  <c r="O80" i="26"/>
  <c r="P80" i="26"/>
  <c r="Q80" i="26"/>
  <c r="R80" i="26"/>
  <c r="S80" i="26"/>
  <c r="O81" i="26"/>
  <c r="P81" i="26"/>
  <c r="Q81" i="26"/>
  <c r="R81" i="26"/>
  <c r="S81" i="26"/>
  <c r="O82" i="26"/>
  <c r="P82" i="26"/>
  <c r="Q82" i="26"/>
  <c r="R82" i="26"/>
  <c r="S82" i="26"/>
  <c r="O83" i="26"/>
  <c r="P83" i="26"/>
  <c r="Q83" i="26"/>
  <c r="R83" i="26"/>
  <c r="S83" i="26"/>
  <c r="O84" i="26"/>
  <c r="P84" i="26"/>
  <c r="Q84" i="26"/>
  <c r="R84" i="26"/>
  <c r="S84" i="26"/>
  <c r="O85" i="26"/>
  <c r="P85" i="26"/>
  <c r="Q85" i="26"/>
  <c r="R85" i="26"/>
  <c r="S85" i="26"/>
  <c r="O86" i="26"/>
  <c r="P86" i="26"/>
  <c r="Q86" i="26"/>
  <c r="R86" i="26"/>
  <c r="S86" i="26"/>
  <c r="O87" i="26"/>
  <c r="P87" i="26"/>
  <c r="Q87" i="26"/>
  <c r="R87" i="26"/>
  <c r="S87" i="26"/>
  <c r="O88" i="26"/>
  <c r="P88" i="26"/>
  <c r="Q88" i="26"/>
  <c r="R88" i="26"/>
  <c r="S88" i="26"/>
  <c r="O89" i="26"/>
  <c r="P89" i="26"/>
  <c r="Q89" i="26"/>
  <c r="R89" i="26"/>
  <c r="S89" i="26"/>
  <c r="O90" i="26"/>
  <c r="P90" i="26"/>
  <c r="Q90" i="26"/>
  <c r="R90" i="26"/>
  <c r="S90" i="26"/>
  <c r="O91" i="26"/>
  <c r="P91" i="26"/>
  <c r="Q91" i="26"/>
  <c r="R91" i="26"/>
  <c r="S91" i="26"/>
  <c r="O92" i="26"/>
  <c r="P92" i="26"/>
  <c r="Q92" i="26"/>
  <c r="R92" i="26"/>
  <c r="S92" i="26"/>
  <c r="O93" i="26"/>
  <c r="P93" i="26"/>
  <c r="Q93" i="26"/>
  <c r="R93" i="26"/>
  <c r="S93" i="26"/>
  <c r="O94" i="26"/>
  <c r="P94" i="26"/>
  <c r="Q94" i="26"/>
  <c r="R94" i="26"/>
  <c r="S94" i="26"/>
  <c r="O95" i="26"/>
  <c r="P95" i="26"/>
  <c r="Q95" i="26"/>
  <c r="R95" i="26"/>
  <c r="S95" i="26"/>
  <c r="O96" i="26"/>
  <c r="P96" i="26"/>
  <c r="Q96" i="26"/>
  <c r="R96" i="26"/>
  <c r="S96" i="26"/>
  <c r="O97" i="26"/>
  <c r="P97" i="26"/>
  <c r="P97" i="27" s="1"/>
  <c r="Q97" i="26"/>
  <c r="R97" i="26"/>
  <c r="S97" i="26"/>
  <c r="O98" i="26"/>
  <c r="P98" i="26"/>
  <c r="Q98" i="26"/>
  <c r="R98" i="26"/>
  <c r="S98" i="26"/>
  <c r="O99" i="26"/>
  <c r="P99" i="26"/>
  <c r="Q99" i="26"/>
  <c r="R99" i="26"/>
  <c r="S99" i="26"/>
  <c r="O100" i="26"/>
  <c r="P100" i="26"/>
  <c r="Q100" i="26"/>
  <c r="R100" i="26"/>
  <c r="S100" i="26"/>
  <c r="O101" i="26"/>
  <c r="P101" i="26"/>
  <c r="Q101" i="26"/>
  <c r="R101" i="26"/>
  <c r="S101" i="26"/>
  <c r="O102" i="26"/>
  <c r="P102" i="26"/>
  <c r="Q102" i="26"/>
  <c r="R102" i="26"/>
  <c r="S102" i="26"/>
  <c r="P10" i="26"/>
  <c r="Q10" i="26"/>
  <c r="R10" i="26"/>
  <c r="S10" i="26"/>
  <c r="O10" i="26"/>
  <c r="U10" i="26" s="1"/>
  <c r="F13" i="26"/>
  <c r="G13" i="26"/>
  <c r="I13" i="26"/>
  <c r="J13" i="26"/>
  <c r="L13" i="26"/>
  <c r="F14" i="26"/>
  <c r="G14" i="26"/>
  <c r="I14" i="26"/>
  <c r="J14" i="26"/>
  <c r="L14" i="26"/>
  <c r="F15" i="26"/>
  <c r="G15" i="26"/>
  <c r="I15" i="26"/>
  <c r="J15" i="26"/>
  <c r="L15" i="26"/>
  <c r="F16" i="26"/>
  <c r="G16" i="26"/>
  <c r="I16" i="26"/>
  <c r="J16" i="26"/>
  <c r="L16" i="26"/>
  <c r="F17" i="26"/>
  <c r="G17" i="26"/>
  <c r="I17" i="26"/>
  <c r="J17" i="26"/>
  <c r="L17" i="26"/>
  <c r="F18" i="26"/>
  <c r="G18" i="26"/>
  <c r="I18" i="26"/>
  <c r="J18" i="26"/>
  <c r="L18" i="26"/>
  <c r="F19" i="26"/>
  <c r="G19" i="26"/>
  <c r="I19" i="26"/>
  <c r="J19" i="26"/>
  <c r="L19" i="26"/>
  <c r="F20" i="26"/>
  <c r="G20" i="26"/>
  <c r="I20" i="26"/>
  <c r="J20" i="26"/>
  <c r="L20" i="26"/>
  <c r="F21" i="26"/>
  <c r="G21" i="26"/>
  <c r="I21" i="26"/>
  <c r="J21" i="26"/>
  <c r="L21" i="26"/>
  <c r="F22" i="26"/>
  <c r="G22" i="26"/>
  <c r="I22" i="26"/>
  <c r="J22" i="26"/>
  <c r="L22" i="26"/>
  <c r="F23" i="26"/>
  <c r="G23" i="26"/>
  <c r="I23" i="26"/>
  <c r="J23" i="26"/>
  <c r="L23" i="26"/>
  <c r="F24" i="26"/>
  <c r="G24" i="26"/>
  <c r="I24" i="26"/>
  <c r="J24" i="26"/>
  <c r="L24" i="26"/>
  <c r="F25" i="26"/>
  <c r="G25" i="26"/>
  <c r="I25" i="26"/>
  <c r="J25" i="26"/>
  <c r="L25" i="26"/>
  <c r="F26" i="26"/>
  <c r="G26" i="26"/>
  <c r="I26" i="26"/>
  <c r="J26" i="26"/>
  <c r="L26" i="26"/>
  <c r="F27" i="26"/>
  <c r="G27" i="26"/>
  <c r="I27" i="26"/>
  <c r="J27" i="26"/>
  <c r="L27" i="26"/>
  <c r="F28" i="26"/>
  <c r="G28" i="26"/>
  <c r="I28" i="26"/>
  <c r="J28" i="26"/>
  <c r="L28" i="26"/>
  <c r="F29" i="26"/>
  <c r="G29" i="26"/>
  <c r="I29" i="26"/>
  <c r="J29" i="26"/>
  <c r="L29" i="26"/>
  <c r="F30" i="26"/>
  <c r="G30" i="26"/>
  <c r="I30" i="26"/>
  <c r="J30" i="26"/>
  <c r="L30" i="26"/>
  <c r="F31" i="26"/>
  <c r="G31" i="26"/>
  <c r="I31" i="26"/>
  <c r="J31" i="26"/>
  <c r="L31" i="26"/>
  <c r="F32" i="26"/>
  <c r="G32" i="26"/>
  <c r="I32" i="26"/>
  <c r="J32" i="26"/>
  <c r="L32" i="26"/>
  <c r="F33" i="26"/>
  <c r="G33" i="26"/>
  <c r="I33" i="26"/>
  <c r="J33" i="26"/>
  <c r="L33" i="26"/>
  <c r="F34" i="26"/>
  <c r="G34" i="26"/>
  <c r="I34" i="26"/>
  <c r="J34" i="26"/>
  <c r="L34" i="26"/>
  <c r="F35" i="26"/>
  <c r="G35" i="26"/>
  <c r="I35" i="26"/>
  <c r="J35" i="26"/>
  <c r="L35" i="26"/>
  <c r="F36" i="26"/>
  <c r="G36" i="26"/>
  <c r="I36" i="26"/>
  <c r="J36" i="26"/>
  <c r="L36" i="26"/>
  <c r="F37" i="26"/>
  <c r="G37" i="26"/>
  <c r="I37" i="26"/>
  <c r="J37" i="26"/>
  <c r="L37" i="26"/>
  <c r="F38" i="26"/>
  <c r="G38" i="26"/>
  <c r="I38" i="26"/>
  <c r="J38" i="26"/>
  <c r="L38" i="26"/>
  <c r="F39" i="26"/>
  <c r="G39" i="26"/>
  <c r="I39" i="26"/>
  <c r="J39" i="26"/>
  <c r="L39" i="26"/>
  <c r="F40" i="26"/>
  <c r="G40" i="26"/>
  <c r="I40" i="26"/>
  <c r="J40" i="26"/>
  <c r="L40" i="26"/>
  <c r="F41" i="26"/>
  <c r="G41" i="26"/>
  <c r="I41" i="26"/>
  <c r="J41" i="26"/>
  <c r="L41" i="26"/>
  <c r="F42" i="26"/>
  <c r="G42" i="26"/>
  <c r="I42" i="26"/>
  <c r="J42" i="26"/>
  <c r="L42" i="26"/>
  <c r="F43" i="26"/>
  <c r="G43" i="26"/>
  <c r="I43" i="26"/>
  <c r="J43" i="26"/>
  <c r="L43" i="26"/>
  <c r="F44" i="26"/>
  <c r="G44" i="26"/>
  <c r="I44" i="26"/>
  <c r="J44" i="26"/>
  <c r="L44" i="26"/>
  <c r="F45" i="26"/>
  <c r="G45" i="26"/>
  <c r="I45" i="26"/>
  <c r="J45" i="26"/>
  <c r="L45" i="26"/>
  <c r="F46" i="26"/>
  <c r="G46" i="26"/>
  <c r="I46" i="26"/>
  <c r="J46" i="26"/>
  <c r="L46" i="26"/>
  <c r="F47" i="26"/>
  <c r="G47" i="26"/>
  <c r="I47" i="26"/>
  <c r="J47" i="26"/>
  <c r="L47" i="26"/>
  <c r="F48" i="26"/>
  <c r="G48" i="26"/>
  <c r="I48" i="26"/>
  <c r="J48" i="26"/>
  <c r="L48" i="26"/>
  <c r="F49" i="26"/>
  <c r="G49" i="26"/>
  <c r="I49" i="26"/>
  <c r="J49" i="26"/>
  <c r="L49" i="26"/>
  <c r="F50" i="26"/>
  <c r="G50" i="26"/>
  <c r="I50" i="26"/>
  <c r="J50" i="26"/>
  <c r="L50" i="26"/>
  <c r="F51" i="26"/>
  <c r="G51" i="26"/>
  <c r="I51" i="26"/>
  <c r="J51" i="26"/>
  <c r="L51" i="26"/>
  <c r="F52" i="26"/>
  <c r="G52" i="26"/>
  <c r="I52" i="26"/>
  <c r="J52" i="26"/>
  <c r="L52" i="26"/>
  <c r="F53" i="26"/>
  <c r="G53" i="26"/>
  <c r="I53" i="26"/>
  <c r="J53" i="26"/>
  <c r="L53" i="26"/>
  <c r="F54" i="26"/>
  <c r="G54" i="26"/>
  <c r="I54" i="26"/>
  <c r="J54" i="26"/>
  <c r="L54" i="26"/>
  <c r="F55" i="26"/>
  <c r="G55" i="26"/>
  <c r="I55" i="26"/>
  <c r="J55" i="26"/>
  <c r="L55" i="26"/>
  <c r="F56" i="26"/>
  <c r="G56" i="26"/>
  <c r="I56" i="26"/>
  <c r="J56" i="26"/>
  <c r="L56" i="26"/>
  <c r="L56" i="27" s="1"/>
  <c r="F57" i="26"/>
  <c r="G57" i="26"/>
  <c r="I57" i="26"/>
  <c r="J57" i="26"/>
  <c r="L57" i="26"/>
  <c r="F58" i="26"/>
  <c r="G58" i="26"/>
  <c r="I58" i="26"/>
  <c r="J58" i="26"/>
  <c r="L58" i="26"/>
  <c r="F59" i="26"/>
  <c r="G59" i="26"/>
  <c r="I59" i="26"/>
  <c r="J59" i="26"/>
  <c r="L59" i="26"/>
  <c r="F60" i="26"/>
  <c r="G60" i="26"/>
  <c r="I60" i="26"/>
  <c r="J60" i="26"/>
  <c r="L60" i="26"/>
  <c r="F61" i="26"/>
  <c r="G61" i="26"/>
  <c r="I61" i="26"/>
  <c r="J61" i="26"/>
  <c r="L61" i="26"/>
  <c r="F62" i="26"/>
  <c r="G62" i="26"/>
  <c r="I62" i="26"/>
  <c r="J62" i="26"/>
  <c r="L62" i="26"/>
  <c r="F63" i="26"/>
  <c r="G63" i="26"/>
  <c r="I63" i="26"/>
  <c r="J63" i="26"/>
  <c r="L63" i="26"/>
  <c r="F64" i="26"/>
  <c r="G64" i="26"/>
  <c r="I64" i="26"/>
  <c r="J64" i="26"/>
  <c r="L64" i="26"/>
  <c r="F65" i="26"/>
  <c r="G65" i="26"/>
  <c r="I65" i="26"/>
  <c r="J65" i="26"/>
  <c r="L65" i="26"/>
  <c r="F66" i="26"/>
  <c r="G66" i="26"/>
  <c r="I66" i="26"/>
  <c r="J66" i="26"/>
  <c r="L66" i="26"/>
  <c r="F67" i="26"/>
  <c r="G67" i="26"/>
  <c r="I67" i="26"/>
  <c r="J67" i="26"/>
  <c r="L67" i="26"/>
  <c r="F68" i="26"/>
  <c r="G68" i="26"/>
  <c r="I68" i="26"/>
  <c r="J68" i="26"/>
  <c r="L68" i="26"/>
  <c r="F69" i="26"/>
  <c r="G69" i="26"/>
  <c r="I69" i="26"/>
  <c r="J69" i="26"/>
  <c r="L69" i="26"/>
  <c r="F70" i="26"/>
  <c r="G70" i="26"/>
  <c r="I70" i="26"/>
  <c r="J70" i="26"/>
  <c r="L70" i="26"/>
  <c r="F71" i="26"/>
  <c r="G71" i="26"/>
  <c r="I71" i="26"/>
  <c r="J71" i="26"/>
  <c r="L71" i="26"/>
  <c r="F72" i="26"/>
  <c r="G72" i="26"/>
  <c r="I72" i="26"/>
  <c r="J72" i="26"/>
  <c r="L72" i="26"/>
  <c r="F73" i="26"/>
  <c r="G73" i="26"/>
  <c r="I73" i="26"/>
  <c r="J73" i="26"/>
  <c r="L73" i="26"/>
  <c r="F74" i="26"/>
  <c r="G74" i="26"/>
  <c r="I74" i="26"/>
  <c r="J74" i="26"/>
  <c r="L74" i="26"/>
  <c r="F75" i="26"/>
  <c r="G75" i="26"/>
  <c r="I75" i="26"/>
  <c r="J75" i="26"/>
  <c r="L75" i="26"/>
  <c r="F76" i="26"/>
  <c r="G76" i="26"/>
  <c r="I76" i="26"/>
  <c r="J76" i="26"/>
  <c r="L76" i="26"/>
  <c r="F77" i="26"/>
  <c r="G77" i="26"/>
  <c r="I77" i="26"/>
  <c r="J77" i="26"/>
  <c r="L77" i="26"/>
  <c r="F78" i="26"/>
  <c r="G78" i="26"/>
  <c r="I78" i="26"/>
  <c r="J78" i="26"/>
  <c r="L78" i="26"/>
  <c r="F79" i="26"/>
  <c r="G79" i="26"/>
  <c r="I79" i="26"/>
  <c r="J79" i="26"/>
  <c r="L79" i="26"/>
  <c r="F80" i="26"/>
  <c r="G80" i="26"/>
  <c r="I80" i="26"/>
  <c r="J80" i="26"/>
  <c r="L80" i="26"/>
  <c r="F81" i="26"/>
  <c r="G81" i="26"/>
  <c r="I81" i="26"/>
  <c r="J81" i="26"/>
  <c r="L81" i="26"/>
  <c r="F82" i="26"/>
  <c r="G82" i="26"/>
  <c r="I82" i="26"/>
  <c r="J82" i="26"/>
  <c r="L82" i="26"/>
  <c r="F83" i="26"/>
  <c r="G83" i="26"/>
  <c r="I83" i="26"/>
  <c r="J83" i="26"/>
  <c r="L83" i="26"/>
  <c r="F84" i="26"/>
  <c r="G84" i="26"/>
  <c r="I84" i="26"/>
  <c r="J84" i="26"/>
  <c r="L84" i="26"/>
  <c r="F85" i="26"/>
  <c r="G85" i="26"/>
  <c r="I85" i="26"/>
  <c r="J85" i="26"/>
  <c r="L85" i="26"/>
  <c r="F86" i="26"/>
  <c r="G86" i="26"/>
  <c r="I86" i="26"/>
  <c r="J86" i="26"/>
  <c r="L86" i="26"/>
  <c r="F87" i="26"/>
  <c r="G87" i="26"/>
  <c r="I87" i="26"/>
  <c r="J87" i="26"/>
  <c r="L87" i="26"/>
  <c r="F88" i="26"/>
  <c r="G88" i="26"/>
  <c r="I88" i="26"/>
  <c r="J88" i="26"/>
  <c r="L88" i="26"/>
  <c r="F89" i="26"/>
  <c r="G89" i="26"/>
  <c r="I89" i="26"/>
  <c r="J89" i="26"/>
  <c r="L89" i="26"/>
  <c r="F90" i="26"/>
  <c r="G90" i="26"/>
  <c r="I90" i="26"/>
  <c r="J90" i="26"/>
  <c r="L90" i="26"/>
  <c r="F91" i="26"/>
  <c r="G91" i="26"/>
  <c r="I91" i="26"/>
  <c r="J91" i="26"/>
  <c r="L91" i="26"/>
  <c r="F92" i="26"/>
  <c r="G92" i="26"/>
  <c r="I92" i="26"/>
  <c r="J92" i="26"/>
  <c r="L92" i="26"/>
  <c r="F93" i="26"/>
  <c r="G93" i="26"/>
  <c r="I93" i="26"/>
  <c r="J93" i="26"/>
  <c r="L93" i="26"/>
  <c r="F94" i="26"/>
  <c r="G94" i="26"/>
  <c r="I94" i="26"/>
  <c r="J94" i="26"/>
  <c r="L94" i="26"/>
  <c r="F95" i="26"/>
  <c r="G95" i="26"/>
  <c r="I95" i="26"/>
  <c r="J95" i="26"/>
  <c r="L95" i="26"/>
  <c r="F96" i="26"/>
  <c r="G96" i="26"/>
  <c r="I96" i="26"/>
  <c r="J96" i="26"/>
  <c r="L96" i="26"/>
  <c r="F97" i="26"/>
  <c r="G97" i="26"/>
  <c r="I97" i="26"/>
  <c r="J97" i="26"/>
  <c r="L97" i="26"/>
  <c r="F98" i="26"/>
  <c r="G98" i="26"/>
  <c r="I98" i="26"/>
  <c r="J98" i="26"/>
  <c r="L98" i="26"/>
  <c r="F99" i="26"/>
  <c r="G99" i="26"/>
  <c r="I99" i="26"/>
  <c r="J99" i="26"/>
  <c r="L99" i="26"/>
  <c r="F100" i="26"/>
  <c r="G100" i="26"/>
  <c r="I100" i="26"/>
  <c r="J100" i="26"/>
  <c r="L100" i="26"/>
  <c r="F101" i="26"/>
  <c r="G101" i="26"/>
  <c r="I101" i="26"/>
  <c r="J101" i="26"/>
  <c r="L101" i="26"/>
  <c r="F102" i="26"/>
  <c r="G102" i="26"/>
  <c r="I102" i="26"/>
  <c r="J102" i="26"/>
  <c r="L102" i="26"/>
  <c r="F11" i="25"/>
  <c r="G11" i="25"/>
  <c r="I11" i="25"/>
  <c r="F12" i="25"/>
  <c r="G12" i="25"/>
  <c r="I12" i="25"/>
  <c r="F13" i="25"/>
  <c r="G13" i="25"/>
  <c r="G13" i="27" s="1"/>
  <c r="I13" i="25"/>
  <c r="I13" i="27" s="1"/>
  <c r="F14" i="25"/>
  <c r="G14" i="25"/>
  <c r="I14" i="25"/>
  <c r="F15" i="25"/>
  <c r="G15" i="25"/>
  <c r="I15" i="25"/>
  <c r="F16" i="25"/>
  <c r="G16" i="25"/>
  <c r="I16" i="25"/>
  <c r="F17" i="25"/>
  <c r="G17" i="25"/>
  <c r="G17" i="27" s="1"/>
  <c r="I17" i="25"/>
  <c r="I17" i="27" s="1"/>
  <c r="F18" i="25"/>
  <c r="G18" i="25"/>
  <c r="I18" i="25"/>
  <c r="F19" i="25"/>
  <c r="G19" i="25"/>
  <c r="I19" i="25"/>
  <c r="F20" i="25"/>
  <c r="G20" i="25"/>
  <c r="I20" i="25"/>
  <c r="F21" i="25"/>
  <c r="G21" i="25"/>
  <c r="G21" i="27" s="1"/>
  <c r="I21" i="25"/>
  <c r="I21" i="27" s="1"/>
  <c r="F22" i="25"/>
  <c r="G22" i="25"/>
  <c r="I22" i="25"/>
  <c r="F23" i="25"/>
  <c r="G23" i="25"/>
  <c r="I23" i="25"/>
  <c r="F24" i="25"/>
  <c r="G24" i="25"/>
  <c r="I24" i="25"/>
  <c r="F25" i="25"/>
  <c r="G25" i="25"/>
  <c r="G25" i="27" s="1"/>
  <c r="I25" i="25"/>
  <c r="I25" i="27" s="1"/>
  <c r="F26" i="25"/>
  <c r="G26" i="25"/>
  <c r="I26" i="25"/>
  <c r="F27" i="25"/>
  <c r="G27" i="25"/>
  <c r="I27" i="25"/>
  <c r="F28" i="25"/>
  <c r="G28" i="25"/>
  <c r="I28" i="25"/>
  <c r="F29" i="25"/>
  <c r="G29" i="25"/>
  <c r="G29" i="27" s="1"/>
  <c r="I29" i="25"/>
  <c r="I29" i="27" s="1"/>
  <c r="F30" i="25"/>
  <c r="G30" i="25"/>
  <c r="I30" i="25"/>
  <c r="F31" i="25"/>
  <c r="G31" i="25"/>
  <c r="I31" i="25"/>
  <c r="F32" i="25"/>
  <c r="G32" i="25"/>
  <c r="I32" i="25"/>
  <c r="F33" i="25"/>
  <c r="G33" i="25"/>
  <c r="G33" i="27" s="1"/>
  <c r="I33" i="25"/>
  <c r="F34" i="25"/>
  <c r="G34" i="25"/>
  <c r="I34" i="25"/>
  <c r="F35" i="25"/>
  <c r="G35" i="25"/>
  <c r="I35" i="25"/>
  <c r="F36" i="25"/>
  <c r="G36" i="25"/>
  <c r="I36" i="25"/>
  <c r="F37" i="25"/>
  <c r="G37" i="25"/>
  <c r="G37" i="27" s="1"/>
  <c r="I37" i="25"/>
  <c r="I37" i="27" s="1"/>
  <c r="F38" i="25"/>
  <c r="G38" i="25"/>
  <c r="I38" i="25"/>
  <c r="F39" i="25"/>
  <c r="G39" i="25"/>
  <c r="I39" i="25"/>
  <c r="F40" i="25"/>
  <c r="G40" i="25"/>
  <c r="I40" i="25"/>
  <c r="F41" i="25"/>
  <c r="G41" i="25"/>
  <c r="I41" i="25"/>
  <c r="I41" i="27" s="1"/>
  <c r="F42" i="25"/>
  <c r="G42" i="25"/>
  <c r="I42" i="25"/>
  <c r="F43" i="25"/>
  <c r="G43" i="25"/>
  <c r="I43" i="25"/>
  <c r="F44" i="25"/>
  <c r="G44" i="25"/>
  <c r="I44" i="25"/>
  <c r="F45" i="25"/>
  <c r="G45" i="25"/>
  <c r="I45" i="25"/>
  <c r="I45" i="27" s="1"/>
  <c r="F46" i="25"/>
  <c r="G46" i="25"/>
  <c r="I46" i="25"/>
  <c r="F47" i="25"/>
  <c r="G47" i="25"/>
  <c r="I47" i="25"/>
  <c r="F48" i="25"/>
  <c r="G48" i="25"/>
  <c r="I48" i="25"/>
  <c r="F49" i="25"/>
  <c r="G49" i="25"/>
  <c r="I49" i="25"/>
  <c r="I49" i="27" s="1"/>
  <c r="F50" i="25"/>
  <c r="G50" i="25"/>
  <c r="I50" i="25"/>
  <c r="F51" i="25"/>
  <c r="G51" i="25"/>
  <c r="I51" i="25"/>
  <c r="F52" i="25"/>
  <c r="G52" i="25"/>
  <c r="I52" i="25"/>
  <c r="F53" i="25"/>
  <c r="G53" i="25"/>
  <c r="G53" i="27" s="1"/>
  <c r="I53" i="25"/>
  <c r="I53" i="27" s="1"/>
  <c r="F54" i="25"/>
  <c r="G54" i="25"/>
  <c r="I54" i="25"/>
  <c r="F55" i="25"/>
  <c r="G55" i="25"/>
  <c r="I55" i="25"/>
  <c r="F56" i="25"/>
  <c r="G56" i="25"/>
  <c r="I56" i="25"/>
  <c r="F57" i="25"/>
  <c r="G57" i="25"/>
  <c r="G57" i="27" s="1"/>
  <c r="I57" i="25"/>
  <c r="F58" i="25"/>
  <c r="G58" i="25"/>
  <c r="I58" i="25"/>
  <c r="F59" i="25"/>
  <c r="G59" i="25"/>
  <c r="I59" i="25"/>
  <c r="F60" i="25"/>
  <c r="G60" i="25"/>
  <c r="I60" i="25"/>
  <c r="F61" i="25"/>
  <c r="G61" i="25"/>
  <c r="G61" i="27" s="1"/>
  <c r="I61" i="25"/>
  <c r="I61" i="27" s="1"/>
  <c r="F62" i="25"/>
  <c r="G62" i="25"/>
  <c r="I62" i="25"/>
  <c r="F63" i="25"/>
  <c r="G63" i="25"/>
  <c r="I63" i="25"/>
  <c r="F64" i="25"/>
  <c r="G64" i="25"/>
  <c r="I64" i="25"/>
  <c r="F65" i="25"/>
  <c r="G65" i="25"/>
  <c r="G65" i="27" s="1"/>
  <c r="I65" i="25"/>
  <c r="I65" i="27" s="1"/>
  <c r="F66" i="25"/>
  <c r="G66" i="25"/>
  <c r="I66" i="25"/>
  <c r="F67" i="25"/>
  <c r="G67" i="25"/>
  <c r="I67" i="25"/>
  <c r="F68" i="25"/>
  <c r="G68" i="25"/>
  <c r="I68" i="25"/>
  <c r="F69" i="25"/>
  <c r="G69" i="25"/>
  <c r="I69" i="25"/>
  <c r="I69" i="27" s="1"/>
  <c r="F70" i="25"/>
  <c r="G70" i="25"/>
  <c r="I70" i="25"/>
  <c r="F71" i="25"/>
  <c r="G71" i="25"/>
  <c r="I71" i="25"/>
  <c r="F72" i="25"/>
  <c r="G72" i="25"/>
  <c r="I72" i="25"/>
  <c r="F73" i="25"/>
  <c r="G73" i="25"/>
  <c r="G73" i="27" s="1"/>
  <c r="I73" i="25"/>
  <c r="I73" i="27" s="1"/>
  <c r="F74" i="25"/>
  <c r="G74" i="25"/>
  <c r="I74" i="25"/>
  <c r="F75" i="25"/>
  <c r="G75" i="25"/>
  <c r="I75" i="25"/>
  <c r="F76" i="25"/>
  <c r="G76" i="25"/>
  <c r="I76" i="25"/>
  <c r="F77" i="25"/>
  <c r="G77" i="25"/>
  <c r="G77" i="27" s="1"/>
  <c r="I77" i="25"/>
  <c r="I77" i="27" s="1"/>
  <c r="F78" i="25"/>
  <c r="G78" i="25"/>
  <c r="I78" i="25"/>
  <c r="F79" i="25"/>
  <c r="G79" i="25"/>
  <c r="I79" i="25"/>
  <c r="F80" i="25"/>
  <c r="G80" i="25"/>
  <c r="I80" i="25"/>
  <c r="F81" i="25"/>
  <c r="G81" i="25"/>
  <c r="G81" i="27" s="1"/>
  <c r="I81" i="25"/>
  <c r="F82" i="25"/>
  <c r="G82" i="25"/>
  <c r="I82" i="25"/>
  <c r="F83" i="25"/>
  <c r="G83" i="25"/>
  <c r="I83" i="25"/>
  <c r="F84" i="25"/>
  <c r="G84" i="25"/>
  <c r="I84" i="25"/>
  <c r="F85" i="25"/>
  <c r="G85" i="25"/>
  <c r="G85" i="27" s="1"/>
  <c r="I85" i="25"/>
  <c r="I85" i="27" s="1"/>
  <c r="F86" i="25"/>
  <c r="G86" i="25"/>
  <c r="I86" i="25"/>
  <c r="F87" i="25"/>
  <c r="G87" i="25"/>
  <c r="I87" i="25"/>
  <c r="F88" i="25"/>
  <c r="G88" i="25"/>
  <c r="I88" i="25"/>
  <c r="F89" i="25"/>
  <c r="G89" i="25"/>
  <c r="G89" i="27" s="1"/>
  <c r="I89" i="25"/>
  <c r="I89" i="27" s="1"/>
  <c r="F90" i="25"/>
  <c r="G90" i="25"/>
  <c r="I90" i="25"/>
  <c r="F91" i="25"/>
  <c r="G91" i="25"/>
  <c r="I91" i="25"/>
  <c r="F92" i="25"/>
  <c r="G92" i="25"/>
  <c r="I92" i="25"/>
  <c r="F93" i="25"/>
  <c r="G93" i="25"/>
  <c r="G93" i="27" s="1"/>
  <c r="I93" i="25"/>
  <c r="I93" i="27" s="1"/>
  <c r="F94" i="25"/>
  <c r="G94" i="25"/>
  <c r="I94" i="25"/>
  <c r="F95" i="25"/>
  <c r="G95" i="25"/>
  <c r="I95" i="25"/>
  <c r="F96" i="25"/>
  <c r="G96" i="25"/>
  <c r="I96" i="25"/>
  <c r="F97" i="25"/>
  <c r="G97" i="25"/>
  <c r="G97" i="27" s="1"/>
  <c r="I97" i="25"/>
  <c r="I97" i="27" s="1"/>
  <c r="F98" i="25"/>
  <c r="G98" i="25"/>
  <c r="I98" i="25"/>
  <c r="F99" i="25"/>
  <c r="G99" i="25"/>
  <c r="I99" i="25"/>
  <c r="F100" i="25"/>
  <c r="G100" i="25"/>
  <c r="I100" i="25"/>
  <c r="F101" i="25"/>
  <c r="G101" i="25"/>
  <c r="G101" i="27" s="1"/>
  <c r="I101" i="25"/>
  <c r="I101" i="27" s="1"/>
  <c r="F102" i="25"/>
  <c r="G102" i="25"/>
  <c r="I102" i="25"/>
  <c r="G10" i="25"/>
  <c r="I10" i="25"/>
  <c r="F10" i="25"/>
  <c r="F11" i="26"/>
  <c r="G11" i="26"/>
  <c r="I11" i="26"/>
  <c r="J11" i="26"/>
  <c r="L11" i="26"/>
  <c r="F12" i="26"/>
  <c r="G12" i="26"/>
  <c r="I12" i="26"/>
  <c r="J12" i="26"/>
  <c r="L12" i="26"/>
  <c r="G10" i="26"/>
  <c r="I10" i="26"/>
  <c r="J10" i="26"/>
  <c r="L10" i="26"/>
  <c r="F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" i="26"/>
  <c r="D105" i="26"/>
  <c r="F103" i="12"/>
  <c r="F104" i="12"/>
  <c r="F105" i="12"/>
  <c r="D10" i="25"/>
  <c r="D11" i="25"/>
  <c r="D12" i="25"/>
  <c r="D13" i="25"/>
  <c r="D14" i="25"/>
  <c r="D15" i="25"/>
  <c r="D16" i="25"/>
  <c r="D17" i="25"/>
  <c r="D18" i="25"/>
  <c r="D19" i="25"/>
  <c r="D20" i="25"/>
  <c r="D21" i="25"/>
  <c r="D22" i="25"/>
  <c r="D23" i="25"/>
  <c r="D24" i="25"/>
  <c r="D25" i="25"/>
  <c r="D26" i="25"/>
  <c r="D27" i="25"/>
  <c r="D28" i="25"/>
  <c r="D29" i="25"/>
  <c r="D30" i="25"/>
  <c r="D31" i="25"/>
  <c r="D32" i="25"/>
  <c r="D33" i="25"/>
  <c r="D34" i="25"/>
  <c r="D35" i="25"/>
  <c r="D36" i="25"/>
  <c r="D37" i="25"/>
  <c r="D38" i="25"/>
  <c r="D39" i="25"/>
  <c r="D40" i="25"/>
  <c r="D41" i="25"/>
  <c r="D42" i="25"/>
  <c r="D43" i="25"/>
  <c r="D44" i="25"/>
  <c r="D45" i="25"/>
  <c r="D46" i="25"/>
  <c r="D47" i="25"/>
  <c r="D48" i="25"/>
  <c r="D49" i="25"/>
  <c r="D50" i="25"/>
  <c r="D51" i="25"/>
  <c r="D52" i="25"/>
  <c r="D53" i="25"/>
  <c r="D54" i="25"/>
  <c r="D55" i="25"/>
  <c r="D56" i="25"/>
  <c r="D57" i="25"/>
  <c r="D58" i="25"/>
  <c r="D59" i="25"/>
  <c r="D60" i="25"/>
  <c r="D61" i="25"/>
  <c r="D62" i="25"/>
  <c r="D63" i="25"/>
  <c r="D64" i="25"/>
  <c r="D65" i="25"/>
  <c r="D66" i="25"/>
  <c r="D67" i="25"/>
  <c r="D68" i="25"/>
  <c r="D69" i="25"/>
  <c r="D70" i="25"/>
  <c r="D71" i="25"/>
  <c r="D72" i="25"/>
  <c r="D73" i="25"/>
  <c r="D74" i="25"/>
  <c r="D75" i="25"/>
  <c r="D76" i="25"/>
  <c r="D77" i="25"/>
  <c r="D78" i="25"/>
  <c r="D79" i="25"/>
  <c r="D80" i="25"/>
  <c r="D81" i="25"/>
  <c r="D82" i="25"/>
  <c r="D83" i="25"/>
  <c r="D84" i="25"/>
  <c r="D85" i="25"/>
  <c r="D86" i="25"/>
  <c r="D87" i="25"/>
  <c r="D88" i="25"/>
  <c r="D89" i="25"/>
  <c r="D90" i="25"/>
  <c r="D91" i="25"/>
  <c r="D92" i="25"/>
  <c r="D93" i="25"/>
  <c r="D94" i="25"/>
  <c r="D95" i="25"/>
  <c r="D96" i="25"/>
  <c r="D97" i="25"/>
  <c r="D98" i="25"/>
  <c r="D99" i="25"/>
  <c r="D100" i="25"/>
  <c r="D101" i="25"/>
  <c r="D102" i="25"/>
  <c r="S105" i="12"/>
  <c r="R105" i="12"/>
  <c r="Q105" i="12"/>
  <c r="P105" i="12"/>
  <c r="O105" i="12"/>
  <c r="L105" i="12"/>
  <c r="J105" i="12"/>
  <c r="I105" i="12"/>
  <c r="G105" i="12"/>
  <c r="S104" i="12"/>
  <c r="R104" i="12"/>
  <c r="Q104" i="12"/>
  <c r="P104" i="12"/>
  <c r="O104" i="12"/>
  <c r="L104" i="12"/>
  <c r="J104" i="12"/>
  <c r="I104" i="12"/>
  <c r="G104" i="12"/>
  <c r="S103" i="12"/>
  <c r="R103" i="12"/>
  <c r="Q103" i="12"/>
  <c r="P103" i="12"/>
  <c r="O103" i="12"/>
  <c r="L103" i="12"/>
  <c r="J103" i="12"/>
  <c r="I103" i="12"/>
  <c r="G103" i="12"/>
  <c r="T102" i="12"/>
  <c r="V102" i="12" s="1"/>
  <c r="T101" i="12"/>
  <c r="V101" i="12" s="1"/>
  <c r="T100" i="12"/>
  <c r="V100" i="12" s="1"/>
  <c r="T99" i="12"/>
  <c r="V99" i="12" s="1"/>
  <c r="T98" i="12"/>
  <c r="V98" i="12" s="1"/>
  <c r="T97" i="12"/>
  <c r="V97" i="12" s="1"/>
  <c r="T96" i="12"/>
  <c r="V96" i="12" s="1"/>
  <c r="T95" i="12"/>
  <c r="V95" i="12" s="1"/>
  <c r="T94" i="12"/>
  <c r="V94" i="12" s="1"/>
  <c r="T93" i="12"/>
  <c r="V93" i="12" s="1"/>
  <c r="T92" i="12"/>
  <c r="V92" i="12" s="1"/>
  <c r="T91" i="12"/>
  <c r="V91" i="12" s="1"/>
  <c r="T90" i="12"/>
  <c r="V90" i="12" s="1"/>
  <c r="T89" i="12"/>
  <c r="V89" i="12" s="1"/>
  <c r="T88" i="12"/>
  <c r="V88" i="12"/>
  <c r="T87" i="12"/>
  <c r="V87" i="12" s="1"/>
  <c r="T86" i="12"/>
  <c r="V86" i="12" s="1"/>
  <c r="T85" i="12"/>
  <c r="V85" i="12" s="1"/>
  <c r="T84" i="12"/>
  <c r="V84" i="12" s="1"/>
  <c r="T83" i="12"/>
  <c r="V83" i="12" s="1"/>
  <c r="T82" i="12"/>
  <c r="V82" i="12" s="1"/>
  <c r="T81" i="12"/>
  <c r="V81" i="12" s="1"/>
  <c r="T80" i="12"/>
  <c r="V80" i="12" s="1"/>
  <c r="T79" i="12"/>
  <c r="V79" i="12" s="1"/>
  <c r="T78" i="12"/>
  <c r="V78" i="12" s="1"/>
  <c r="T77" i="12"/>
  <c r="V77" i="12" s="1"/>
  <c r="T76" i="12"/>
  <c r="V76" i="12" s="1"/>
  <c r="T75" i="12"/>
  <c r="V75" i="12" s="1"/>
  <c r="T74" i="12"/>
  <c r="V74" i="12" s="1"/>
  <c r="T73" i="12"/>
  <c r="V73" i="12" s="1"/>
  <c r="T72" i="12"/>
  <c r="V72" i="12" s="1"/>
  <c r="T71" i="12"/>
  <c r="V71" i="12" s="1"/>
  <c r="T70" i="12"/>
  <c r="V70" i="12" s="1"/>
  <c r="T69" i="12"/>
  <c r="V69" i="12" s="1"/>
  <c r="T68" i="12"/>
  <c r="V68" i="12" s="1"/>
  <c r="T67" i="12"/>
  <c r="V67" i="12" s="1"/>
  <c r="T66" i="12"/>
  <c r="V66" i="12" s="1"/>
  <c r="T65" i="12"/>
  <c r="V65" i="12" s="1"/>
  <c r="T64" i="12"/>
  <c r="V64" i="12" s="1"/>
  <c r="T63" i="12"/>
  <c r="V63" i="12" s="1"/>
  <c r="T62" i="12"/>
  <c r="V62" i="12" s="1"/>
  <c r="T61" i="12"/>
  <c r="V61" i="12" s="1"/>
  <c r="T60" i="12"/>
  <c r="V60" i="12" s="1"/>
  <c r="T59" i="12"/>
  <c r="V59" i="12" s="1"/>
  <c r="T58" i="12"/>
  <c r="V58" i="12" s="1"/>
  <c r="T57" i="12"/>
  <c r="V57" i="12" s="1"/>
  <c r="T56" i="12"/>
  <c r="V56" i="12" s="1"/>
  <c r="T55" i="12"/>
  <c r="V55" i="12" s="1"/>
  <c r="T54" i="12"/>
  <c r="V54" i="12" s="1"/>
  <c r="T53" i="12"/>
  <c r="V53" i="12" s="1"/>
  <c r="T52" i="12"/>
  <c r="V52" i="12" s="1"/>
  <c r="T51" i="12"/>
  <c r="V51" i="12" s="1"/>
  <c r="T50" i="12"/>
  <c r="V50" i="12" s="1"/>
  <c r="T49" i="12"/>
  <c r="V49" i="12" s="1"/>
  <c r="T48" i="12"/>
  <c r="V48" i="12" s="1"/>
  <c r="T47" i="12"/>
  <c r="V47" i="12" s="1"/>
  <c r="T46" i="12"/>
  <c r="V46" i="12" s="1"/>
  <c r="T45" i="12"/>
  <c r="V45" i="12" s="1"/>
  <c r="T44" i="12"/>
  <c r="V44" i="12" s="1"/>
  <c r="T43" i="12"/>
  <c r="V43" i="12" s="1"/>
  <c r="T42" i="12"/>
  <c r="V42" i="12" s="1"/>
  <c r="T41" i="12"/>
  <c r="V41" i="12" s="1"/>
  <c r="T40" i="12"/>
  <c r="V40" i="12" s="1"/>
  <c r="T39" i="12"/>
  <c r="V39" i="12" s="1"/>
  <c r="T38" i="12"/>
  <c r="V38" i="12" s="1"/>
  <c r="T37" i="12"/>
  <c r="V37" i="12" s="1"/>
  <c r="T36" i="12"/>
  <c r="V36" i="12" s="1"/>
  <c r="T35" i="12"/>
  <c r="V35" i="12" s="1"/>
  <c r="T34" i="12"/>
  <c r="V34" i="12" s="1"/>
  <c r="T33" i="12"/>
  <c r="V33" i="12" s="1"/>
  <c r="T32" i="12"/>
  <c r="V32" i="12" s="1"/>
  <c r="T31" i="12"/>
  <c r="V31" i="12" s="1"/>
  <c r="T30" i="12"/>
  <c r="V30" i="12" s="1"/>
  <c r="T29" i="12"/>
  <c r="V29" i="12" s="1"/>
  <c r="T28" i="12"/>
  <c r="V28" i="12" s="1"/>
  <c r="T27" i="12"/>
  <c r="V27" i="12" s="1"/>
  <c r="T26" i="12"/>
  <c r="V26" i="12"/>
  <c r="T25" i="12"/>
  <c r="V25" i="12" s="1"/>
  <c r="T24" i="12"/>
  <c r="V24" i="12" s="1"/>
  <c r="T23" i="12"/>
  <c r="V23" i="12" s="1"/>
  <c r="T22" i="12"/>
  <c r="V22" i="12" s="1"/>
  <c r="T21" i="12"/>
  <c r="V21" i="12" s="1"/>
  <c r="T20" i="12"/>
  <c r="V20" i="12" s="1"/>
  <c r="T19" i="12"/>
  <c r="V19" i="12" s="1"/>
  <c r="T18" i="12"/>
  <c r="V18" i="12" s="1"/>
  <c r="T17" i="12"/>
  <c r="V17" i="12" s="1"/>
  <c r="T16" i="12"/>
  <c r="V16" i="12" s="1"/>
  <c r="T15" i="12"/>
  <c r="V15" i="12" s="1"/>
  <c r="T14" i="12"/>
  <c r="V14" i="12" s="1"/>
  <c r="T13" i="12"/>
  <c r="V13" i="12" s="1"/>
  <c r="T12" i="12"/>
  <c r="V12" i="12" s="1"/>
  <c r="T11" i="12"/>
  <c r="V11" i="12" s="1"/>
  <c r="T10" i="12"/>
  <c r="V10" i="12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" i="25"/>
  <c r="C11" i="26"/>
  <c r="C12" i="26"/>
  <c r="N12" i="26" s="1"/>
  <c r="C13" i="26"/>
  <c r="N13" i="26" s="1"/>
  <c r="C14" i="26"/>
  <c r="C15" i="26"/>
  <c r="C16" i="26"/>
  <c r="C17" i="26"/>
  <c r="C18" i="26"/>
  <c r="C19" i="26"/>
  <c r="N19" i="26" s="1"/>
  <c r="C20" i="26"/>
  <c r="C21" i="26"/>
  <c r="N21" i="26" s="1"/>
  <c r="C22" i="26"/>
  <c r="C23" i="26"/>
  <c r="C24" i="26"/>
  <c r="C25" i="26"/>
  <c r="C26" i="26"/>
  <c r="C27" i="26"/>
  <c r="N27" i="26" s="1"/>
  <c r="C28" i="26"/>
  <c r="C29" i="26"/>
  <c r="N29" i="26" s="1"/>
  <c r="C30" i="26"/>
  <c r="C31" i="26"/>
  <c r="C32" i="26"/>
  <c r="C33" i="26"/>
  <c r="C34" i="26"/>
  <c r="C35" i="26"/>
  <c r="N35" i="26" s="1"/>
  <c r="C36" i="26"/>
  <c r="C37" i="26"/>
  <c r="N37" i="26" s="1"/>
  <c r="C38" i="26"/>
  <c r="C39" i="26"/>
  <c r="C40" i="26"/>
  <c r="C41" i="26"/>
  <c r="C42" i="26"/>
  <c r="C43" i="26"/>
  <c r="N43" i="26" s="1"/>
  <c r="C44" i="26"/>
  <c r="C45" i="26"/>
  <c r="N45" i="26" s="1"/>
  <c r="C46" i="26"/>
  <c r="C47" i="26"/>
  <c r="C48" i="26"/>
  <c r="C49" i="26"/>
  <c r="C50" i="26"/>
  <c r="C51" i="26"/>
  <c r="N51" i="26" s="1"/>
  <c r="C52" i="26"/>
  <c r="C53" i="26"/>
  <c r="N53" i="26" s="1"/>
  <c r="C54" i="26"/>
  <c r="C55" i="26"/>
  <c r="C56" i="26"/>
  <c r="C57" i="26"/>
  <c r="C58" i="26"/>
  <c r="C59" i="26"/>
  <c r="N59" i="26" s="1"/>
  <c r="C60" i="26"/>
  <c r="C61" i="26"/>
  <c r="N61" i="26" s="1"/>
  <c r="C62" i="26"/>
  <c r="C63" i="26"/>
  <c r="C64" i="26"/>
  <c r="C65" i="26"/>
  <c r="C66" i="26"/>
  <c r="C67" i="26"/>
  <c r="N67" i="26" s="1"/>
  <c r="C68" i="26"/>
  <c r="C69" i="26"/>
  <c r="N69" i="26" s="1"/>
  <c r="C70" i="26"/>
  <c r="C71" i="26"/>
  <c r="C72" i="26"/>
  <c r="C73" i="26"/>
  <c r="C74" i="26"/>
  <c r="C75" i="26"/>
  <c r="N75" i="26" s="1"/>
  <c r="C76" i="26"/>
  <c r="C77" i="26"/>
  <c r="N77" i="26" s="1"/>
  <c r="C78" i="26"/>
  <c r="C79" i="26"/>
  <c r="C80" i="26"/>
  <c r="C81" i="26"/>
  <c r="C82" i="26"/>
  <c r="C83" i="26"/>
  <c r="N83" i="26" s="1"/>
  <c r="C84" i="26"/>
  <c r="C85" i="26"/>
  <c r="N85" i="26" s="1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" i="26"/>
  <c r="Q5" i="26"/>
  <c r="S38" i="25"/>
  <c r="S40" i="25"/>
  <c r="E100" i="26" l="1"/>
  <c r="N100" i="26"/>
  <c r="E92" i="26"/>
  <c r="M92" i="26" s="1"/>
  <c r="N92" i="26"/>
  <c r="N84" i="26"/>
  <c r="N76" i="26"/>
  <c r="N68" i="26"/>
  <c r="N60" i="26"/>
  <c r="N52" i="26"/>
  <c r="N44" i="26"/>
  <c r="N36" i="26"/>
  <c r="N28" i="26"/>
  <c r="N20" i="26"/>
  <c r="N97" i="25"/>
  <c r="N65" i="25"/>
  <c r="M73" i="26"/>
  <c r="U100" i="26"/>
  <c r="U92" i="26"/>
  <c r="U84" i="26"/>
  <c r="U76" i="26"/>
  <c r="U68" i="26"/>
  <c r="U60" i="26"/>
  <c r="U52" i="26"/>
  <c r="U44" i="26"/>
  <c r="U36" i="26"/>
  <c r="U28" i="26"/>
  <c r="U20" i="26"/>
  <c r="U12" i="26"/>
  <c r="R106" i="17"/>
  <c r="J106" i="21"/>
  <c r="N103" i="20"/>
  <c r="F106" i="23"/>
  <c r="M106" i="23" s="1"/>
  <c r="M103" i="23"/>
  <c r="R106" i="23"/>
  <c r="P106" i="23"/>
  <c r="L106" i="24"/>
  <c r="N105" i="24"/>
  <c r="N104" i="17"/>
  <c r="M78" i="26"/>
  <c r="U81" i="26"/>
  <c r="U57" i="26"/>
  <c r="U25" i="26"/>
  <c r="O106" i="20"/>
  <c r="T103" i="20"/>
  <c r="V103" i="20" s="1"/>
  <c r="U103" i="20"/>
  <c r="E105" i="18"/>
  <c r="N105" i="18"/>
  <c r="E99" i="26"/>
  <c r="N99" i="26"/>
  <c r="N11" i="26"/>
  <c r="M100" i="26"/>
  <c r="M84" i="26"/>
  <c r="M20" i="26"/>
  <c r="U95" i="26"/>
  <c r="U87" i="26"/>
  <c r="U79" i="26"/>
  <c r="U71" i="26"/>
  <c r="U63" i="26"/>
  <c r="U55" i="26"/>
  <c r="U47" i="26"/>
  <c r="U39" i="26"/>
  <c r="U31" i="26"/>
  <c r="U23" i="26"/>
  <c r="U15" i="26"/>
  <c r="S106" i="17"/>
  <c r="U103" i="22"/>
  <c r="T103" i="22"/>
  <c r="V103" i="22" s="1"/>
  <c r="T105" i="23"/>
  <c r="V105" i="23" s="1"/>
  <c r="T103" i="24"/>
  <c r="U103" i="24"/>
  <c r="E105" i="23"/>
  <c r="N105" i="23"/>
  <c r="E104" i="24"/>
  <c r="M104" i="24" s="1"/>
  <c r="N104" i="24"/>
  <c r="N103" i="17"/>
  <c r="T105" i="20"/>
  <c r="E101" i="26"/>
  <c r="N101" i="26"/>
  <c r="E93" i="26"/>
  <c r="N93" i="26"/>
  <c r="U97" i="26"/>
  <c r="N103" i="21"/>
  <c r="E91" i="26"/>
  <c r="N91" i="26"/>
  <c r="N66" i="26"/>
  <c r="N26" i="26"/>
  <c r="M87" i="26"/>
  <c r="M23" i="26"/>
  <c r="U98" i="26"/>
  <c r="U90" i="26"/>
  <c r="U82" i="26"/>
  <c r="U74" i="26"/>
  <c r="U66" i="26"/>
  <c r="U50" i="26"/>
  <c r="U42" i="26"/>
  <c r="U34" i="26"/>
  <c r="U26" i="26"/>
  <c r="U18" i="26"/>
  <c r="U105" i="19"/>
  <c r="U103" i="21"/>
  <c r="T103" i="21"/>
  <c r="G106" i="21"/>
  <c r="S106" i="21"/>
  <c r="N104" i="23"/>
  <c r="N103" i="24"/>
  <c r="U89" i="26"/>
  <c r="U65" i="26"/>
  <c r="U41" i="26"/>
  <c r="U17" i="26"/>
  <c r="N98" i="26"/>
  <c r="N74" i="26"/>
  <c r="N42" i="26"/>
  <c r="N89" i="26"/>
  <c r="N65" i="26"/>
  <c r="N41" i="26"/>
  <c r="N25" i="26"/>
  <c r="U101" i="26"/>
  <c r="U93" i="26"/>
  <c r="U85" i="26"/>
  <c r="U77" i="26"/>
  <c r="U69" i="26"/>
  <c r="U61" i="26"/>
  <c r="U53" i="26"/>
  <c r="U45" i="26"/>
  <c r="U37" i="26"/>
  <c r="U29" i="26"/>
  <c r="U21" i="26"/>
  <c r="U13" i="26"/>
  <c r="R41" i="27"/>
  <c r="T105" i="17"/>
  <c r="N103" i="19"/>
  <c r="N105" i="19"/>
  <c r="Q4" i="21"/>
  <c r="J12" i="2" s="1"/>
  <c r="E104" i="20"/>
  <c r="N104" i="20"/>
  <c r="J106" i="23"/>
  <c r="T104" i="24"/>
  <c r="U104" i="24"/>
  <c r="G106" i="18"/>
  <c r="L106" i="17"/>
  <c r="N105" i="22"/>
  <c r="E103" i="23"/>
  <c r="N103" i="23"/>
  <c r="T104" i="20"/>
  <c r="U105" i="23"/>
  <c r="U73" i="26"/>
  <c r="U33" i="26"/>
  <c r="N90" i="26"/>
  <c r="N50" i="26"/>
  <c r="N18" i="26"/>
  <c r="N81" i="26"/>
  <c r="N57" i="26"/>
  <c r="N49" i="26"/>
  <c r="N33" i="26"/>
  <c r="N17" i="26"/>
  <c r="N96" i="26"/>
  <c r="N88" i="26"/>
  <c r="N80" i="26"/>
  <c r="N72" i="26"/>
  <c r="N64" i="26"/>
  <c r="N56" i="26"/>
  <c r="N48" i="26"/>
  <c r="N40" i="26"/>
  <c r="N32" i="26"/>
  <c r="N24" i="26"/>
  <c r="N16" i="26"/>
  <c r="M101" i="26"/>
  <c r="M93" i="26"/>
  <c r="M61" i="26"/>
  <c r="U96" i="26"/>
  <c r="U88" i="26"/>
  <c r="U80" i="26"/>
  <c r="U72" i="26"/>
  <c r="U64" i="26"/>
  <c r="U56" i="26"/>
  <c r="U48" i="26"/>
  <c r="U40" i="26"/>
  <c r="U32" i="26"/>
  <c r="U24" i="26"/>
  <c r="U16" i="26"/>
  <c r="N104" i="13"/>
  <c r="T104" i="18"/>
  <c r="Q106" i="21"/>
  <c r="O106" i="21"/>
  <c r="T104" i="21"/>
  <c r="V104" i="21" s="1"/>
  <c r="T104" i="22"/>
  <c r="M105" i="23"/>
  <c r="L106" i="15"/>
  <c r="I106" i="17"/>
  <c r="N104" i="22"/>
  <c r="D106" i="24"/>
  <c r="F15" i="2" s="1"/>
  <c r="F106" i="20"/>
  <c r="U104" i="23"/>
  <c r="M38" i="26"/>
  <c r="N82" i="26"/>
  <c r="N58" i="26"/>
  <c r="N34" i="26"/>
  <c r="N97" i="26"/>
  <c r="N73" i="26"/>
  <c r="N10" i="26"/>
  <c r="N95" i="26"/>
  <c r="N87" i="26"/>
  <c r="N79" i="26"/>
  <c r="N71" i="26"/>
  <c r="N63" i="26"/>
  <c r="N55" i="26"/>
  <c r="N47" i="26"/>
  <c r="N39" i="26"/>
  <c r="N31" i="26"/>
  <c r="N23" i="26"/>
  <c r="N15" i="26"/>
  <c r="N28" i="25"/>
  <c r="M64" i="26"/>
  <c r="U99" i="26"/>
  <c r="U91" i="26"/>
  <c r="U83" i="26"/>
  <c r="U75" i="26"/>
  <c r="U67" i="26"/>
  <c r="U59" i="26"/>
  <c r="T103" i="17"/>
  <c r="V103" i="17" s="1"/>
  <c r="T104" i="17"/>
  <c r="S106" i="18"/>
  <c r="M103" i="19"/>
  <c r="F106" i="21"/>
  <c r="N105" i="20"/>
  <c r="T103" i="23"/>
  <c r="T105" i="24"/>
  <c r="V105" i="24" s="1"/>
  <c r="M105" i="18"/>
  <c r="N105" i="21"/>
  <c r="N103" i="22"/>
  <c r="N103" i="18"/>
  <c r="S106" i="20"/>
  <c r="G106" i="20"/>
  <c r="M15" i="14"/>
  <c r="M14" i="14"/>
  <c r="U104" i="20"/>
  <c r="N102" i="26"/>
  <c r="N94" i="26"/>
  <c r="N86" i="26"/>
  <c r="N78" i="26"/>
  <c r="N70" i="26"/>
  <c r="N62" i="26"/>
  <c r="N54" i="26"/>
  <c r="N46" i="26"/>
  <c r="N38" i="26"/>
  <c r="N30" i="26"/>
  <c r="N22" i="26"/>
  <c r="N14" i="26"/>
  <c r="M99" i="26"/>
  <c r="M91" i="26"/>
  <c r="U102" i="26"/>
  <c r="O94" i="27"/>
  <c r="U94" i="26"/>
  <c r="U86" i="26"/>
  <c r="U78" i="26"/>
  <c r="U70" i="26"/>
  <c r="U62" i="26"/>
  <c r="U54" i="26"/>
  <c r="U46" i="26"/>
  <c r="U38" i="26"/>
  <c r="U30" i="26"/>
  <c r="U22" i="26"/>
  <c r="U14" i="26"/>
  <c r="U104" i="13"/>
  <c r="P106" i="17"/>
  <c r="U106" i="17" s="1"/>
  <c r="U104" i="19"/>
  <c r="T105" i="21"/>
  <c r="V105" i="21" s="1"/>
  <c r="T105" i="22"/>
  <c r="I106" i="23"/>
  <c r="F106" i="24"/>
  <c r="P106" i="24"/>
  <c r="N104" i="21"/>
  <c r="E104" i="18"/>
  <c r="M104" i="18" s="1"/>
  <c r="N104" i="18"/>
  <c r="M104" i="20"/>
  <c r="U105" i="22"/>
  <c r="N104" i="16"/>
  <c r="Q106" i="16"/>
  <c r="J106" i="16"/>
  <c r="Q4" i="16"/>
  <c r="J7" i="2" s="1"/>
  <c r="T104" i="16"/>
  <c r="U104" i="16"/>
  <c r="T105" i="16"/>
  <c r="V105" i="16" s="1"/>
  <c r="S106" i="16"/>
  <c r="U105" i="16"/>
  <c r="N105" i="16"/>
  <c r="F106" i="16"/>
  <c r="T103" i="16"/>
  <c r="V103" i="16" s="1"/>
  <c r="P106" i="16"/>
  <c r="U103" i="16"/>
  <c r="N103" i="16"/>
  <c r="E103" i="16"/>
  <c r="M103" i="16" s="1"/>
  <c r="N102" i="25"/>
  <c r="N101" i="25"/>
  <c r="N94" i="25"/>
  <c r="N93" i="25"/>
  <c r="Q89" i="27"/>
  <c r="N88" i="25"/>
  <c r="Q71" i="27"/>
  <c r="N71" i="25"/>
  <c r="N58" i="25"/>
  <c r="H104" i="27"/>
  <c r="N43" i="25"/>
  <c r="N40" i="25"/>
  <c r="R106" i="15"/>
  <c r="J106" i="15"/>
  <c r="N105" i="15"/>
  <c r="T105" i="15"/>
  <c r="V105" i="15" s="1"/>
  <c r="U105" i="15"/>
  <c r="Q106" i="15"/>
  <c r="U104" i="15"/>
  <c r="O106" i="15"/>
  <c r="T104" i="15"/>
  <c r="V104" i="15" s="1"/>
  <c r="N104" i="15"/>
  <c r="T103" i="15"/>
  <c r="V103" i="15" s="1"/>
  <c r="H103" i="27"/>
  <c r="U103" i="15"/>
  <c r="G106" i="15"/>
  <c r="D106" i="15"/>
  <c r="F6" i="2" s="1"/>
  <c r="N103" i="15"/>
  <c r="N100" i="25"/>
  <c r="U99" i="25"/>
  <c r="N99" i="25"/>
  <c r="N96" i="25"/>
  <c r="N98" i="25"/>
  <c r="U95" i="25"/>
  <c r="N95" i="25"/>
  <c r="U91" i="25"/>
  <c r="N92" i="25"/>
  <c r="U92" i="25"/>
  <c r="N91" i="25"/>
  <c r="U90" i="25"/>
  <c r="N90" i="25"/>
  <c r="U89" i="25"/>
  <c r="N89" i="25"/>
  <c r="U87" i="25"/>
  <c r="N87" i="25"/>
  <c r="N86" i="25"/>
  <c r="N85" i="25"/>
  <c r="N84" i="25"/>
  <c r="U84" i="25"/>
  <c r="U83" i="25"/>
  <c r="N83" i="25"/>
  <c r="U82" i="25"/>
  <c r="N82" i="25"/>
  <c r="U81" i="25"/>
  <c r="N81" i="25"/>
  <c r="N80" i="25"/>
  <c r="U79" i="25"/>
  <c r="N79" i="25"/>
  <c r="N78" i="25"/>
  <c r="N77" i="25"/>
  <c r="U76" i="25"/>
  <c r="N76" i="25"/>
  <c r="U75" i="25"/>
  <c r="N75" i="25"/>
  <c r="U74" i="25"/>
  <c r="N74" i="25"/>
  <c r="N73" i="25"/>
  <c r="N72" i="25"/>
  <c r="R71" i="27"/>
  <c r="U71" i="25"/>
  <c r="N70" i="25"/>
  <c r="N69" i="25"/>
  <c r="U68" i="25"/>
  <c r="N68" i="25"/>
  <c r="U67" i="25"/>
  <c r="N67" i="25"/>
  <c r="N66" i="25"/>
  <c r="U66" i="25"/>
  <c r="U65" i="25"/>
  <c r="N64" i="25"/>
  <c r="U63" i="25"/>
  <c r="N63" i="25"/>
  <c r="P62" i="27"/>
  <c r="N62" i="25"/>
  <c r="N61" i="25"/>
  <c r="U60" i="25"/>
  <c r="N60" i="25"/>
  <c r="O59" i="27"/>
  <c r="U59" i="25"/>
  <c r="N59" i="25"/>
  <c r="U58" i="25"/>
  <c r="N57" i="25"/>
  <c r="U57" i="25"/>
  <c r="N56" i="25"/>
  <c r="U55" i="25"/>
  <c r="N55" i="25"/>
  <c r="N54" i="25"/>
  <c r="N53" i="25"/>
  <c r="U52" i="25"/>
  <c r="N52" i="25"/>
  <c r="U51" i="25"/>
  <c r="N51" i="25"/>
  <c r="U50" i="25"/>
  <c r="N50" i="25"/>
  <c r="N44" i="25"/>
  <c r="U44" i="25"/>
  <c r="K103" i="27"/>
  <c r="U49" i="25"/>
  <c r="N49" i="25"/>
  <c r="N48" i="25"/>
  <c r="U47" i="25"/>
  <c r="N47" i="25"/>
  <c r="N46" i="25"/>
  <c r="N45" i="25"/>
  <c r="U42" i="25"/>
  <c r="N42" i="25"/>
  <c r="N41" i="25"/>
  <c r="U43" i="25"/>
  <c r="U41" i="25"/>
  <c r="H105" i="27"/>
  <c r="U39" i="25"/>
  <c r="N39" i="25"/>
  <c r="N38" i="25"/>
  <c r="N37" i="25"/>
  <c r="N36" i="25"/>
  <c r="U36" i="25"/>
  <c r="U35" i="25"/>
  <c r="N35" i="25"/>
  <c r="U34" i="25"/>
  <c r="N34" i="25"/>
  <c r="N33" i="25"/>
  <c r="N32" i="25"/>
  <c r="U31" i="25"/>
  <c r="N31" i="25"/>
  <c r="N29" i="25"/>
  <c r="N30" i="25"/>
  <c r="U28" i="25"/>
  <c r="R106" i="13"/>
  <c r="N27" i="25"/>
  <c r="U27" i="25"/>
  <c r="U26" i="25"/>
  <c r="N26" i="25"/>
  <c r="U25" i="25"/>
  <c r="N25" i="25"/>
  <c r="N24" i="25"/>
  <c r="U23" i="25"/>
  <c r="N23" i="25"/>
  <c r="N22" i="25"/>
  <c r="U19" i="25"/>
  <c r="N19" i="25"/>
  <c r="N21" i="25"/>
  <c r="N20" i="25"/>
  <c r="U20" i="25"/>
  <c r="U18" i="25"/>
  <c r="N18" i="25"/>
  <c r="U11" i="25"/>
  <c r="N11" i="25"/>
  <c r="U17" i="25"/>
  <c r="N17" i="25"/>
  <c r="T105" i="14"/>
  <c r="V105" i="14" s="1"/>
  <c r="N15" i="25"/>
  <c r="U15" i="25"/>
  <c r="E105" i="14"/>
  <c r="M105" i="14" s="1"/>
  <c r="T104" i="14"/>
  <c r="V104" i="14" s="1"/>
  <c r="J106" i="14"/>
  <c r="U104" i="14"/>
  <c r="E104" i="14"/>
  <c r="M104" i="14" s="1"/>
  <c r="N14" i="25"/>
  <c r="N13" i="25"/>
  <c r="N16" i="25"/>
  <c r="T103" i="14"/>
  <c r="V103" i="14" s="1"/>
  <c r="S106" i="14"/>
  <c r="U10" i="25"/>
  <c r="N10" i="25"/>
  <c r="N103" i="13"/>
  <c r="Q106" i="13"/>
  <c r="P106" i="13"/>
  <c r="I106" i="13"/>
  <c r="H106" i="25"/>
  <c r="U12" i="25"/>
  <c r="N12" i="25"/>
  <c r="N105" i="13"/>
  <c r="P106" i="14"/>
  <c r="O106" i="14"/>
  <c r="F10" i="27"/>
  <c r="F97" i="27"/>
  <c r="F77" i="27"/>
  <c r="F73" i="27"/>
  <c r="F69" i="27"/>
  <c r="F61" i="27"/>
  <c r="F57" i="27"/>
  <c r="F53" i="27"/>
  <c r="F49" i="27"/>
  <c r="F45" i="27"/>
  <c r="F37" i="27"/>
  <c r="F33" i="27"/>
  <c r="F29" i="27"/>
  <c r="F25" i="27"/>
  <c r="F21" i="27"/>
  <c r="F13" i="27"/>
  <c r="N105" i="14"/>
  <c r="U97" i="25"/>
  <c r="U93" i="25"/>
  <c r="U85" i="25"/>
  <c r="U77" i="25"/>
  <c r="U73" i="25"/>
  <c r="U69" i="25"/>
  <c r="U61" i="25"/>
  <c r="U53" i="25"/>
  <c r="U45" i="25"/>
  <c r="U40" i="25"/>
  <c r="F14" i="27"/>
  <c r="G106" i="14"/>
  <c r="U96" i="25"/>
  <c r="U88" i="25"/>
  <c r="U80" i="25"/>
  <c r="U72" i="25"/>
  <c r="U64" i="25"/>
  <c r="U56" i="25"/>
  <c r="U48" i="25"/>
  <c r="U38" i="25"/>
  <c r="U30" i="25"/>
  <c r="U22" i="25"/>
  <c r="U14" i="25"/>
  <c r="F15" i="27"/>
  <c r="F11" i="27"/>
  <c r="N104" i="14"/>
  <c r="U37" i="25"/>
  <c r="U33" i="25"/>
  <c r="U29" i="25"/>
  <c r="U21" i="25"/>
  <c r="U13" i="25"/>
  <c r="U105" i="14"/>
  <c r="K106" i="25"/>
  <c r="K105" i="27"/>
  <c r="U100" i="25"/>
  <c r="F16" i="27"/>
  <c r="F12" i="27"/>
  <c r="N103" i="14"/>
  <c r="U98" i="25"/>
  <c r="U94" i="25"/>
  <c r="U86" i="25"/>
  <c r="U78" i="25"/>
  <c r="U70" i="25"/>
  <c r="U62" i="25"/>
  <c r="U54" i="25"/>
  <c r="U46" i="25"/>
  <c r="U32" i="25"/>
  <c r="U24" i="25"/>
  <c r="U16" i="25"/>
  <c r="U103" i="14"/>
  <c r="K104" i="27"/>
  <c r="T105" i="12"/>
  <c r="V105" i="12" s="1"/>
  <c r="S106" i="12"/>
  <c r="O106" i="12"/>
  <c r="Q3" i="12"/>
  <c r="D106" i="12"/>
  <c r="F106" i="12"/>
  <c r="T104" i="12"/>
  <c r="V104" i="12" s="1"/>
  <c r="U104" i="12"/>
  <c r="U105" i="12"/>
  <c r="I106" i="12"/>
  <c r="G106" i="12"/>
  <c r="U103" i="12"/>
  <c r="N105" i="12"/>
  <c r="N104" i="12"/>
  <c r="E103" i="12"/>
  <c r="M103" i="12" s="1"/>
  <c r="N103" i="12"/>
  <c r="U102" i="25"/>
  <c r="U103" i="13"/>
  <c r="U105" i="13"/>
  <c r="F101" i="27"/>
  <c r="U101" i="25"/>
  <c r="U103" i="26"/>
  <c r="D64" i="27"/>
  <c r="E105" i="17"/>
  <c r="M105" i="17" s="1"/>
  <c r="I14" i="27"/>
  <c r="E85" i="26"/>
  <c r="M85" i="26" s="1"/>
  <c r="E69" i="26"/>
  <c r="M69" i="26" s="1"/>
  <c r="E53" i="26"/>
  <c r="M53" i="26" s="1"/>
  <c r="E37" i="26"/>
  <c r="M37" i="26" s="1"/>
  <c r="E29" i="26"/>
  <c r="M29" i="26" s="1"/>
  <c r="E13" i="26"/>
  <c r="M13" i="26" s="1"/>
  <c r="E77" i="26"/>
  <c r="M77" i="26" s="1"/>
  <c r="E61" i="26"/>
  <c r="E45" i="26"/>
  <c r="M45" i="26" s="1"/>
  <c r="E21" i="26"/>
  <c r="M21" i="26" s="1"/>
  <c r="F66" i="27"/>
  <c r="D101" i="27"/>
  <c r="D93" i="27"/>
  <c r="D85" i="27"/>
  <c r="D77" i="27"/>
  <c r="D69" i="27"/>
  <c r="D61" i="27"/>
  <c r="D53" i="27"/>
  <c r="D45" i="27"/>
  <c r="D37" i="27"/>
  <c r="D29" i="27"/>
  <c r="D21" i="27"/>
  <c r="D13" i="27"/>
  <c r="R38" i="27"/>
  <c r="O37" i="27"/>
  <c r="P32" i="27"/>
  <c r="O29" i="27"/>
  <c r="R22" i="27"/>
  <c r="Q19" i="27"/>
  <c r="P16" i="27"/>
  <c r="R14" i="27"/>
  <c r="O13" i="27"/>
  <c r="O106" i="24"/>
  <c r="E105" i="24"/>
  <c r="M105" i="24" s="1"/>
  <c r="I106" i="24"/>
  <c r="G106" i="24"/>
  <c r="V103" i="24"/>
  <c r="C106" i="24"/>
  <c r="E103" i="24"/>
  <c r="M103" i="24" s="1"/>
  <c r="Q4" i="23"/>
  <c r="J14" i="2" s="1"/>
  <c r="D106" i="23"/>
  <c r="F14" i="2" s="1"/>
  <c r="O106" i="23"/>
  <c r="E104" i="23"/>
  <c r="M104" i="23" s="1"/>
  <c r="V104" i="23"/>
  <c r="V103" i="23"/>
  <c r="C106" i="23"/>
  <c r="Q3" i="22"/>
  <c r="I13" i="2" s="1"/>
  <c r="Q4" i="22"/>
  <c r="J13" i="2" s="1"/>
  <c r="S106" i="22"/>
  <c r="I106" i="22"/>
  <c r="E103" i="22"/>
  <c r="M103" i="22" s="1"/>
  <c r="R106" i="22"/>
  <c r="T106" i="22" s="1"/>
  <c r="V105" i="22"/>
  <c r="C106" i="22"/>
  <c r="E13" i="2"/>
  <c r="F106" i="22"/>
  <c r="M106" i="22" s="1"/>
  <c r="D106" i="22"/>
  <c r="E105" i="22"/>
  <c r="M105" i="22" s="1"/>
  <c r="E104" i="22"/>
  <c r="M104" i="22" s="1"/>
  <c r="V104" i="22"/>
  <c r="J106" i="22"/>
  <c r="E83" i="26"/>
  <c r="M83" i="26" s="1"/>
  <c r="E59" i="26"/>
  <c r="M59" i="26" s="1"/>
  <c r="E51" i="26"/>
  <c r="M51" i="26" s="1"/>
  <c r="E43" i="26"/>
  <c r="M43" i="26" s="1"/>
  <c r="E35" i="26"/>
  <c r="M35" i="26" s="1"/>
  <c r="E27" i="26"/>
  <c r="M27" i="26" s="1"/>
  <c r="E19" i="26"/>
  <c r="M19" i="26" s="1"/>
  <c r="E11" i="26"/>
  <c r="M11" i="26" s="1"/>
  <c r="D106" i="21"/>
  <c r="F12" i="2" s="1"/>
  <c r="C106" i="21"/>
  <c r="E103" i="21"/>
  <c r="M103" i="21" s="1"/>
  <c r="G41" i="27"/>
  <c r="R106" i="21"/>
  <c r="E105" i="21"/>
  <c r="M105" i="21" s="1"/>
  <c r="T52" i="26"/>
  <c r="V52" i="26" s="1"/>
  <c r="E104" i="21"/>
  <c r="M104" i="21" s="1"/>
  <c r="T44" i="26"/>
  <c r="V44" i="26" s="1"/>
  <c r="P106" i="21"/>
  <c r="C6" i="21"/>
  <c r="I6" i="21" s="1"/>
  <c r="G32" i="27"/>
  <c r="V103" i="21"/>
  <c r="Q3" i="21"/>
  <c r="I12" i="2" s="1"/>
  <c r="L106" i="21"/>
  <c r="E84" i="26"/>
  <c r="E76" i="26"/>
  <c r="M76" i="26" s="1"/>
  <c r="E68" i="26"/>
  <c r="M68" i="26" s="1"/>
  <c r="E60" i="26"/>
  <c r="M60" i="26" s="1"/>
  <c r="E52" i="26"/>
  <c r="M52" i="26" s="1"/>
  <c r="E36" i="26"/>
  <c r="M36" i="26" s="1"/>
  <c r="E28" i="26"/>
  <c r="M28" i="26" s="1"/>
  <c r="E20" i="26"/>
  <c r="E12" i="26"/>
  <c r="M12" i="26" s="1"/>
  <c r="T13" i="26"/>
  <c r="V13" i="26" s="1"/>
  <c r="G49" i="27"/>
  <c r="I79" i="27"/>
  <c r="I71" i="27"/>
  <c r="I63" i="27"/>
  <c r="I55" i="27"/>
  <c r="I47" i="27"/>
  <c r="I39" i="27"/>
  <c r="I31" i="27"/>
  <c r="I23" i="27"/>
  <c r="I15" i="27"/>
  <c r="G100" i="27"/>
  <c r="G92" i="27"/>
  <c r="G84" i="27"/>
  <c r="G76" i="27"/>
  <c r="G60" i="27"/>
  <c r="G44" i="27"/>
  <c r="G36" i="27"/>
  <c r="G28" i="27"/>
  <c r="G20" i="27"/>
  <c r="D10" i="27"/>
  <c r="I98" i="27"/>
  <c r="I90" i="27"/>
  <c r="I74" i="27"/>
  <c r="I66" i="27"/>
  <c r="I58" i="27"/>
  <c r="I50" i="27"/>
  <c r="I42" i="27"/>
  <c r="I34" i="27"/>
  <c r="I26" i="27"/>
  <c r="I18" i="27"/>
  <c r="C106" i="20"/>
  <c r="D96" i="27"/>
  <c r="D88" i="27"/>
  <c r="D72" i="27"/>
  <c r="D56" i="27"/>
  <c r="D48" i="27"/>
  <c r="D40" i="27"/>
  <c r="D32" i="27"/>
  <c r="D24" i="27"/>
  <c r="D16" i="27"/>
  <c r="G90" i="27"/>
  <c r="I87" i="27"/>
  <c r="G82" i="27"/>
  <c r="G74" i="27"/>
  <c r="G66" i="27"/>
  <c r="G58" i="27"/>
  <c r="G50" i="27"/>
  <c r="G42" i="27"/>
  <c r="G34" i="27"/>
  <c r="G26" i="27"/>
  <c r="G18" i="27"/>
  <c r="D95" i="27"/>
  <c r="D87" i="27"/>
  <c r="D71" i="27"/>
  <c r="D63" i="27"/>
  <c r="D55" i="27"/>
  <c r="D47" i="27"/>
  <c r="D39" i="27"/>
  <c r="D31" i="27"/>
  <c r="D23" i="27"/>
  <c r="D15" i="27"/>
  <c r="G95" i="27"/>
  <c r="G87" i="27"/>
  <c r="G79" i="27"/>
  <c r="G71" i="27"/>
  <c r="G63" i="27"/>
  <c r="G55" i="27"/>
  <c r="G47" i="27"/>
  <c r="G39" i="27"/>
  <c r="G31" i="27"/>
  <c r="Q3" i="20"/>
  <c r="I11" i="2" s="1"/>
  <c r="C87" i="27"/>
  <c r="C79" i="27"/>
  <c r="C63" i="27"/>
  <c r="C55" i="27"/>
  <c r="C31" i="27"/>
  <c r="F95" i="27"/>
  <c r="F87" i="27"/>
  <c r="F79" i="27"/>
  <c r="F71" i="27"/>
  <c r="F63" i="27"/>
  <c r="F55" i="27"/>
  <c r="F47" i="27"/>
  <c r="F39" i="27"/>
  <c r="F31" i="27"/>
  <c r="F23" i="27"/>
  <c r="T100" i="26"/>
  <c r="V100" i="26" s="1"/>
  <c r="T95" i="26"/>
  <c r="T90" i="26"/>
  <c r="V90" i="26" s="1"/>
  <c r="T78" i="26"/>
  <c r="V78" i="26" s="1"/>
  <c r="T76" i="26"/>
  <c r="V76" i="26" s="1"/>
  <c r="T65" i="26"/>
  <c r="V65" i="26" s="1"/>
  <c r="T62" i="26"/>
  <c r="V62" i="26" s="1"/>
  <c r="T60" i="26"/>
  <c r="V60" i="26" s="1"/>
  <c r="T46" i="26"/>
  <c r="V46" i="26" s="1"/>
  <c r="T26" i="26"/>
  <c r="V26" i="26" s="1"/>
  <c r="P103" i="26"/>
  <c r="R104" i="26"/>
  <c r="T22" i="26"/>
  <c r="V22" i="26" s="1"/>
  <c r="Q10" i="27"/>
  <c r="R101" i="27"/>
  <c r="Q98" i="27"/>
  <c r="P95" i="27"/>
  <c r="R93" i="27"/>
  <c r="O92" i="27"/>
  <c r="Q90" i="27"/>
  <c r="P87" i="27"/>
  <c r="R85" i="27"/>
  <c r="O84" i="27"/>
  <c r="Q82" i="27"/>
  <c r="P79" i="27"/>
  <c r="R77" i="27"/>
  <c r="O76" i="27"/>
  <c r="Q74" i="27"/>
  <c r="P71" i="27"/>
  <c r="R69" i="27"/>
  <c r="O68" i="27"/>
  <c r="Q66" i="27"/>
  <c r="P63" i="27"/>
  <c r="R61" i="27"/>
  <c r="Q58" i="27"/>
  <c r="P55" i="27"/>
  <c r="R53" i="27"/>
  <c r="O52" i="27"/>
  <c r="Q50" i="27"/>
  <c r="P47" i="27"/>
  <c r="R45" i="27"/>
  <c r="O44" i="27"/>
  <c r="Q42" i="27"/>
  <c r="R40" i="27"/>
  <c r="O39" i="27"/>
  <c r="P37" i="27"/>
  <c r="R35" i="27"/>
  <c r="O34" i="27"/>
  <c r="Q32" i="27"/>
  <c r="P29" i="27"/>
  <c r="R27" i="27"/>
  <c r="O26" i="27"/>
  <c r="Q24" i="27"/>
  <c r="P21" i="27"/>
  <c r="O18" i="27"/>
  <c r="Q16" i="27"/>
  <c r="P13" i="27"/>
  <c r="F100" i="27"/>
  <c r="F92" i="27"/>
  <c r="F84" i="27"/>
  <c r="F76" i="27"/>
  <c r="F68" i="27"/>
  <c r="F60" i="27"/>
  <c r="F52" i="27"/>
  <c r="F44" i="27"/>
  <c r="F36" i="27"/>
  <c r="F28" i="27"/>
  <c r="F20" i="27"/>
  <c r="R103" i="26"/>
  <c r="T101" i="26"/>
  <c r="V101" i="26" s="1"/>
  <c r="T93" i="26"/>
  <c r="V93" i="26" s="1"/>
  <c r="T85" i="26"/>
  <c r="V85" i="26" s="1"/>
  <c r="T77" i="26"/>
  <c r="V77" i="26" s="1"/>
  <c r="T61" i="26"/>
  <c r="V61" i="26" s="1"/>
  <c r="T53" i="26"/>
  <c r="V53" i="26" s="1"/>
  <c r="T45" i="26"/>
  <c r="V45" i="26" s="1"/>
  <c r="T21" i="26"/>
  <c r="V21" i="26" s="1"/>
  <c r="T18" i="26"/>
  <c r="V18" i="26" s="1"/>
  <c r="P105" i="26"/>
  <c r="Q101" i="27"/>
  <c r="P98" i="27"/>
  <c r="R96" i="27"/>
  <c r="O95" i="27"/>
  <c r="Q93" i="27"/>
  <c r="P90" i="27"/>
  <c r="R88" i="27"/>
  <c r="O87" i="27"/>
  <c r="Q85" i="27"/>
  <c r="P82" i="27"/>
  <c r="R80" i="27"/>
  <c r="O79" i="27"/>
  <c r="Q77" i="27"/>
  <c r="P74" i="27"/>
  <c r="R72" i="27"/>
  <c r="Q69" i="27"/>
  <c r="P66" i="27"/>
  <c r="R64" i="27"/>
  <c r="O63" i="27"/>
  <c r="Q61" i="27"/>
  <c r="P58" i="27"/>
  <c r="R56" i="27"/>
  <c r="O55" i="27"/>
  <c r="Q53" i="27"/>
  <c r="P50" i="27"/>
  <c r="R48" i="27"/>
  <c r="O47" i="27"/>
  <c r="Q45" i="27"/>
  <c r="P42" i="27"/>
  <c r="Q40" i="27"/>
  <c r="L78" i="27"/>
  <c r="L54" i="27"/>
  <c r="L38" i="27"/>
  <c r="I106" i="20"/>
  <c r="Q4" i="20"/>
  <c r="J11" i="2" s="1"/>
  <c r="C14" i="27"/>
  <c r="P104" i="26"/>
  <c r="O104" i="26"/>
  <c r="T20" i="26"/>
  <c r="V20" i="26" s="1"/>
  <c r="T37" i="26"/>
  <c r="V37" i="26" s="1"/>
  <c r="D36" i="27"/>
  <c r="D28" i="27"/>
  <c r="D20" i="27"/>
  <c r="D12" i="27"/>
  <c r="R105" i="26"/>
  <c r="O105" i="26"/>
  <c r="E44" i="26"/>
  <c r="M44" i="26" s="1"/>
  <c r="T29" i="26"/>
  <c r="V29" i="26" s="1"/>
  <c r="C106" i="19"/>
  <c r="P106" i="19"/>
  <c r="G106" i="19"/>
  <c r="L106" i="19"/>
  <c r="T69" i="26"/>
  <c r="V69" i="26" s="1"/>
  <c r="D106" i="19"/>
  <c r="F10" i="2" s="1"/>
  <c r="I106" i="19"/>
  <c r="V104" i="19"/>
  <c r="O106" i="19"/>
  <c r="C39" i="27"/>
  <c r="T10" i="26"/>
  <c r="V10" i="26" s="1"/>
  <c r="T92" i="26"/>
  <c r="V92" i="26" s="1"/>
  <c r="T82" i="26"/>
  <c r="V82" i="26" s="1"/>
  <c r="E105" i="19"/>
  <c r="M105" i="19" s="1"/>
  <c r="T14" i="26"/>
  <c r="V14" i="26" s="1"/>
  <c r="C25" i="27"/>
  <c r="T98" i="26"/>
  <c r="V98" i="26" s="1"/>
  <c r="O103" i="26"/>
  <c r="T94" i="26"/>
  <c r="V94" i="26" s="1"/>
  <c r="G104" i="26"/>
  <c r="T84" i="26"/>
  <c r="V84" i="26" s="1"/>
  <c r="T73" i="26"/>
  <c r="V73" i="26" s="1"/>
  <c r="T68" i="26"/>
  <c r="V68" i="26" s="1"/>
  <c r="T58" i="26"/>
  <c r="V58" i="26" s="1"/>
  <c r="T50" i="26"/>
  <c r="V50" i="26" s="1"/>
  <c r="T42" i="26"/>
  <c r="V42" i="26" s="1"/>
  <c r="T36" i="26"/>
  <c r="V36" i="26" s="1"/>
  <c r="T28" i="26"/>
  <c r="V28" i="26" s="1"/>
  <c r="T12" i="26"/>
  <c r="V12" i="26" s="1"/>
  <c r="L74" i="27"/>
  <c r="L58" i="27"/>
  <c r="L50" i="27"/>
  <c r="L34" i="27"/>
  <c r="L26" i="27"/>
  <c r="L18" i="27"/>
  <c r="T66" i="26"/>
  <c r="V66" i="26" s="1"/>
  <c r="T55" i="26"/>
  <c r="V55" i="26" s="1"/>
  <c r="T34" i="26"/>
  <c r="V34" i="26" s="1"/>
  <c r="T17" i="26"/>
  <c r="V17" i="26" s="1"/>
  <c r="S106" i="19"/>
  <c r="T74" i="26"/>
  <c r="V74" i="26" s="1"/>
  <c r="D100" i="27"/>
  <c r="D92" i="27"/>
  <c r="D84" i="27"/>
  <c r="D76" i="27"/>
  <c r="D68" i="27"/>
  <c r="D60" i="27"/>
  <c r="D52" i="27"/>
  <c r="D44" i="27"/>
  <c r="T96" i="26"/>
  <c r="V96" i="26" s="1"/>
  <c r="T88" i="26"/>
  <c r="V88" i="26" s="1"/>
  <c r="T80" i="26"/>
  <c r="V80" i="26" s="1"/>
  <c r="T72" i="26"/>
  <c r="V72" i="26" s="1"/>
  <c r="T64" i="26"/>
  <c r="V64" i="26" s="1"/>
  <c r="T56" i="26"/>
  <c r="V56" i="26" s="1"/>
  <c r="T48" i="26"/>
  <c r="V48" i="26" s="1"/>
  <c r="T40" i="26"/>
  <c r="V40" i="26" s="1"/>
  <c r="T32" i="26"/>
  <c r="T24" i="26"/>
  <c r="V24" i="26" s="1"/>
  <c r="T16" i="26"/>
  <c r="V16" i="26" s="1"/>
  <c r="P101" i="27"/>
  <c r="R99" i="27"/>
  <c r="O98" i="27"/>
  <c r="Q96" i="27"/>
  <c r="S94" i="27"/>
  <c r="P93" i="27"/>
  <c r="R91" i="27"/>
  <c r="O90" i="27"/>
  <c r="Q88" i="27"/>
  <c r="S86" i="27"/>
  <c r="P85" i="27"/>
  <c r="R83" i="27"/>
  <c r="O82" i="27"/>
  <c r="Q80" i="27"/>
  <c r="S78" i="27"/>
  <c r="P77" i="27"/>
  <c r="R75" i="27"/>
  <c r="O74" i="27"/>
  <c r="Q72" i="27"/>
  <c r="S70" i="27"/>
  <c r="P69" i="27"/>
  <c r="R67" i="27"/>
  <c r="O66" i="27"/>
  <c r="Q64" i="27"/>
  <c r="S62" i="27"/>
  <c r="P61" i="27"/>
  <c r="R59" i="27"/>
  <c r="O58" i="27"/>
  <c r="Q56" i="27"/>
  <c r="S54" i="27"/>
  <c r="P53" i="27"/>
  <c r="R51" i="27"/>
  <c r="O50" i="27"/>
  <c r="Q48" i="27"/>
  <c r="S46" i="27"/>
  <c r="P45" i="27"/>
  <c r="R43" i="27"/>
  <c r="O42" i="27"/>
  <c r="P40" i="27"/>
  <c r="P35" i="27"/>
  <c r="R33" i="27"/>
  <c r="O32" i="27"/>
  <c r="S28" i="27"/>
  <c r="P27" i="27"/>
  <c r="R25" i="27"/>
  <c r="O24" i="27"/>
  <c r="Q22" i="27"/>
  <c r="S20" i="27"/>
  <c r="P19" i="27"/>
  <c r="R17" i="27"/>
  <c r="O16" i="27"/>
  <c r="Q14" i="27"/>
  <c r="S12" i="27"/>
  <c r="P11" i="27"/>
  <c r="J58" i="27"/>
  <c r="J18" i="27"/>
  <c r="Q3" i="19"/>
  <c r="I10" i="2" s="1"/>
  <c r="C68" i="27"/>
  <c r="D75" i="27"/>
  <c r="F102" i="27"/>
  <c r="F94" i="27"/>
  <c r="F86" i="27"/>
  <c r="F78" i="27"/>
  <c r="F70" i="27"/>
  <c r="F54" i="27"/>
  <c r="F46" i="27"/>
  <c r="F38" i="27"/>
  <c r="F30" i="27"/>
  <c r="F22" i="27"/>
  <c r="T75" i="26"/>
  <c r="V75" i="26" s="1"/>
  <c r="T59" i="26"/>
  <c r="V59" i="26" s="1"/>
  <c r="R102" i="27"/>
  <c r="O101" i="27"/>
  <c r="P96" i="27"/>
  <c r="O93" i="27"/>
  <c r="P88" i="27"/>
  <c r="O85" i="27"/>
  <c r="P80" i="27"/>
  <c r="R78" i="27"/>
  <c r="O77" i="27"/>
  <c r="P72" i="27"/>
  <c r="R70" i="27"/>
  <c r="O69" i="27"/>
  <c r="S65" i="27"/>
  <c r="P64" i="27"/>
  <c r="R62" i="27"/>
  <c r="O61" i="27"/>
  <c r="P56" i="27"/>
  <c r="R54" i="27"/>
  <c r="O53" i="27"/>
  <c r="Q51" i="27"/>
  <c r="P48" i="27"/>
  <c r="R46" i="27"/>
  <c r="O45" i="27"/>
  <c r="O40" i="27"/>
  <c r="P38" i="27"/>
  <c r="R36" i="27"/>
  <c r="O35" i="27"/>
  <c r="Q33" i="27"/>
  <c r="P30" i="27"/>
  <c r="R28" i="27"/>
  <c r="O27" i="27"/>
  <c r="Q25" i="27"/>
  <c r="P22" i="27"/>
  <c r="R20" i="27"/>
  <c r="O19" i="27"/>
  <c r="Q17" i="27"/>
  <c r="S15" i="27"/>
  <c r="P14" i="27"/>
  <c r="R12" i="27"/>
  <c r="O11" i="27"/>
  <c r="L101" i="27"/>
  <c r="L93" i="27"/>
  <c r="L89" i="27"/>
  <c r="L85" i="27"/>
  <c r="L77" i="27"/>
  <c r="L73" i="27"/>
  <c r="L69" i="27"/>
  <c r="L61" i="27"/>
  <c r="L57" i="27"/>
  <c r="L53" i="27"/>
  <c r="L49" i="27"/>
  <c r="L45" i="27"/>
  <c r="L37" i="27"/>
  <c r="L29" i="27"/>
  <c r="L25" i="27"/>
  <c r="L21" i="27"/>
  <c r="L13" i="27"/>
  <c r="D98" i="27"/>
  <c r="D74" i="27"/>
  <c r="D42" i="27"/>
  <c r="D34" i="27"/>
  <c r="D26" i="27"/>
  <c r="D18" i="27"/>
  <c r="S100" i="27"/>
  <c r="P99" i="27"/>
  <c r="R97" i="27"/>
  <c r="O96" i="27"/>
  <c r="P91" i="27"/>
  <c r="R89" i="27"/>
  <c r="O88" i="27"/>
  <c r="S84" i="27"/>
  <c r="P83" i="27"/>
  <c r="R81" i="27"/>
  <c r="O80" i="27"/>
  <c r="S76" i="27"/>
  <c r="P75" i="27"/>
  <c r="R73" i="27"/>
  <c r="O72" i="27"/>
  <c r="P67" i="27"/>
  <c r="R65" i="27"/>
  <c r="O64" i="27"/>
  <c r="S60" i="27"/>
  <c r="P59" i="27"/>
  <c r="R57" i="27"/>
  <c r="O56" i="27"/>
  <c r="R49" i="27"/>
  <c r="O48" i="27"/>
  <c r="P43" i="27"/>
  <c r="O38" i="27"/>
  <c r="Q36" i="27"/>
  <c r="P33" i="27"/>
  <c r="R31" i="27"/>
  <c r="O30" i="27"/>
  <c r="Q28" i="27"/>
  <c r="P25" i="27"/>
  <c r="R23" i="27"/>
  <c r="O22" i="27"/>
  <c r="Q20" i="27"/>
  <c r="S18" i="27"/>
  <c r="P17" i="27"/>
  <c r="R15" i="27"/>
  <c r="O14" i="27"/>
  <c r="Q12" i="27"/>
  <c r="J101" i="27"/>
  <c r="J93" i="27"/>
  <c r="J85" i="27"/>
  <c r="J77" i="27"/>
  <c r="J73" i="27"/>
  <c r="J69" i="27"/>
  <c r="J61" i="27"/>
  <c r="J53" i="27"/>
  <c r="J45" i="27"/>
  <c r="J37" i="27"/>
  <c r="J29" i="27"/>
  <c r="J21" i="27"/>
  <c r="J13" i="27"/>
  <c r="Q4" i="19"/>
  <c r="J10" i="2" s="1"/>
  <c r="G105" i="26"/>
  <c r="T89" i="26"/>
  <c r="V89" i="26" s="1"/>
  <c r="T81" i="26"/>
  <c r="V81" i="26" s="1"/>
  <c r="T57" i="26"/>
  <c r="V57" i="26" s="1"/>
  <c r="T49" i="26"/>
  <c r="V49" i="26" s="1"/>
  <c r="T41" i="26"/>
  <c r="V41" i="26" s="1"/>
  <c r="T33" i="26"/>
  <c r="V33" i="26" s="1"/>
  <c r="T25" i="26"/>
  <c r="V25" i="26" s="1"/>
  <c r="O10" i="27"/>
  <c r="P102" i="27"/>
  <c r="R100" i="27"/>
  <c r="O99" i="27"/>
  <c r="Q97" i="27"/>
  <c r="P94" i="27"/>
  <c r="R92" i="27"/>
  <c r="O91" i="27"/>
  <c r="S87" i="27"/>
  <c r="P86" i="27"/>
  <c r="R84" i="27"/>
  <c r="O83" i="27"/>
  <c r="Q81" i="27"/>
  <c r="P78" i="27"/>
  <c r="R76" i="27"/>
  <c r="O75" i="27"/>
  <c r="Q73" i="27"/>
  <c r="P70" i="27"/>
  <c r="R68" i="27"/>
  <c r="O67" i="27"/>
  <c r="Q65" i="27"/>
  <c r="R60" i="27"/>
  <c r="Q57" i="27"/>
  <c r="S55" i="27"/>
  <c r="P54" i="27"/>
  <c r="R52" i="27"/>
  <c r="O51" i="27"/>
  <c r="Q49" i="27"/>
  <c r="P46" i="27"/>
  <c r="R44" i="27"/>
  <c r="O43" i="27"/>
  <c r="Q41" i="27"/>
  <c r="R39" i="27"/>
  <c r="P36" i="27"/>
  <c r="R34" i="27"/>
  <c r="O33" i="27"/>
  <c r="Q31" i="27"/>
  <c r="S29" i="27"/>
  <c r="P28" i="27"/>
  <c r="R26" i="27"/>
  <c r="O25" i="27"/>
  <c r="Q23" i="27"/>
  <c r="P20" i="27"/>
  <c r="R18" i="27"/>
  <c r="O17" i="27"/>
  <c r="P12" i="27"/>
  <c r="L96" i="27"/>
  <c r="L88" i="27"/>
  <c r="L80" i="27"/>
  <c r="L72" i="27"/>
  <c r="L64" i="27"/>
  <c r="L60" i="27"/>
  <c r="L48" i="27"/>
  <c r="L40" i="27"/>
  <c r="L32" i="27"/>
  <c r="L24" i="27"/>
  <c r="L16" i="27"/>
  <c r="C81" i="27"/>
  <c r="C73" i="27"/>
  <c r="C49" i="27"/>
  <c r="C41" i="27"/>
  <c r="F103" i="26"/>
  <c r="T86" i="26"/>
  <c r="V86" i="26" s="1"/>
  <c r="O102" i="27"/>
  <c r="Q100" i="27"/>
  <c r="R95" i="27"/>
  <c r="Q92" i="27"/>
  <c r="P89" i="27"/>
  <c r="R87" i="27"/>
  <c r="O86" i="27"/>
  <c r="Q84" i="27"/>
  <c r="P81" i="27"/>
  <c r="R79" i="27"/>
  <c r="O78" i="27"/>
  <c r="Q76" i="27"/>
  <c r="P73" i="27"/>
  <c r="O70" i="27"/>
  <c r="Q68" i="27"/>
  <c r="P65" i="27"/>
  <c r="R63" i="27"/>
  <c r="O62" i="27"/>
  <c r="Q60" i="27"/>
  <c r="P57" i="27"/>
  <c r="R55" i="27"/>
  <c r="O54" i="27"/>
  <c r="R47" i="27"/>
  <c r="O46" i="27"/>
  <c r="Q44" i="27"/>
  <c r="P41" i="27"/>
  <c r="Q39" i="27"/>
  <c r="R37" i="27"/>
  <c r="O36" i="27"/>
  <c r="Q34" i="27"/>
  <c r="P31" i="27"/>
  <c r="R29" i="27"/>
  <c r="O28" i="27"/>
  <c r="Q26" i="27"/>
  <c r="P23" i="27"/>
  <c r="R21" i="27"/>
  <c r="O20" i="27"/>
  <c r="Q18" i="27"/>
  <c r="P15" i="27"/>
  <c r="R13" i="27"/>
  <c r="O12" i="27"/>
  <c r="C40" i="27"/>
  <c r="I100" i="27"/>
  <c r="I92" i="27"/>
  <c r="I84" i="27"/>
  <c r="I76" i="27"/>
  <c r="I68" i="27"/>
  <c r="I60" i="27"/>
  <c r="I52" i="27"/>
  <c r="I44" i="27"/>
  <c r="I36" i="27"/>
  <c r="I28" i="27"/>
  <c r="I20" i="27"/>
  <c r="I12" i="27"/>
  <c r="T87" i="26"/>
  <c r="V87" i="26" s="1"/>
  <c r="T71" i="26"/>
  <c r="V71" i="26" s="1"/>
  <c r="T47" i="26"/>
  <c r="V47" i="26" s="1"/>
  <c r="T39" i="26"/>
  <c r="V39" i="26" s="1"/>
  <c r="T23" i="26"/>
  <c r="V23" i="26" s="1"/>
  <c r="T15" i="26"/>
  <c r="V15" i="26" s="1"/>
  <c r="R10" i="27"/>
  <c r="P100" i="27"/>
  <c r="R98" i="27"/>
  <c r="O97" i="27"/>
  <c r="Q95" i="27"/>
  <c r="P92" i="27"/>
  <c r="R90" i="27"/>
  <c r="O89" i="27"/>
  <c r="Q87" i="27"/>
  <c r="P84" i="27"/>
  <c r="R82" i="27"/>
  <c r="O81" i="27"/>
  <c r="Q79" i="27"/>
  <c r="P76" i="27"/>
  <c r="R74" i="27"/>
  <c r="O73" i="27"/>
  <c r="P68" i="27"/>
  <c r="R66" i="27"/>
  <c r="O65" i="27"/>
  <c r="Q63" i="27"/>
  <c r="P60" i="27"/>
  <c r="R58" i="27"/>
  <c r="O57" i="27"/>
  <c r="Q55" i="27"/>
  <c r="P52" i="27"/>
  <c r="R50" i="27"/>
  <c r="O49" i="27"/>
  <c r="Q47" i="27"/>
  <c r="P44" i="27"/>
  <c r="R42" i="27"/>
  <c r="O41" i="27"/>
  <c r="P39" i="27"/>
  <c r="Q37" i="27"/>
  <c r="P34" i="27"/>
  <c r="R32" i="27"/>
  <c r="O31" i="27"/>
  <c r="Q29" i="27"/>
  <c r="P26" i="27"/>
  <c r="R24" i="27"/>
  <c r="O23" i="27"/>
  <c r="Q21" i="27"/>
  <c r="P18" i="27"/>
  <c r="R16" i="27"/>
  <c r="O15" i="27"/>
  <c r="Q13" i="27"/>
  <c r="P106" i="18"/>
  <c r="R106" i="18"/>
  <c r="D106" i="18"/>
  <c r="F9" i="2" s="1"/>
  <c r="L102" i="27"/>
  <c r="L62" i="27"/>
  <c r="L46" i="27"/>
  <c r="L30" i="27"/>
  <c r="L22" i="27"/>
  <c r="L14" i="27"/>
  <c r="Q35" i="27"/>
  <c r="T105" i="18"/>
  <c r="V105" i="18" s="1"/>
  <c r="I106" i="18"/>
  <c r="O106" i="18"/>
  <c r="T103" i="18"/>
  <c r="V103" i="18" s="1"/>
  <c r="C106" i="18"/>
  <c r="Q106" i="17"/>
  <c r="C106" i="17"/>
  <c r="L100" i="27"/>
  <c r="L84" i="27"/>
  <c r="L76" i="27"/>
  <c r="L44" i="27"/>
  <c r="L12" i="27"/>
  <c r="V105" i="17"/>
  <c r="E103" i="17"/>
  <c r="M103" i="17" s="1"/>
  <c r="Q70" i="27"/>
  <c r="V104" i="17"/>
  <c r="Q46" i="27"/>
  <c r="Q4" i="17"/>
  <c r="J8" i="2" s="1"/>
  <c r="S90" i="27"/>
  <c r="S82" i="27"/>
  <c r="Q54" i="27"/>
  <c r="Q3" i="16"/>
  <c r="I7" i="2" s="1"/>
  <c r="O106" i="16"/>
  <c r="R106" i="16"/>
  <c r="I106" i="16"/>
  <c r="C106" i="16"/>
  <c r="E7" i="2" s="1"/>
  <c r="D106" i="16"/>
  <c r="F7" i="2" s="1"/>
  <c r="Q38" i="27"/>
  <c r="E105" i="16"/>
  <c r="M105" i="16" s="1"/>
  <c r="E104" i="16"/>
  <c r="M104" i="16" s="1"/>
  <c r="T46" i="25"/>
  <c r="V46" i="25" s="1"/>
  <c r="G11" i="27"/>
  <c r="L97" i="27"/>
  <c r="L81" i="27"/>
  <c r="L65" i="27"/>
  <c r="L41" i="27"/>
  <c r="L33" i="27"/>
  <c r="L17" i="27"/>
  <c r="P106" i="15"/>
  <c r="T100" i="25"/>
  <c r="V100" i="25" s="1"/>
  <c r="S35" i="27"/>
  <c r="T60" i="25"/>
  <c r="V60" i="25" s="1"/>
  <c r="F106" i="15"/>
  <c r="S106" i="15"/>
  <c r="Q102" i="27"/>
  <c r="Q94" i="27"/>
  <c r="I106" i="15"/>
  <c r="F74" i="27"/>
  <c r="S97" i="27"/>
  <c r="Q83" i="27"/>
  <c r="Q106" i="14"/>
  <c r="J89" i="27"/>
  <c r="J65" i="27"/>
  <c r="J25" i="27"/>
  <c r="T99" i="25"/>
  <c r="V99" i="25" s="1"/>
  <c r="T83" i="25"/>
  <c r="V83" i="25" s="1"/>
  <c r="T75" i="25"/>
  <c r="T59" i="25"/>
  <c r="V59" i="25" s="1"/>
  <c r="T51" i="25"/>
  <c r="V51" i="25" s="1"/>
  <c r="T43" i="25"/>
  <c r="V43" i="25" s="1"/>
  <c r="T33" i="25"/>
  <c r="V33" i="25" s="1"/>
  <c r="T25" i="25"/>
  <c r="V25" i="25" s="1"/>
  <c r="Q3" i="14"/>
  <c r="I5" i="2" s="1"/>
  <c r="R106" i="14"/>
  <c r="E103" i="14"/>
  <c r="M103" i="14" s="1"/>
  <c r="I106" i="14"/>
  <c r="T94" i="25"/>
  <c r="V94" i="25" s="1"/>
  <c r="T89" i="25"/>
  <c r="V89" i="25" s="1"/>
  <c r="T86" i="25"/>
  <c r="V86" i="25" s="1"/>
  <c r="T65" i="25"/>
  <c r="V65" i="25" s="1"/>
  <c r="T62" i="25"/>
  <c r="V62" i="25" s="1"/>
  <c r="T57" i="25"/>
  <c r="V57" i="25" s="1"/>
  <c r="I99" i="27"/>
  <c r="J70" i="27"/>
  <c r="J30" i="27"/>
  <c r="L106" i="14"/>
  <c r="R104" i="25"/>
  <c r="D106" i="14"/>
  <c r="F5" i="2" s="1"/>
  <c r="R103" i="25"/>
  <c r="R94" i="27"/>
  <c r="R19" i="27"/>
  <c r="C96" i="27"/>
  <c r="R86" i="27"/>
  <c r="R11" i="27"/>
  <c r="T10" i="25"/>
  <c r="V10" i="25" s="1"/>
  <c r="T71" i="25"/>
  <c r="V71" i="25" s="1"/>
  <c r="R105" i="25"/>
  <c r="Q105" i="25"/>
  <c r="P105" i="25"/>
  <c r="O105" i="25"/>
  <c r="Q104" i="25"/>
  <c r="T42" i="25"/>
  <c r="V42" i="25" s="1"/>
  <c r="O100" i="27"/>
  <c r="T18" i="25"/>
  <c r="V18" i="25" s="1"/>
  <c r="E103" i="13"/>
  <c r="M103" i="13" s="1"/>
  <c r="D106" i="13"/>
  <c r="F4" i="2" s="1"/>
  <c r="T105" i="13"/>
  <c r="V105" i="13" s="1"/>
  <c r="T102" i="25"/>
  <c r="V102" i="25" s="1"/>
  <c r="T36" i="25"/>
  <c r="V36" i="25" s="1"/>
  <c r="T20" i="25"/>
  <c r="V20" i="25" s="1"/>
  <c r="P104" i="25"/>
  <c r="O60" i="27"/>
  <c r="T84" i="25"/>
  <c r="V84" i="25" s="1"/>
  <c r="T26" i="25"/>
  <c r="V26" i="25" s="1"/>
  <c r="R30" i="27"/>
  <c r="O106" i="13"/>
  <c r="T90" i="25"/>
  <c r="V90" i="25" s="1"/>
  <c r="T78" i="25"/>
  <c r="V78" i="25" s="1"/>
  <c r="S59" i="27"/>
  <c r="S36" i="27"/>
  <c r="O71" i="27"/>
  <c r="S102" i="27"/>
  <c r="P103" i="25"/>
  <c r="T96" i="25"/>
  <c r="T88" i="25"/>
  <c r="V88" i="25" s="1"/>
  <c r="T72" i="25"/>
  <c r="V72" i="25" s="1"/>
  <c r="T64" i="25"/>
  <c r="V64" i="25" s="1"/>
  <c r="T30" i="25"/>
  <c r="V30" i="25" s="1"/>
  <c r="T14" i="25"/>
  <c r="V14" i="25" s="1"/>
  <c r="O103" i="25"/>
  <c r="P10" i="27"/>
  <c r="T91" i="25"/>
  <c r="V91" i="25" s="1"/>
  <c r="T28" i="25"/>
  <c r="V28" i="25" s="1"/>
  <c r="D70" i="27"/>
  <c r="Q103" i="25"/>
  <c r="I102" i="27"/>
  <c r="I94" i="27"/>
  <c r="I86" i="27"/>
  <c r="G83" i="27"/>
  <c r="I78" i="27"/>
  <c r="I70" i="27"/>
  <c r="I62" i="27"/>
  <c r="I54" i="27"/>
  <c r="I46" i="27"/>
  <c r="I38" i="27"/>
  <c r="I30" i="27"/>
  <c r="T97" i="25"/>
  <c r="V97" i="25" s="1"/>
  <c r="T49" i="25"/>
  <c r="V49" i="25" s="1"/>
  <c r="T41" i="25"/>
  <c r="V41" i="25" s="1"/>
  <c r="T70" i="25"/>
  <c r="V70" i="25" s="1"/>
  <c r="T12" i="25"/>
  <c r="V12" i="25" s="1"/>
  <c r="O21" i="27"/>
  <c r="O104" i="25"/>
  <c r="F99" i="27"/>
  <c r="I81" i="27"/>
  <c r="I57" i="27"/>
  <c r="T104" i="13"/>
  <c r="V104" i="13" s="1"/>
  <c r="T92" i="25"/>
  <c r="V92" i="25" s="1"/>
  <c r="T76" i="25"/>
  <c r="V76" i="25" s="1"/>
  <c r="T44" i="25"/>
  <c r="V44" i="25" s="1"/>
  <c r="T34" i="25"/>
  <c r="V34" i="25" s="1"/>
  <c r="T95" i="25"/>
  <c r="V95" i="25" s="1"/>
  <c r="T87" i="25"/>
  <c r="V87" i="25" s="1"/>
  <c r="T55" i="25"/>
  <c r="V55" i="25" s="1"/>
  <c r="T47" i="25"/>
  <c r="V47" i="25" s="1"/>
  <c r="T37" i="25"/>
  <c r="V37" i="25" s="1"/>
  <c r="T29" i="25"/>
  <c r="V29" i="25" s="1"/>
  <c r="T54" i="25"/>
  <c r="V54" i="25" s="1"/>
  <c r="T38" i="25"/>
  <c r="V38" i="25" s="1"/>
  <c r="P24" i="27"/>
  <c r="D35" i="27"/>
  <c r="D19" i="27"/>
  <c r="T103" i="13"/>
  <c r="V103" i="13" s="1"/>
  <c r="S106" i="13"/>
  <c r="T82" i="25"/>
  <c r="V82" i="25" s="1"/>
  <c r="T66" i="25"/>
  <c r="V66" i="25" s="1"/>
  <c r="T50" i="25"/>
  <c r="V50" i="25" s="1"/>
  <c r="T32" i="25"/>
  <c r="V32" i="25" s="1"/>
  <c r="T16" i="25"/>
  <c r="V16" i="25" s="1"/>
  <c r="S75" i="27"/>
  <c r="D90" i="27"/>
  <c r="D82" i="27"/>
  <c r="S99" i="27"/>
  <c r="T93" i="25"/>
  <c r="V93" i="25" s="1"/>
  <c r="T69" i="25"/>
  <c r="V69" i="25" s="1"/>
  <c r="T53" i="25"/>
  <c r="V53" i="25" s="1"/>
  <c r="T35" i="25"/>
  <c r="V35" i="25" s="1"/>
  <c r="T27" i="25"/>
  <c r="V27" i="25" s="1"/>
  <c r="T11" i="25"/>
  <c r="V11" i="25" s="1"/>
  <c r="J106" i="12"/>
  <c r="Q106" i="12"/>
  <c r="C106" i="12"/>
  <c r="R106" i="12"/>
  <c r="T103" i="12"/>
  <c r="P106" i="12"/>
  <c r="E105" i="12"/>
  <c r="M105" i="12" s="1"/>
  <c r="Q4" i="12"/>
  <c r="E104" i="12"/>
  <c r="M104" i="12" s="1"/>
  <c r="L106" i="12"/>
  <c r="V104" i="24"/>
  <c r="S32" i="27"/>
  <c r="T67" i="26"/>
  <c r="V67" i="26" s="1"/>
  <c r="T51" i="26"/>
  <c r="V51" i="26" s="1"/>
  <c r="T19" i="26"/>
  <c r="V19" i="26" s="1"/>
  <c r="S91" i="27"/>
  <c r="S67" i="27"/>
  <c r="S40" i="27"/>
  <c r="S103" i="26"/>
  <c r="I10" i="27"/>
  <c r="F98" i="27"/>
  <c r="F90" i="27"/>
  <c r="F82" i="27"/>
  <c r="F58" i="27"/>
  <c r="F42" i="27"/>
  <c r="F34" i="27"/>
  <c r="F26" i="27"/>
  <c r="F18" i="27"/>
  <c r="F105" i="26"/>
  <c r="I103" i="26"/>
  <c r="G103" i="26"/>
  <c r="J104" i="26"/>
  <c r="J102" i="27"/>
  <c r="J98" i="27"/>
  <c r="J94" i="27"/>
  <c r="J90" i="27"/>
  <c r="J86" i="27"/>
  <c r="J82" i="27"/>
  <c r="J78" i="27"/>
  <c r="J74" i="27"/>
  <c r="J66" i="27"/>
  <c r="J62" i="27"/>
  <c r="J54" i="27"/>
  <c r="J50" i="27"/>
  <c r="J46" i="27"/>
  <c r="J42" i="27"/>
  <c r="J38" i="27"/>
  <c r="J34" i="27"/>
  <c r="J26" i="27"/>
  <c r="J22" i="27"/>
  <c r="J14" i="27"/>
  <c r="L104" i="26"/>
  <c r="G102" i="27"/>
  <c r="G70" i="27"/>
  <c r="I67" i="27"/>
  <c r="G62" i="27"/>
  <c r="I59" i="27"/>
  <c r="G54" i="27"/>
  <c r="I51" i="27"/>
  <c r="I35" i="27"/>
  <c r="G30" i="27"/>
  <c r="I27" i="27"/>
  <c r="G22" i="27"/>
  <c r="I19" i="27"/>
  <c r="G14" i="27"/>
  <c r="I96" i="27"/>
  <c r="I88" i="27"/>
  <c r="I80" i="27"/>
  <c r="I72" i="27"/>
  <c r="I64" i="27"/>
  <c r="I56" i="27"/>
  <c r="I48" i="27"/>
  <c r="I40" i="27"/>
  <c r="I24" i="27"/>
  <c r="I16" i="27"/>
  <c r="G96" i="27"/>
  <c r="F91" i="27"/>
  <c r="G88" i="27"/>
  <c r="F83" i="27"/>
  <c r="G80" i="27"/>
  <c r="F75" i="27"/>
  <c r="G72" i="27"/>
  <c r="F67" i="27"/>
  <c r="G64" i="27"/>
  <c r="F59" i="27"/>
  <c r="G56" i="27"/>
  <c r="F51" i="27"/>
  <c r="G48" i="27"/>
  <c r="F43" i="27"/>
  <c r="G40" i="27"/>
  <c r="F35" i="27"/>
  <c r="F27" i="27"/>
  <c r="G24" i="27"/>
  <c r="F19" i="27"/>
  <c r="G16" i="27"/>
  <c r="E94" i="26"/>
  <c r="M94" i="26" s="1"/>
  <c r="E75" i="26"/>
  <c r="M75" i="26" s="1"/>
  <c r="E38" i="26"/>
  <c r="D106" i="26"/>
  <c r="V104" i="20"/>
  <c r="C47" i="27"/>
  <c r="E70" i="26"/>
  <c r="M70" i="26" s="1"/>
  <c r="E62" i="26"/>
  <c r="M62" i="26" s="1"/>
  <c r="E14" i="26"/>
  <c r="M14" i="26" s="1"/>
  <c r="E103" i="20"/>
  <c r="M103" i="20" s="1"/>
  <c r="E102" i="26"/>
  <c r="M102" i="26" s="1"/>
  <c r="E78" i="26"/>
  <c r="E54" i="26"/>
  <c r="M54" i="26" s="1"/>
  <c r="E46" i="26"/>
  <c r="M46" i="26" s="1"/>
  <c r="E22" i="26"/>
  <c r="M22" i="26" s="1"/>
  <c r="C105" i="26"/>
  <c r="D99" i="27"/>
  <c r="D91" i="27"/>
  <c r="D83" i="27"/>
  <c r="D67" i="27"/>
  <c r="D59" i="27"/>
  <c r="D51" i="27"/>
  <c r="D43" i="27"/>
  <c r="D27" i="27"/>
  <c r="D11" i="27"/>
  <c r="E105" i="20"/>
  <c r="M105" i="20" s="1"/>
  <c r="C10" i="27"/>
  <c r="C71" i="27"/>
  <c r="D97" i="27"/>
  <c r="D89" i="27"/>
  <c r="D81" i="27"/>
  <c r="D73" i="27"/>
  <c r="D65" i="27"/>
  <c r="D57" i="27"/>
  <c r="D49" i="27"/>
  <c r="E49" i="27" s="1"/>
  <c r="D41" i="27"/>
  <c r="D33" i="27"/>
  <c r="D25" i="27"/>
  <c r="D17" i="27"/>
  <c r="E11" i="2"/>
  <c r="V105" i="20"/>
  <c r="C65" i="27"/>
  <c r="C15" i="27"/>
  <c r="E86" i="26"/>
  <c r="M86" i="26" s="1"/>
  <c r="E30" i="26"/>
  <c r="M30" i="26" s="1"/>
  <c r="C23" i="27"/>
  <c r="S104" i="26"/>
  <c r="T31" i="26"/>
  <c r="V31" i="26" s="1"/>
  <c r="S71" i="27"/>
  <c r="S63" i="27"/>
  <c r="S13" i="27"/>
  <c r="T97" i="26"/>
  <c r="V97" i="26" s="1"/>
  <c r="S10" i="27"/>
  <c r="S98" i="27"/>
  <c r="S74" i="27"/>
  <c r="S58" i="27"/>
  <c r="S42" i="27"/>
  <c r="S24" i="27"/>
  <c r="S105" i="26"/>
  <c r="S33" i="27"/>
  <c r="S25" i="27"/>
  <c r="S101" i="27"/>
  <c r="S85" i="27"/>
  <c r="S77" i="27"/>
  <c r="S45" i="27"/>
  <c r="S19" i="27"/>
  <c r="T79" i="26"/>
  <c r="V79" i="26" s="1"/>
  <c r="T63" i="26"/>
  <c r="V63" i="26" s="1"/>
  <c r="S80" i="27"/>
  <c r="S48" i="27"/>
  <c r="S17" i="27"/>
  <c r="T30" i="26"/>
  <c r="V30" i="26" s="1"/>
  <c r="S89" i="27"/>
  <c r="S81" i="27"/>
  <c r="S73" i="27"/>
  <c r="S57" i="27"/>
  <c r="S31" i="27"/>
  <c r="S68" i="27"/>
  <c r="S52" i="27"/>
  <c r="S39" i="27"/>
  <c r="S26" i="27"/>
  <c r="L92" i="27"/>
  <c r="J103" i="26"/>
  <c r="J49" i="27"/>
  <c r="J57" i="27"/>
  <c r="J33" i="27"/>
  <c r="G10" i="27"/>
  <c r="G12" i="27"/>
  <c r="I104" i="26"/>
  <c r="L20" i="27"/>
  <c r="J97" i="27"/>
  <c r="J81" i="27"/>
  <c r="J17" i="27"/>
  <c r="F106" i="19"/>
  <c r="M106" i="19" s="1"/>
  <c r="I22" i="27"/>
  <c r="L36" i="27"/>
  <c r="L52" i="27"/>
  <c r="J41" i="27"/>
  <c r="I11" i="27"/>
  <c r="L68" i="27"/>
  <c r="L105" i="26"/>
  <c r="F104" i="26"/>
  <c r="G99" i="27"/>
  <c r="G91" i="27"/>
  <c r="G75" i="27"/>
  <c r="G59" i="27"/>
  <c r="G43" i="27"/>
  <c r="G19" i="27"/>
  <c r="J96" i="27"/>
  <c r="J88" i="27"/>
  <c r="J84" i="27"/>
  <c r="J76" i="27"/>
  <c r="J72" i="27"/>
  <c r="J68" i="27"/>
  <c r="J64" i="27"/>
  <c r="J60" i="27"/>
  <c r="J56" i="27"/>
  <c r="J52" i="27"/>
  <c r="J44" i="27"/>
  <c r="J36" i="27"/>
  <c r="J32" i="27"/>
  <c r="J28" i="27"/>
  <c r="J24" i="27"/>
  <c r="L103" i="26"/>
  <c r="I105" i="26"/>
  <c r="J10" i="27"/>
  <c r="L99" i="27"/>
  <c r="L95" i="27"/>
  <c r="L91" i="27"/>
  <c r="L87" i="27"/>
  <c r="L83" i="27"/>
  <c r="L79" i="27"/>
  <c r="L75" i="27"/>
  <c r="L67" i="27"/>
  <c r="L59" i="27"/>
  <c r="L55" i="27"/>
  <c r="L51" i="27"/>
  <c r="L47" i="27"/>
  <c r="L43" i="27"/>
  <c r="L39" i="27"/>
  <c r="L23" i="27"/>
  <c r="L19" i="27"/>
  <c r="L15" i="27"/>
  <c r="L11" i="27"/>
  <c r="F96" i="27"/>
  <c r="F88" i="27"/>
  <c r="F80" i="27"/>
  <c r="F72" i="27"/>
  <c r="F64" i="27"/>
  <c r="F56" i="27"/>
  <c r="F48" i="27"/>
  <c r="F40" i="27"/>
  <c r="F32" i="27"/>
  <c r="F24" i="27"/>
  <c r="L10" i="27"/>
  <c r="J99" i="27"/>
  <c r="J95" i="27"/>
  <c r="J91" i="27"/>
  <c r="J87" i="27"/>
  <c r="J83" i="27"/>
  <c r="J79" i="27"/>
  <c r="J75" i="27"/>
  <c r="J71" i="27"/>
  <c r="J67" i="27"/>
  <c r="J63" i="27"/>
  <c r="J59" i="27"/>
  <c r="J51" i="27"/>
  <c r="J47" i="27"/>
  <c r="J43" i="27"/>
  <c r="J35" i="27"/>
  <c r="J31" i="27"/>
  <c r="J27" i="27"/>
  <c r="J23" i="27"/>
  <c r="J19" i="27"/>
  <c r="J15" i="27"/>
  <c r="J11" i="27"/>
  <c r="J105" i="26"/>
  <c r="L28" i="27"/>
  <c r="L98" i="27"/>
  <c r="L94" i="27"/>
  <c r="L90" i="27"/>
  <c r="L86" i="27"/>
  <c r="L82" i="27"/>
  <c r="L70" i="27"/>
  <c r="L66" i="27"/>
  <c r="L42" i="27"/>
  <c r="E67" i="26"/>
  <c r="M67" i="26" s="1"/>
  <c r="V95" i="26"/>
  <c r="C62" i="27"/>
  <c r="C95" i="27"/>
  <c r="C100" i="27"/>
  <c r="C92" i="27"/>
  <c r="C84" i="27"/>
  <c r="C76" i="27"/>
  <c r="C60" i="27"/>
  <c r="C52" i="27"/>
  <c r="C44" i="27"/>
  <c r="C36" i="27"/>
  <c r="C28" i="27"/>
  <c r="C12" i="27"/>
  <c r="E98" i="26"/>
  <c r="M98" i="26" s="1"/>
  <c r="E90" i="26"/>
  <c r="M90" i="26" s="1"/>
  <c r="E82" i="26"/>
  <c r="M82" i="26" s="1"/>
  <c r="E74" i="26"/>
  <c r="M74" i="26" s="1"/>
  <c r="E66" i="26"/>
  <c r="M66" i="26" s="1"/>
  <c r="E58" i="26"/>
  <c r="M58" i="26" s="1"/>
  <c r="E50" i="26"/>
  <c r="M50" i="26" s="1"/>
  <c r="E42" i="26"/>
  <c r="M42" i="26" s="1"/>
  <c r="E34" i="26"/>
  <c r="M34" i="26" s="1"/>
  <c r="E26" i="26"/>
  <c r="M26" i="26" s="1"/>
  <c r="E18" i="26"/>
  <c r="M18" i="26" s="1"/>
  <c r="C99" i="27"/>
  <c r="C91" i="27"/>
  <c r="C83" i="27"/>
  <c r="C75" i="27"/>
  <c r="C43" i="27"/>
  <c r="C35" i="27"/>
  <c r="C27" i="27"/>
  <c r="C19" i="27"/>
  <c r="C11" i="27"/>
  <c r="E97" i="26"/>
  <c r="M97" i="26" s="1"/>
  <c r="E89" i="26"/>
  <c r="M89" i="26" s="1"/>
  <c r="E81" i="26"/>
  <c r="M81" i="26" s="1"/>
  <c r="E73" i="26"/>
  <c r="E65" i="26"/>
  <c r="M65" i="26" s="1"/>
  <c r="E57" i="26"/>
  <c r="M57" i="26" s="1"/>
  <c r="E49" i="26"/>
  <c r="M49" i="26" s="1"/>
  <c r="E41" i="26"/>
  <c r="M41" i="26" s="1"/>
  <c r="E33" i="26"/>
  <c r="M33" i="26" s="1"/>
  <c r="E25" i="26"/>
  <c r="M25" i="26" s="1"/>
  <c r="E17" i="26"/>
  <c r="M17" i="26" s="1"/>
  <c r="V32" i="26"/>
  <c r="C58" i="27"/>
  <c r="C50" i="27"/>
  <c r="C42" i="27"/>
  <c r="C34" i="27"/>
  <c r="C26" i="27"/>
  <c r="C18" i="27"/>
  <c r="V103" i="19"/>
  <c r="E96" i="26"/>
  <c r="M96" i="26" s="1"/>
  <c r="E88" i="26"/>
  <c r="M88" i="26" s="1"/>
  <c r="E80" i="26"/>
  <c r="M80" i="26" s="1"/>
  <c r="E72" i="26"/>
  <c r="M72" i="26" s="1"/>
  <c r="E64" i="26"/>
  <c r="E56" i="26"/>
  <c r="M56" i="26" s="1"/>
  <c r="E48" i="26"/>
  <c r="M48" i="26" s="1"/>
  <c r="E40" i="26"/>
  <c r="M40" i="26" s="1"/>
  <c r="E32" i="26"/>
  <c r="M32" i="26" s="1"/>
  <c r="E24" i="26"/>
  <c r="M24" i="26" s="1"/>
  <c r="E16" i="26"/>
  <c r="M16" i="26" s="1"/>
  <c r="E103" i="19"/>
  <c r="D102" i="27"/>
  <c r="D86" i="27"/>
  <c r="D78" i="27"/>
  <c r="D62" i="27"/>
  <c r="D54" i="27"/>
  <c r="D46" i="27"/>
  <c r="D38" i="27"/>
  <c r="D30" i="27"/>
  <c r="D22" i="27"/>
  <c r="D14" i="27"/>
  <c r="E10" i="26"/>
  <c r="M10" i="26" s="1"/>
  <c r="E95" i="26"/>
  <c r="M95" i="26" s="1"/>
  <c r="E87" i="26"/>
  <c r="E79" i="26"/>
  <c r="M79" i="26" s="1"/>
  <c r="E71" i="26"/>
  <c r="M71" i="26" s="1"/>
  <c r="E63" i="26"/>
  <c r="M63" i="26" s="1"/>
  <c r="E55" i="26"/>
  <c r="M55" i="26" s="1"/>
  <c r="E47" i="26"/>
  <c r="M47" i="26" s="1"/>
  <c r="E39" i="26"/>
  <c r="M39" i="26" s="1"/>
  <c r="E31" i="26"/>
  <c r="M31" i="26" s="1"/>
  <c r="E23" i="26"/>
  <c r="E15" i="26"/>
  <c r="M15" i="26" s="1"/>
  <c r="C104" i="26"/>
  <c r="C97" i="27"/>
  <c r="C103" i="26"/>
  <c r="N103" i="26" s="1"/>
  <c r="C88" i="27"/>
  <c r="C80" i="27"/>
  <c r="C72" i="27"/>
  <c r="C64" i="27"/>
  <c r="C56" i="27"/>
  <c r="C48" i="27"/>
  <c r="C32" i="27"/>
  <c r="C24" i="27"/>
  <c r="C16" i="27"/>
  <c r="E104" i="19"/>
  <c r="M104" i="19" s="1"/>
  <c r="C89" i="27"/>
  <c r="C94" i="27"/>
  <c r="C78" i="27"/>
  <c r="C46" i="27"/>
  <c r="C30" i="27"/>
  <c r="S43" i="27"/>
  <c r="S83" i="27"/>
  <c r="T67" i="25"/>
  <c r="V67" i="25" s="1"/>
  <c r="S51" i="27"/>
  <c r="T17" i="25"/>
  <c r="V17" i="25" s="1"/>
  <c r="Q4" i="18"/>
  <c r="J9" i="2" s="1"/>
  <c r="F106" i="18"/>
  <c r="C6" i="18"/>
  <c r="I6" i="18" s="1"/>
  <c r="E9" i="2"/>
  <c r="V104" i="18"/>
  <c r="E103" i="18"/>
  <c r="M103" i="18" s="1"/>
  <c r="V75" i="25"/>
  <c r="Q3" i="17"/>
  <c r="I8" i="2" s="1"/>
  <c r="F106" i="17"/>
  <c r="C20" i="27"/>
  <c r="D106" i="17"/>
  <c r="E104" i="17"/>
  <c r="M104" i="17" s="1"/>
  <c r="D94" i="27"/>
  <c r="T98" i="25"/>
  <c r="V98" i="25" s="1"/>
  <c r="T74" i="25"/>
  <c r="V74" i="25" s="1"/>
  <c r="T24" i="25"/>
  <c r="V24" i="25" s="1"/>
  <c r="T58" i="25"/>
  <c r="V58" i="25" s="1"/>
  <c r="S66" i="27"/>
  <c r="S50" i="27"/>
  <c r="S16" i="27"/>
  <c r="T77" i="25"/>
  <c r="V77" i="25" s="1"/>
  <c r="T19" i="25"/>
  <c r="V19" i="25" s="1"/>
  <c r="T85" i="25"/>
  <c r="V85" i="25" s="1"/>
  <c r="S61" i="27"/>
  <c r="T101" i="25"/>
  <c r="V101" i="25" s="1"/>
  <c r="S11" i="27"/>
  <c r="T61" i="25"/>
  <c r="V61" i="25" s="1"/>
  <c r="S27" i="27"/>
  <c r="S93" i="27"/>
  <c r="S53" i="27"/>
  <c r="T45" i="25"/>
  <c r="V45" i="25" s="1"/>
  <c r="S69" i="27"/>
  <c r="I82" i="27"/>
  <c r="G45" i="27"/>
  <c r="G106" i="16"/>
  <c r="M106" i="16" s="1"/>
  <c r="G69" i="27"/>
  <c r="C105" i="25"/>
  <c r="E71" i="25"/>
  <c r="M71" i="25" s="1"/>
  <c r="E63" i="25"/>
  <c r="M63" i="25" s="1"/>
  <c r="E55" i="25"/>
  <c r="M55" i="25" s="1"/>
  <c r="E47" i="25"/>
  <c r="M47" i="25" s="1"/>
  <c r="E39" i="25"/>
  <c r="M39" i="25" s="1"/>
  <c r="E31" i="25"/>
  <c r="M31" i="25" s="1"/>
  <c r="E23" i="25"/>
  <c r="M23" i="25" s="1"/>
  <c r="E15" i="25"/>
  <c r="M15" i="25" s="1"/>
  <c r="V104" i="16"/>
  <c r="T79" i="25"/>
  <c r="V79" i="25" s="1"/>
  <c r="T39" i="25"/>
  <c r="V39" i="25" s="1"/>
  <c r="S34" i="27"/>
  <c r="S38" i="27"/>
  <c r="T13" i="25"/>
  <c r="V13" i="25" s="1"/>
  <c r="T52" i="25"/>
  <c r="V52" i="25" s="1"/>
  <c r="S92" i="27"/>
  <c r="S95" i="27"/>
  <c r="S47" i="27"/>
  <c r="T63" i="25"/>
  <c r="V63" i="25" s="1"/>
  <c r="S44" i="27"/>
  <c r="T21" i="25"/>
  <c r="V21" i="25" s="1"/>
  <c r="S37" i="27"/>
  <c r="T68" i="25"/>
  <c r="V68" i="25" s="1"/>
  <c r="S21" i="27"/>
  <c r="S79" i="27"/>
  <c r="G68" i="27"/>
  <c r="I33" i="27"/>
  <c r="Q4" i="15"/>
  <c r="J6" i="2" s="1"/>
  <c r="G52" i="27"/>
  <c r="Q3" i="15"/>
  <c r="I6" i="2" s="1"/>
  <c r="F50" i="27"/>
  <c r="C106" i="15"/>
  <c r="E103" i="15"/>
  <c r="M103" i="15" s="1"/>
  <c r="C33" i="27"/>
  <c r="E105" i="15"/>
  <c r="M105" i="15" s="1"/>
  <c r="E104" i="15"/>
  <c r="M104" i="15" s="1"/>
  <c r="S64" i="27"/>
  <c r="S105" i="25"/>
  <c r="S103" i="25"/>
  <c r="S96" i="27"/>
  <c r="F106" i="14"/>
  <c r="G98" i="27"/>
  <c r="F62" i="27"/>
  <c r="F17" i="27"/>
  <c r="J55" i="27"/>
  <c r="G51" i="27"/>
  <c r="J39" i="27"/>
  <c r="Q4" i="14"/>
  <c r="J5" i="2" s="1"/>
  <c r="C67" i="27"/>
  <c r="D79" i="27"/>
  <c r="V96" i="25"/>
  <c r="C106" i="14"/>
  <c r="C51" i="27"/>
  <c r="C57" i="27"/>
  <c r="C17" i="27"/>
  <c r="C59" i="27"/>
  <c r="E10" i="25"/>
  <c r="M10" i="25" s="1"/>
  <c r="E95" i="25"/>
  <c r="M95" i="25" s="1"/>
  <c r="E87" i="25"/>
  <c r="M87" i="25" s="1"/>
  <c r="E79" i="25"/>
  <c r="M79" i="25" s="1"/>
  <c r="T73" i="25"/>
  <c r="V73" i="25" s="1"/>
  <c r="T81" i="25"/>
  <c r="V81" i="25" s="1"/>
  <c r="T15" i="25"/>
  <c r="V15" i="25" s="1"/>
  <c r="T48" i="25"/>
  <c r="V48" i="25" s="1"/>
  <c r="S41" i="27"/>
  <c r="S88" i="27"/>
  <c r="T31" i="25"/>
  <c r="V31" i="25" s="1"/>
  <c r="T56" i="25"/>
  <c r="V56" i="25" s="1"/>
  <c r="S30" i="27"/>
  <c r="S23" i="27"/>
  <c r="S72" i="27"/>
  <c r="S56" i="27"/>
  <c r="S49" i="27"/>
  <c r="T23" i="25"/>
  <c r="V23" i="25" s="1"/>
  <c r="T40" i="25"/>
  <c r="V40" i="25" s="1"/>
  <c r="S14" i="27"/>
  <c r="T22" i="25"/>
  <c r="V22" i="25" s="1"/>
  <c r="S104" i="25"/>
  <c r="S22" i="27"/>
  <c r="T80" i="25"/>
  <c r="V80" i="25" s="1"/>
  <c r="J100" i="27"/>
  <c r="I91" i="27"/>
  <c r="G86" i="27"/>
  <c r="F85" i="27"/>
  <c r="I95" i="27"/>
  <c r="F89" i="27"/>
  <c r="J92" i="27"/>
  <c r="F93" i="27"/>
  <c r="G94" i="27"/>
  <c r="G78" i="27"/>
  <c r="J80" i="27"/>
  <c r="I75" i="27"/>
  <c r="F103" i="25"/>
  <c r="I83" i="27"/>
  <c r="F81" i="27"/>
  <c r="F65" i="27"/>
  <c r="L71" i="27"/>
  <c r="L63" i="27"/>
  <c r="G67" i="27"/>
  <c r="G103" i="25"/>
  <c r="J106" i="13"/>
  <c r="G38" i="27"/>
  <c r="J48" i="27"/>
  <c r="J103" i="25"/>
  <c r="L104" i="25"/>
  <c r="L105" i="25"/>
  <c r="J40" i="27"/>
  <c r="F41" i="27"/>
  <c r="I43" i="27"/>
  <c r="F104" i="25"/>
  <c r="L106" i="13"/>
  <c r="G46" i="27"/>
  <c r="Q3" i="13"/>
  <c r="I4" i="2" s="1"/>
  <c r="J104" i="25"/>
  <c r="J105" i="25"/>
  <c r="L27" i="27"/>
  <c r="L103" i="25"/>
  <c r="L35" i="27"/>
  <c r="F105" i="25"/>
  <c r="I32" i="27"/>
  <c r="L31" i="27"/>
  <c r="G27" i="27"/>
  <c r="G104" i="25"/>
  <c r="G105" i="25"/>
  <c r="I105" i="25"/>
  <c r="G35" i="27"/>
  <c r="F106" i="13"/>
  <c r="J12" i="27"/>
  <c r="J20" i="27"/>
  <c r="G15" i="27"/>
  <c r="G106" i="13"/>
  <c r="I103" i="25"/>
  <c r="G23" i="27"/>
  <c r="I104" i="25"/>
  <c r="Q4" i="13"/>
  <c r="J4" i="2" s="1"/>
  <c r="J16" i="27"/>
  <c r="D80" i="27"/>
  <c r="D104" i="25"/>
  <c r="D104" i="27" s="1"/>
  <c r="D58" i="27"/>
  <c r="E102" i="25"/>
  <c r="M102" i="25" s="1"/>
  <c r="C102" i="27"/>
  <c r="N102" i="27" s="1"/>
  <c r="E94" i="25"/>
  <c r="M94" i="25" s="1"/>
  <c r="E86" i="25"/>
  <c r="M86" i="25" s="1"/>
  <c r="C86" i="27"/>
  <c r="E78" i="25"/>
  <c r="M78" i="25" s="1"/>
  <c r="E70" i="25"/>
  <c r="M70" i="25" s="1"/>
  <c r="C70" i="27"/>
  <c r="E62" i="25"/>
  <c r="M62" i="25" s="1"/>
  <c r="E54" i="25"/>
  <c r="M54" i="25" s="1"/>
  <c r="C54" i="27"/>
  <c r="E46" i="25"/>
  <c r="M46" i="25" s="1"/>
  <c r="E38" i="25"/>
  <c r="M38" i="25" s="1"/>
  <c r="C38" i="27"/>
  <c r="E30" i="25"/>
  <c r="M30" i="25" s="1"/>
  <c r="E22" i="25"/>
  <c r="M22" i="25" s="1"/>
  <c r="C22" i="27"/>
  <c r="E14" i="25"/>
  <c r="M14" i="25" s="1"/>
  <c r="C104" i="25"/>
  <c r="E101" i="25"/>
  <c r="M101" i="25" s="1"/>
  <c r="C101" i="27"/>
  <c r="N101" i="27" s="1"/>
  <c r="E93" i="25"/>
  <c r="M93" i="25" s="1"/>
  <c r="C93" i="27"/>
  <c r="E85" i="25"/>
  <c r="M85" i="25" s="1"/>
  <c r="C85" i="27"/>
  <c r="E77" i="25"/>
  <c r="M77" i="25" s="1"/>
  <c r="C77" i="27"/>
  <c r="E69" i="25"/>
  <c r="M69" i="25" s="1"/>
  <c r="C69" i="27"/>
  <c r="E61" i="25"/>
  <c r="M61" i="25" s="1"/>
  <c r="C61" i="27"/>
  <c r="E53" i="25"/>
  <c r="M53" i="25" s="1"/>
  <c r="C53" i="27"/>
  <c r="E45" i="25"/>
  <c r="M45" i="25" s="1"/>
  <c r="C45" i="27"/>
  <c r="E37" i="25"/>
  <c r="M37" i="25" s="1"/>
  <c r="C37" i="27"/>
  <c r="E29" i="25"/>
  <c r="M29" i="25" s="1"/>
  <c r="C29" i="27"/>
  <c r="E21" i="25"/>
  <c r="M21" i="25" s="1"/>
  <c r="C21" i="27"/>
  <c r="E13" i="25"/>
  <c r="M13" i="25" s="1"/>
  <c r="C13" i="27"/>
  <c r="C103" i="25"/>
  <c r="D66" i="27"/>
  <c r="D105" i="25"/>
  <c r="D103" i="25"/>
  <c r="D50" i="27"/>
  <c r="E100" i="25"/>
  <c r="M100" i="25" s="1"/>
  <c r="E92" i="25"/>
  <c r="M92" i="25" s="1"/>
  <c r="E84" i="25"/>
  <c r="M84" i="25" s="1"/>
  <c r="E76" i="25"/>
  <c r="M76" i="25" s="1"/>
  <c r="E68" i="25"/>
  <c r="M68" i="25" s="1"/>
  <c r="E60" i="25"/>
  <c r="M60" i="25" s="1"/>
  <c r="E52" i="25"/>
  <c r="M52" i="25" s="1"/>
  <c r="E44" i="25"/>
  <c r="M44" i="25" s="1"/>
  <c r="E36" i="25"/>
  <c r="M36" i="25" s="1"/>
  <c r="E28" i="25"/>
  <c r="M28" i="25" s="1"/>
  <c r="E20" i="25"/>
  <c r="M20" i="25" s="1"/>
  <c r="E12" i="25"/>
  <c r="M12" i="25" s="1"/>
  <c r="E105" i="13"/>
  <c r="M105" i="13" s="1"/>
  <c r="C66" i="27"/>
  <c r="C82" i="27"/>
  <c r="C98" i="27"/>
  <c r="E99" i="25"/>
  <c r="M99" i="25" s="1"/>
  <c r="E91" i="25"/>
  <c r="M91" i="25" s="1"/>
  <c r="E83" i="25"/>
  <c r="M83" i="25" s="1"/>
  <c r="E75" i="25"/>
  <c r="M75" i="25" s="1"/>
  <c r="E67" i="25"/>
  <c r="M67" i="25" s="1"/>
  <c r="E59" i="25"/>
  <c r="M59" i="25" s="1"/>
  <c r="E51" i="25"/>
  <c r="M51" i="25" s="1"/>
  <c r="E43" i="25"/>
  <c r="M43" i="25" s="1"/>
  <c r="E35" i="25"/>
  <c r="M35" i="25" s="1"/>
  <c r="E27" i="25"/>
  <c r="M27" i="25" s="1"/>
  <c r="E19" i="25"/>
  <c r="M19" i="25" s="1"/>
  <c r="E11" i="25"/>
  <c r="M11" i="25" s="1"/>
  <c r="E104" i="13"/>
  <c r="M104" i="13" s="1"/>
  <c r="C106" i="13"/>
  <c r="E98" i="25"/>
  <c r="M98" i="25" s="1"/>
  <c r="E90" i="25"/>
  <c r="M90" i="25" s="1"/>
  <c r="E82" i="25"/>
  <c r="M82" i="25" s="1"/>
  <c r="E74" i="25"/>
  <c r="M74" i="25" s="1"/>
  <c r="E66" i="25"/>
  <c r="M66" i="25" s="1"/>
  <c r="E58" i="25"/>
  <c r="M58" i="25" s="1"/>
  <c r="E50" i="25"/>
  <c r="M50" i="25" s="1"/>
  <c r="E42" i="25"/>
  <c r="M42" i="25" s="1"/>
  <c r="E34" i="25"/>
  <c r="M34" i="25" s="1"/>
  <c r="E26" i="25"/>
  <c r="M26" i="25" s="1"/>
  <c r="E18" i="25"/>
  <c r="M18" i="25" s="1"/>
  <c r="E97" i="25"/>
  <c r="M97" i="25" s="1"/>
  <c r="E89" i="25"/>
  <c r="M89" i="25" s="1"/>
  <c r="E81" i="25"/>
  <c r="M81" i="25" s="1"/>
  <c r="E73" i="25"/>
  <c r="M73" i="25" s="1"/>
  <c r="E65" i="25"/>
  <c r="M65" i="25" s="1"/>
  <c r="E57" i="25"/>
  <c r="M57" i="25" s="1"/>
  <c r="E49" i="25"/>
  <c r="M49" i="25" s="1"/>
  <c r="E41" i="25"/>
  <c r="M41" i="25" s="1"/>
  <c r="E33" i="25"/>
  <c r="M33" i="25" s="1"/>
  <c r="E25" i="25"/>
  <c r="M25" i="25" s="1"/>
  <c r="E17" i="25"/>
  <c r="M17" i="25" s="1"/>
  <c r="E96" i="25"/>
  <c r="M96" i="25" s="1"/>
  <c r="E88" i="25"/>
  <c r="M88" i="25" s="1"/>
  <c r="E80" i="25"/>
  <c r="M80" i="25" s="1"/>
  <c r="E72" i="25"/>
  <c r="M72" i="25" s="1"/>
  <c r="E64" i="25"/>
  <c r="M64" i="25" s="1"/>
  <c r="E56" i="25"/>
  <c r="M56" i="25" s="1"/>
  <c r="E48" i="25"/>
  <c r="M48" i="25" s="1"/>
  <c r="E40" i="25"/>
  <c r="M40" i="25" s="1"/>
  <c r="E32" i="25"/>
  <c r="M32" i="25" s="1"/>
  <c r="E24" i="25"/>
  <c r="M24" i="25" s="1"/>
  <c r="E16" i="25"/>
  <c r="M16" i="25" s="1"/>
  <c r="C74" i="27"/>
  <c r="C90" i="27"/>
  <c r="C5" i="27"/>
  <c r="Q75" i="27"/>
  <c r="Q27" i="27"/>
  <c r="T102" i="26"/>
  <c r="V102" i="26" s="1"/>
  <c r="Q59" i="27"/>
  <c r="Q86" i="27"/>
  <c r="Q105" i="26"/>
  <c r="T70" i="26"/>
  <c r="V70" i="26" s="1"/>
  <c r="T43" i="26"/>
  <c r="V43" i="26" s="1"/>
  <c r="Q106" i="20"/>
  <c r="Q30" i="27"/>
  <c r="Q43" i="27"/>
  <c r="T83" i="26"/>
  <c r="V83" i="26" s="1"/>
  <c r="Q62" i="27"/>
  <c r="Q104" i="26"/>
  <c r="T99" i="26"/>
  <c r="V99" i="26" s="1"/>
  <c r="T35" i="26"/>
  <c r="V35" i="26" s="1"/>
  <c r="Q78" i="27"/>
  <c r="T38" i="26"/>
  <c r="V38" i="26" s="1"/>
  <c r="Q67" i="27"/>
  <c r="T27" i="26"/>
  <c r="V27" i="26" s="1"/>
  <c r="Q91" i="27"/>
  <c r="Q99" i="27"/>
  <c r="T11" i="26"/>
  <c r="V11" i="26" s="1"/>
  <c r="T91" i="26"/>
  <c r="V91" i="26" s="1"/>
  <c r="Q103" i="26"/>
  <c r="T54" i="26"/>
  <c r="V54" i="26" s="1"/>
  <c r="Q11" i="27"/>
  <c r="T106" i="18" l="1"/>
  <c r="U106" i="18"/>
  <c r="E105" i="26"/>
  <c r="N105" i="26"/>
  <c r="V106" i="22"/>
  <c r="T106" i="23"/>
  <c r="U106" i="23"/>
  <c r="R6" i="23" s="1"/>
  <c r="H14" i="2" s="1"/>
  <c r="M106" i="24"/>
  <c r="T106" i="20"/>
  <c r="V106" i="20" s="1"/>
  <c r="U106" i="20"/>
  <c r="M106" i="18"/>
  <c r="N104" i="26"/>
  <c r="M105" i="26"/>
  <c r="C6" i="20"/>
  <c r="I6" i="20" s="1"/>
  <c r="N6" i="20"/>
  <c r="G11" i="2" s="1"/>
  <c r="T106" i="24"/>
  <c r="U106" i="24"/>
  <c r="R6" i="24" s="1"/>
  <c r="H15" i="2" s="1"/>
  <c r="U106" i="22"/>
  <c r="R6" i="17"/>
  <c r="H8" i="2" s="1"/>
  <c r="M106" i="17"/>
  <c r="E8" i="2"/>
  <c r="N6" i="17"/>
  <c r="G8" i="2" s="1"/>
  <c r="U106" i="19"/>
  <c r="E10" i="2"/>
  <c r="N6" i="19"/>
  <c r="G10" i="2" s="1"/>
  <c r="E12" i="2"/>
  <c r="N6" i="21"/>
  <c r="G12" i="2" s="1"/>
  <c r="R6" i="20"/>
  <c r="H11" i="2" s="1"/>
  <c r="E41" i="27"/>
  <c r="C6" i="22"/>
  <c r="I6" i="22" s="1"/>
  <c r="N6" i="22"/>
  <c r="V106" i="23"/>
  <c r="N6" i="23"/>
  <c r="M106" i="20"/>
  <c r="T106" i="17"/>
  <c r="N6" i="18"/>
  <c r="G9" i="2" s="1"/>
  <c r="N6" i="24"/>
  <c r="M106" i="21"/>
  <c r="U105" i="26"/>
  <c r="U104" i="26"/>
  <c r="T106" i="21"/>
  <c r="V106" i="21" s="1"/>
  <c r="U106" i="21"/>
  <c r="T106" i="16"/>
  <c r="V106" i="16" s="1"/>
  <c r="N6" i="16"/>
  <c r="G7" i="2" s="1"/>
  <c r="U106" i="16"/>
  <c r="R6" i="16" s="1"/>
  <c r="H7" i="2" s="1"/>
  <c r="H106" i="27"/>
  <c r="E25" i="27"/>
  <c r="M25" i="27" s="1"/>
  <c r="N6" i="15"/>
  <c r="G6" i="2" s="1"/>
  <c r="T106" i="15"/>
  <c r="V106" i="15" s="1"/>
  <c r="M106" i="15"/>
  <c r="U106" i="15"/>
  <c r="R6" i="15" s="1"/>
  <c r="H6" i="2" s="1"/>
  <c r="U94" i="27"/>
  <c r="U90" i="27"/>
  <c r="U89" i="27"/>
  <c r="U82" i="27"/>
  <c r="U81" i="27"/>
  <c r="U74" i="27"/>
  <c r="U66" i="27"/>
  <c r="U65" i="27"/>
  <c r="U59" i="27"/>
  <c r="U58" i="27"/>
  <c r="U57" i="27"/>
  <c r="U50" i="27"/>
  <c r="U49" i="27"/>
  <c r="U41" i="27"/>
  <c r="M41" i="27"/>
  <c r="T106" i="13"/>
  <c r="V106" i="13" s="1"/>
  <c r="U26" i="27"/>
  <c r="U25" i="27"/>
  <c r="U18" i="27"/>
  <c r="U11" i="27"/>
  <c r="U17" i="27"/>
  <c r="N104" i="25"/>
  <c r="K106" i="27"/>
  <c r="M106" i="13"/>
  <c r="N6" i="13"/>
  <c r="G4" i="2" s="1"/>
  <c r="T106" i="14"/>
  <c r="V106" i="14" s="1"/>
  <c r="N90" i="27"/>
  <c r="N21" i="27"/>
  <c r="N37" i="27"/>
  <c r="N53" i="27"/>
  <c r="N69" i="27"/>
  <c r="N85" i="27"/>
  <c r="N22" i="27"/>
  <c r="N51" i="27"/>
  <c r="N78" i="27"/>
  <c r="N16" i="27"/>
  <c r="N56" i="27"/>
  <c r="N88" i="27"/>
  <c r="N26" i="27"/>
  <c r="N58" i="27"/>
  <c r="N35" i="27"/>
  <c r="N91" i="27"/>
  <c r="N44" i="27"/>
  <c r="N84" i="27"/>
  <c r="N62" i="27"/>
  <c r="N15" i="27"/>
  <c r="U71" i="27"/>
  <c r="U15" i="27"/>
  <c r="U23" i="27"/>
  <c r="U31" i="27"/>
  <c r="U73" i="27"/>
  <c r="U97" i="27"/>
  <c r="U46" i="27"/>
  <c r="N73" i="27"/>
  <c r="U43" i="27"/>
  <c r="U51" i="27"/>
  <c r="U40" i="27"/>
  <c r="U61" i="27"/>
  <c r="U69" i="27"/>
  <c r="U93" i="27"/>
  <c r="U16" i="27"/>
  <c r="U98" i="27"/>
  <c r="U47" i="27"/>
  <c r="U55" i="27"/>
  <c r="U63" i="27"/>
  <c r="U44" i="27"/>
  <c r="U52" i="27"/>
  <c r="N31" i="27"/>
  <c r="N87" i="27"/>
  <c r="M49" i="27"/>
  <c r="N66" i="27"/>
  <c r="N74" i="27"/>
  <c r="N98" i="27"/>
  <c r="N103" i="25"/>
  <c r="N86" i="27"/>
  <c r="N59" i="27"/>
  <c r="N67" i="27"/>
  <c r="M106" i="14"/>
  <c r="N6" i="14"/>
  <c r="G5" i="2" s="1"/>
  <c r="U106" i="14"/>
  <c r="R6" i="14" s="1"/>
  <c r="H5" i="2" s="1"/>
  <c r="N33" i="27"/>
  <c r="N94" i="27"/>
  <c r="N24" i="27"/>
  <c r="N64" i="27"/>
  <c r="N34" i="27"/>
  <c r="N11" i="27"/>
  <c r="N43" i="27"/>
  <c r="N99" i="27"/>
  <c r="N12" i="27"/>
  <c r="N52" i="27"/>
  <c r="N92" i="27"/>
  <c r="N23" i="27"/>
  <c r="N71" i="27"/>
  <c r="U21" i="27"/>
  <c r="U60" i="27"/>
  <c r="N96" i="27"/>
  <c r="U78" i="27"/>
  <c r="U86" i="27"/>
  <c r="N81" i="27"/>
  <c r="U48" i="27"/>
  <c r="U96" i="27"/>
  <c r="U19" i="27"/>
  <c r="U27" i="27"/>
  <c r="U35" i="27"/>
  <c r="U45" i="27"/>
  <c r="U53" i="27"/>
  <c r="N68" i="27"/>
  <c r="U24" i="27"/>
  <c r="U32" i="27"/>
  <c r="U42" i="27"/>
  <c r="N39" i="27"/>
  <c r="U39" i="27"/>
  <c r="N55" i="27"/>
  <c r="U37" i="27"/>
  <c r="N82" i="27"/>
  <c r="N13" i="27"/>
  <c r="N29" i="27"/>
  <c r="N45" i="27"/>
  <c r="N61" i="27"/>
  <c r="N77" i="27"/>
  <c r="N93" i="27"/>
  <c r="N70" i="27"/>
  <c r="N17" i="27"/>
  <c r="N105" i="25"/>
  <c r="N30" i="27"/>
  <c r="N89" i="27"/>
  <c r="N32" i="27"/>
  <c r="N72" i="27"/>
  <c r="N97" i="27"/>
  <c r="N42" i="27"/>
  <c r="N19" i="27"/>
  <c r="N75" i="27"/>
  <c r="N28" i="27"/>
  <c r="N60" i="27"/>
  <c r="N100" i="27"/>
  <c r="N65" i="27"/>
  <c r="N10" i="27"/>
  <c r="N40" i="27"/>
  <c r="U54" i="27"/>
  <c r="U62" i="27"/>
  <c r="U70" i="27"/>
  <c r="N41" i="27"/>
  <c r="U10" i="27"/>
  <c r="U14" i="27"/>
  <c r="U72" i="27"/>
  <c r="U80" i="27"/>
  <c r="U88" i="27"/>
  <c r="U85" i="27"/>
  <c r="U34" i="27"/>
  <c r="N63" i="27"/>
  <c r="U13" i="27"/>
  <c r="N38" i="27"/>
  <c r="N54" i="27"/>
  <c r="N57" i="27"/>
  <c r="N20" i="27"/>
  <c r="N46" i="27"/>
  <c r="N48" i="27"/>
  <c r="N80" i="27"/>
  <c r="N18" i="27"/>
  <c r="N50" i="27"/>
  <c r="N27" i="27"/>
  <c r="N83" i="27"/>
  <c r="N36" i="27"/>
  <c r="N76" i="27"/>
  <c r="N95" i="27"/>
  <c r="N47" i="27"/>
  <c r="U12" i="27"/>
  <c r="U20" i="27"/>
  <c r="U28" i="27"/>
  <c r="U36" i="27"/>
  <c r="N49" i="27"/>
  <c r="U33" i="27"/>
  <c r="U67" i="27"/>
  <c r="U75" i="27"/>
  <c r="U83" i="27"/>
  <c r="U91" i="27"/>
  <c r="U99" i="27"/>
  <c r="U22" i="27"/>
  <c r="U30" i="27"/>
  <c r="U38" i="27"/>
  <c r="U56" i="27"/>
  <c r="U64" i="27"/>
  <c r="U77" i="27"/>
  <c r="N25" i="27"/>
  <c r="N14" i="27"/>
  <c r="U79" i="27"/>
  <c r="U87" i="27"/>
  <c r="U95" i="27"/>
  <c r="U68" i="27"/>
  <c r="U76" i="27"/>
  <c r="U84" i="27"/>
  <c r="U92" i="27"/>
  <c r="N79" i="27"/>
  <c r="U29" i="27"/>
  <c r="U106" i="12"/>
  <c r="R6" i="12" s="1"/>
  <c r="M106" i="12"/>
  <c r="C6" i="12"/>
  <c r="I6" i="12" s="1"/>
  <c r="N6" i="12"/>
  <c r="U105" i="25"/>
  <c r="U102" i="27"/>
  <c r="U101" i="27"/>
  <c r="U103" i="25"/>
  <c r="U104" i="25"/>
  <c r="U100" i="27"/>
  <c r="U106" i="13"/>
  <c r="R6" i="13" s="1"/>
  <c r="H4" i="2" s="1"/>
  <c r="E64" i="27"/>
  <c r="M64" i="27" s="1"/>
  <c r="V106" i="17"/>
  <c r="E100" i="27"/>
  <c r="M100" i="27" s="1"/>
  <c r="E42" i="27"/>
  <c r="M42" i="27" s="1"/>
  <c r="E23" i="27"/>
  <c r="M23" i="27" s="1"/>
  <c r="E48" i="27"/>
  <c r="M48" i="27" s="1"/>
  <c r="E15" i="27"/>
  <c r="M15" i="27" s="1"/>
  <c r="E95" i="27"/>
  <c r="M95" i="27" s="1"/>
  <c r="E26" i="27"/>
  <c r="M26" i="27" s="1"/>
  <c r="E40" i="27"/>
  <c r="M40" i="27" s="1"/>
  <c r="E87" i="27"/>
  <c r="M87" i="27" s="1"/>
  <c r="C6" i="24"/>
  <c r="I6" i="24" s="1"/>
  <c r="G15" i="2"/>
  <c r="E15" i="2"/>
  <c r="E12" i="27"/>
  <c r="M12" i="27" s="1"/>
  <c r="E24" i="27"/>
  <c r="M24" i="27" s="1"/>
  <c r="V106" i="24"/>
  <c r="E31" i="27"/>
  <c r="M31" i="27" s="1"/>
  <c r="E63" i="27"/>
  <c r="M63" i="27" s="1"/>
  <c r="E96" i="27"/>
  <c r="M96" i="27" s="1"/>
  <c r="T65" i="27"/>
  <c r="V65" i="27" s="1"/>
  <c r="G14" i="2"/>
  <c r="E14" i="2"/>
  <c r="C6" i="23"/>
  <c r="I6" i="23" s="1"/>
  <c r="G13" i="2"/>
  <c r="R6" i="22"/>
  <c r="H13" i="2" s="1"/>
  <c r="E56" i="27"/>
  <c r="M56" i="27" s="1"/>
  <c r="E32" i="27"/>
  <c r="M32" i="27" s="1"/>
  <c r="E55" i="27"/>
  <c r="M55" i="27" s="1"/>
  <c r="T47" i="27"/>
  <c r="V47" i="27" s="1"/>
  <c r="T93" i="27"/>
  <c r="V93" i="27" s="1"/>
  <c r="E71" i="27"/>
  <c r="M71" i="27" s="1"/>
  <c r="O106" i="26"/>
  <c r="T15" i="27"/>
  <c r="V15" i="27" s="1"/>
  <c r="E16" i="27"/>
  <c r="M16" i="27" s="1"/>
  <c r="T61" i="27"/>
  <c r="V61" i="27" s="1"/>
  <c r="T98" i="27"/>
  <c r="V98" i="27" s="1"/>
  <c r="E14" i="27"/>
  <c r="M14" i="27" s="1"/>
  <c r="P106" i="26"/>
  <c r="T32" i="27"/>
  <c r="V32" i="27" s="1"/>
  <c r="E92" i="27"/>
  <c r="M92" i="27" s="1"/>
  <c r="Q3" i="26"/>
  <c r="T49" i="27"/>
  <c r="V49" i="27" s="1"/>
  <c r="T17" i="27"/>
  <c r="V17" i="27" s="1"/>
  <c r="T42" i="27"/>
  <c r="V42" i="27" s="1"/>
  <c r="T100" i="27"/>
  <c r="V100" i="27" s="1"/>
  <c r="E68" i="27"/>
  <c r="M68" i="27" s="1"/>
  <c r="R6" i="21"/>
  <c r="H12" i="2" s="1"/>
  <c r="T22" i="27"/>
  <c r="V22" i="27" s="1"/>
  <c r="T31" i="27"/>
  <c r="V31" i="27" s="1"/>
  <c r="E39" i="27"/>
  <c r="M39" i="27" s="1"/>
  <c r="E72" i="27"/>
  <c r="M72" i="27" s="1"/>
  <c r="E10" i="27"/>
  <c r="M10" i="27" s="1"/>
  <c r="T90" i="27"/>
  <c r="V90" i="27" s="1"/>
  <c r="T66" i="27"/>
  <c r="V66" i="27" s="1"/>
  <c r="E81" i="27"/>
  <c r="M81" i="27" s="1"/>
  <c r="E60" i="27"/>
  <c r="M60" i="27" s="1"/>
  <c r="T16" i="27"/>
  <c r="V16" i="27" s="1"/>
  <c r="T85" i="27"/>
  <c r="V85" i="27" s="1"/>
  <c r="T74" i="27"/>
  <c r="V74" i="27" s="1"/>
  <c r="T70" i="27"/>
  <c r="V70" i="27" s="1"/>
  <c r="R106" i="26"/>
  <c r="E88" i="27"/>
  <c r="M88" i="27" s="1"/>
  <c r="E47" i="27"/>
  <c r="M47" i="27" s="1"/>
  <c r="T29" i="27"/>
  <c r="V29" i="27" s="1"/>
  <c r="T28" i="27"/>
  <c r="V28" i="27" s="1"/>
  <c r="T92" i="27"/>
  <c r="V92" i="27" s="1"/>
  <c r="E78" i="27"/>
  <c r="M78" i="27" s="1"/>
  <c r="E79" i="27"/>
  <c r="M79" i="27" s="1"/>
  <c r="T88" i="27"/>
  <c r="V88" i="27" s="1"/>
  <c r="T54" i="27"/>
  <c r="V54" i="27" s="1"/>
  <c r="T87" i="27"/>
  <c r="V87" i="27" s="1"/>
  <c r="T20" i="27"/>
  <c r="V20" i="27" s="1"/>
  <c r="T44" i="27"/>
  <c r="V44" i="27" s="1"/>
  <c r="E18" i="27"/>
  <c r="M18" i="27" s="1"/>
  <c r="V106" i="19"/>
  <c r="T41" i="27"/>
  <c r="V41" i="27" s="1"/>
  <c r="T79" i="27"/>
  <c r="V79" i="27" s="1"/>
  <c r="E76" i="27"/>
  <c r="M76" i="27" s="1"/>
  <c r="C6" i="19"/>
  <c r="I6" i="19" s="1"/>
  <c r="T26" i="27"/>
  <c r="V26" i="27" s="1"/>
  <c r="T81" i="27"/>
  <c r="V81" i="27" s="1"/>
  <c r="T95" i="27"/>
  <c r="V95" i="27" s="1"/>
  <c r="F106" i="26"/>
  <c r="T84" i="27"/>
  <c r="V84" i="27" s="1"/>
  <c r="T18" i="27"/>
  <c r="V18" i="27" s="1"/>
  <c r="P104" i="27"/>
  <c r="T12" i="27"/>
  <c r="V12" i="27" s="1"/>
  <c r="T13" i="27"/>
  <c r="V13" i="27" s="1"/>
  <c r="T55" i="27"/>
  <c r="V55" i="27" s="1"/>
  <c r="T76" i="27"/>
  <c r="V76" i="27" s="1"/>
  <c r="T50" i="27"/>
  <c r="V50" i="27" s="1"/>
  <c r="T48" i="27"/>
  <c r="V48" i="27" s="1"/>
  <c r="T45" i="27"/>
  <c r="V45" i="27" s="1"/>
  <c r="T63" i="27"/>
  <c r="V63" i="27" s="1"/>
  <c r="P105" i="27"/>
  <c r="T72" i="27"/>
  <c r="V72" i="27" s="1"/>
  <c r="T69" i="27"/>
  <c r="V69" i="27" s="1"/>
  <c r="T51" i="27"/>
  <c r="V51" i="27" s="1"/>
  <c r="I106" i="26"/>
  <c r="T57" i="27"/>
  <c r="V57" i="27" s="1"/>
  <c r="T80" i="27"/>
  <c r="V80" i="27" s="1"/>
  <c r="T58" i="27"/>
  <c r="V58" i="27" s="1"/>
  <c r="T40" i="27"/>
  <c r="V40" i="27" s="1"/>
  <c r="P103" i="27"/>
  <c r="T82" i="27"/>
  <c r="V82" i="27" s="1"/>
  <c r="T73" i="27"/>
  <c r="V73" i="27" s="1"/>
  <c r="E73" i="27"/>
  <c r="M73" i="27" s="1"/>
  <c r="R105" i="27"/>
  <c r="T23" i="27"/>
  <c r="V23" i="27" s="1"/>
  <c r="T53" i="27"/>
  <c r="V53" i="27" s="1"/>
  <c r="E44" i="27"/>
  <c r="M44" i="27" s="1"/>
  <c r="R6" i="19"/>
  <c r="H10" i="2" s="1"/>
  <c r="T101" i="27"/>
  <c r="V101" i="27" s="1"/>
  <c r="G106" i="26"/>
  <c r="O104" i="27"/>
  <c r="T34" i="27"/>
  <c r="V34" i="27" s="1"/>
  <c r="E75" i="27"/>
  <c r="M75" i="27" s="1"/>
  <c r="E52" i="27"/>
  <c r="M52" i="27" s="1"/>
  <c r="T39" i="27"/>
  <c r="V39" i="27" s="1"/>
  <c r="T89" i="27"/>
  <c r="V89" i="27" s="1"/>
  <c r="T25" i="27"/>
  <c r="V25" i="27" s="1"/>
  <c r="T36" i="27"/>
  <c r="V36" i="27" s="1"/>
  <c r="T46" i="27"/>
  <c r="V46" i="27" s="1"/>
  <c r="T52" i="27"/>
  <c r="V52" i="27" s="1"/>
  <c r="T33" i="27"/>
  <c r="V33" i="27" s="1"/>
  <c r="T96" i="27"/>
  <c r="V96" i="27" s="1"/>
  <c r="T68" i="27"/>
  <c r="V68" i="27" s="1"/>
  <c r="T60" i="27"/>
  <c r="V60" i="27" s="1"/>
  <c r="T97" i="27"/>
  <c r="V97" i="27" s="1"/>
  <c r="E91" i="27"/>
  <c r="M91" i="27" s="1"/>
  <c r="V106" i="18"/>
  <c r="E17" i="27"/>
  <c r="M17" i="27" s="1"/>
  <c r="T35" i="27"/>
  <c r="V35" i="27" s="1"/>
  <c r="T10" i="27"/>
  <c r="V10" i="27" s="1"/>
  <c r="R6" i="18"/>
  <c r="H9" i="2" s="1"/>
  <c r="T19" i="27"/>
  <c r="V19" i="27" s="1"/>
  <c r="C6" i="16"/>
  <c r="I6" i="16" s="1"/>
  <c r="R103" i="27"/>
  <c r="T38" i="27"/>
  <c r="V38" i="27" s="1"/>
  <c r="E11" i="27"/>
  <c r="M11" i="27" s="1"/>
  <c r="E51" i="27"/>
  <c r="M51" i="27" s="1"/>
  <c r="E89" i="27"/>
  <c r="M89" i="27" s="1"/>
  <c r="E83" i="27"/>
  <c r="M83" i="27" s="1"/>
  <c r="O105" i="27"/>
  <c r="E94" i="27"/>
  <c r="M94" i="27" s="1"/>
  <c r="T94" i="27"/>
  <c r="V94" i="27" s="1"/>
  <c r="T105" i="25"/>
  <c r="V105" i="25" s="1"/>
  <c r="E35" i="27"/>
  <c r="M35" i="27" s="1"/>
  <c r="R104" i="27"/>
  <c r="R106" i="25"/>
  <c r="T37" i="27"/>
  <c r="V37" i="27" s="1"/>
  <c r="T71" i="27"/>
  <c r="V71" i="27" s="1"/>
  <c r="T102" i="27"/>
  <c r="V102" i="27" s="1"/>
  <c r="P106" i="25"/>
  <c r="O103" i="27"/>
  <c r="E34" i="27"/>
  <c r="M34" i="27" s="1"/>
  <c r="T104" i="25"/>
  <c r="V104" i="25" s="1"/>
  <c r="T21" i="27"/>
  <c r="V21" i="27" s="1"/>
  <c r="E27" i="27"/>
  <c r="M27" i="27" s="1"/>
  <c r="E43" i="27"/>
  <c r="M43" i="27" s="1"/>
  <c r="T77" i="27"/>
  <c r="V77" i="27" s="1"/>
  <c r="E20" i="27"/>
  <c r="M20" i="27" s="1"/>
  <c r="E46" i="27"/>
  <c r="M46" i="27" s="1"/>
  <c r="E57" i="27"/>
  <c r="M57" i="27" s="1"/>
  <c r="Q106" i="25"/>
  <c r="E67" i="27"/>
  <c r="M67" i="27" s="1"/>
  <c r="E65" i="27"/>
  <c r="M65" i="27" s="1"/>
  <c r="E28" i="27"/>
  <c r="M28" i="27" s="1"/>
  <c r="E19" i="27"/>
  <c r="M19" i="27" s="1"/>
  <c r="O106" i="25"/>
  <c r="T103" i="25"/>
  <c r="V103" i="25" s="1"/>
  <c r="E30" i="27"/>
  <c r="M30" i="27" s="1"/>
  <c r="T24" i="27"/>
  <c r="V24" i="27" s="1"/>
  <c r="V103" i="12"/>
  <c r="T106" i="12"/>
  <c r="V106" i="12" s="1"/>
  <c r="S106" i="26"/>
  <c r="L106" i="26"/>
  <c r="J106" i="26"/>
  <c r="E80" i="27"/>
  <c r="M80" i="27" s="1"/>
  <c r="K11" i="2"/>
  <c r="L11" i="2"/>
  <c r="E84" i="27"/>
  <c r="M84" i="27" s="1"/>
  <c r="C105" i="27"/>
  <c r="E62" i="27"/>
  <c r="M62" i="27" s="1"/>
  <c r="Q4" i="26"/>
  <c r="E104" i="26"/>
  <c r="M104" i="26" s="1"/>
  <c r="E99" i="27"/>
  <c r="M99" i="27" s="1"/>
  <c r="E36" i="27"/>
  <c r="M36" i="27" s="1"/>
  <c r="E50" i="27"/>
  <c r="M50" i="27" s="1"/>
  <c r="E97" i="27"/>
  <c r="M97" i="27" s="1"/>
  <c r="K10" i="2"/>
  <c r="L10" i="2"/>
  <c r="C106" i="26"/>
  <c r="N6" i="26" s="1"/>
  <c r="E103" i="26"/>
  <c r="M103" i="26" s="1"/>
  <c r="T83" i="27"/>
  <c r="V83" i="27" s="1"/>
  <c r="L103" i="27"/>
  <c r="K9" i="2"/>
  <c r="L9" i="2"/>
  <c r="E59" i="27"/>
  <c r="M59" i="27" s="1"/>
  <c r="F8" i="2"/>
  <c r="F13" i="2"/>
  <c r="C6" i="17"/>
  <c r="I6" i="17" s="1"/>
  <c r="T64" i="27"/>
  <c r="V64" i="27" s="1"/>
  <c r="L105" i="27"/>
  <c r="I105" i="27"/>
  <c r="K7" i="2"/>
  <c r="L7" i="2"/>
  <c r="F103" i="27"/>
  <c r="I103" i="27"/>
  <c r="E33" i="27"/>
  <c r="M33" i="27" s="1"/>
  <c r="E58" i="27"/>
  <c r="M58" i="27" s="1"/>
  <c r="E6" i="2"/>
  <c r="C6" i="15"/>
  <c r="I6" i="15" s="1"/>
  <c r="S105" i="27"/>
  <c r="G103" i="27"/>
  <c r="J105" i="27"/>
  <c r="F105" i="27"/>
  <c r="G105" i="27"/>
  <c r="G104" i="27"/>
  <c r="C6" i="14"/>
  <c r="I6" i="14" s="1"/>
  <c r="E5" i="2"/>
  <c r="S103" i="27"/>
  <c r="S104" i="27"/>
  <c r="T14" i="27"/>
  <c r="V14" i="27" s="1"/>
  <c r="T56" i="27"/>
  <c r="V56" i="27" s="1"/>
  <c r="S106" i="25"/>
  <c r="F106" i="25"/>
  <c r="L104" i="27"/>
  <c r="F104" i="27"/>
  <c r="L106" i="25"/>
  <c r="J106" i="25"/>
  <c r="Q3" i="25"/>
  <c r="G106" i="25"/>
  <c r="I104" i="27"/>
  <c r="J103" i="27"/>
  <c r="J104" i="27"/>
  <c r="I106" i="25"/>
  <c r="Q4" i="25"/>
  <c r="E90" i="27"/>
  <c r="M90" i="27" s="1"/>
  <c r="E66" i="27"/>
  <c r="M66" i="27" s="1"/>
  <c r="D105" i="27"/>
  <c r="E21" i="27"/>
  <c r="M21" i="27" s="1"/>
  <c r="E61" i="27"/>
  <c r="M61" i="27" s="1"/>
  <c r="E77" i="27"/>
  <c r="M77" i="27" s="1"/>
  <c r="E70" i="27"/>
  <c r="M70" i="27" s="1"/>
  <c r="E103" i="25"/>
  <c r="M103" i="25" s="1"/>
  <c r="C103" i="27"/>
  <c r="C106" i="25"/>
  <c r="E29" i="27"/>
  <c r="M29" i="27" s="1"/>
  <c r="E13" i="27"/>
  <c r="M13" i="27" s="1"/>
  <c r="E54" i="27"/>
  <c r="M54" i="27" s="1"/>
  <c r="E102" i="27"/>
  <c r="M102" i="27" s="1"/>
  <c r="E105" i="25"/>
  <c r="M105" i="25" s="1"/>
  <c r="E74" i="27"/>
  <c r="M74" i="27" s="1"/>
  <c r="E4" i="2"/>
  <c r="C6" i="13"/>
  <c r="I6" i="13" s="1"/>
  <c r="E45" i="27"/>
  <c r="M45" i="27" s="1"/>
  <c r="E101" i="27"/>
  <c r="M101" i="27" s="1"/>
  <c r="E104" i="25"/>
  <c r="M104" i="25" s="1"/>
  <c r="C104" i="27"/>
  <c r="E85" i="27"/>
  <c r="M85" i="27" s="1"/>
  <c r="E38" i="27"/>
  <c r="M38" i="27" s="1"/>
  <c r="E98" i="27"/>
  <c r="M98" i="27" s="1"/>
  <c r="E37" i="27"/>
  <c r="M37" i="27" s="1"/>
  <c r="E53" i="27"/>
  <c r="M53" i="27" s="1"/>
  <c r="E69" i="27"/>
  <c r="M69" i="27" s="1"/>
  <c r="E86" i="27"/>
  <c r="M86" i="27" s="1"/>
  <c r="E82" i="27"/>
  <c r="M82" i="27" s="1"/>
  <c r="D103" i="27"/>
  <c r="D106" i="25"/>
  <c r="E93" i="27"/>
  <c r="M93" i="27" s="1"/>
  <c r="E22" i="27"/>
  <c r="M22" i="27" s="1"/>
  <c r="T67" i="27"/>
  <c r="V67" i="27" s="1"/>
  <c r="T78" i="27"/>
  <c r="V78" i="27" s="1"/>
  <c r="T104" i="26"/>
  <c r="V104" i="26" s="1"/>
  <c r="T62" i="27"/>
  <c r="V62" i="27" s="1"/>
  <c r="Q104" i="27"/>
  <c r="T11" i="27"/>
  <c r="V11" i="27" s="1"/>
  <c r="T43" i="27"/>
  <c r="V43" i="27" s="1"/>
  <c r="T86" i="27"/>
  <c r="V86" i="27" s="1"/>
  <c r="T99" i="27"/>
  <c r="V99" i="27" s="1"/>
  <c r="T30" i="27"/>
  <c r="V30" i="27" s="1"/>
  <c r="T59" i="27"/>
  <c r="V59" i="27" s="1"/>
  <c r="T75" i="27"/>
  <c r="V75" i="27" s="1"/>
  <c r="T103" i="26"/>
  <c r="Q106" i="26"/>
  <c r="T91" i="27"/>
  <c r="V91" i="27" s="1"/>
  <c r="T27" i="27"/>
  <c r="V27" i="27" s="1"/>
  <c r="Q105" i="27"/>
  <c r="T105" i="26"/>
  <c r="V105" i="26" s="1"/>
  <c r="Q103" i="27"/>
  <c r="T106" i="26" l="1"/>
  <c r="U106" i="26"/>
  <c r="K12" i="2"/>
  <c r="L12" i="2"/>
  <c r="M106" i="26"/>
  <c r="N104" i="27"/>
  <c r="T106" i="25"/>
  <c r="V106" i="25" s="1"/>
  <c r="N103" i="27"/>
  <c r="M106" i="25"/>
  <c r="N105" i="27"/>
  <c r="N6" i="25"/>
  <c r="U106" i="25"/>
  <c r="R6" i="25" s="1"/>
  <c r="U105" i="27"/>
  <c r="U104" i="27"/>
  <c r="U103" i="27"/>
  <c r="L15" i="2"/>
  <c r="K15" i="2"/>
  <c r="L14" i="2"/>
  <c r="K14" i="2"/>
  <c r="P106" i="27"/>
  <c r="R106" i="27"/>
  <c r="O106" i="27"/>
  <c r="R6" i="26"/>
  <c r="C6" i="26"/>
  <c r="I6" i="26" s="1"/>
  <c r="L106" i="27"/>
  <c r="Q3" i="27"/>
  <c r="K13" i="2"/>
  <c r="L13" i="2"/>
  <c r="K8" i="2"/>
  <c r="L8" i="2"/>
  <c r="G106" i="27"/>
  <c r="I106" i="27"/>
  <c r="D106" i="27"/>
  <c r="L6" i="2"/>
  <c r="K6" i="2"/>
  <c r="F106" i="27"/>
  <c r="K5" i="2"/>
  <c r="L5" i="2"/>
  <c r="S106" i="27"/>
  <c r="J106" i="27"/>
  <c r="Q4" i="27"/>
  <c r="E105" i="27"/>
  <c r="M105" i="27" s="1"/>
  <c r="E104" i="27"/>
  <c r="M104" i="27" s="1"/>
  <c r="L4" i="2"/>
  <c r="K4" i="2"/>
  <c r="C6" i="25"/>
  <c r="I6" i="25" s="1"/>
  <c r="E103" i="27"/>
  <c r="M103" i="27" s="1"/>
  <c r="C106" i="27"/>
  <c r="V103" i="26"/>
  <c r="V106" i="26"/>
  <c r="T105" i="27"/>
  <c r="V105" i="27" s="1"/>
  <c r="T103" i="27"/>
  <c r="V103" i="27" s="1"/>
  <c r="Q106" i="27"/>
  <c r="T104" i="27"/>
  <c r="V104" i="27" s="1"/>
  <c r="N6" i="27" l="1"/>
  <c r="M106" i="27"/>
  <c r="T106" i="27"/>
  <c r="V106" i="27" s="1"/>
  <c r="U106" i="27"/>
  <c r="R6" i="27" s="1"/>
  <c r="C6" i="27"/>
  <c r="I6" i="2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C3" authorId="0" shapeId="0" xr:uid="{00000000-0006-0000-0100-000001000000}">
      <text>
        <r>
          <rPr>
            <sz val="14"/>
            <color indexed="81"/>
            <rFont val="Tahoma"/>
            <family val="2"/>
          </rPr>
          <t>ตามที่หน่วยงานกำหนด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C3" authorId="0" shapeId="0" xr:uid="{00000000-0006-0000-0200-000001000000}">
      <text>
        <r>
          <rPr>
            <sz val="14"/>
            <color indexed="81"/>
            <rFont val="Tahoma"/>
            <family val="2"/>
          </rPr>
          <t>ตามที่หน่วยงานกำหนด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C3" authorId="0" shapeId="0" xr:uid="{00000000-0006-0000-0300-000001000000}">
      <text>
        <r>
          <rPr>
            <sz val="14"/>
            <color indexed="81"/>
            <rFont val="Tahoma"/>
            <family val="2"/>
          </rPr>
          <t>ตามที่หน่วยงานกำหนด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C3" authorId="0" shapeId="0" xr:uid="{00000000-0006-0000-0400-000001000000}">
      <text>
        <r>
          <rPr>
            <sz val="14"/>
            <color indexed="81"/>
            <rFont val="Tahoma"/>
            <family val="2"/>
          </rPr>
          <t>ตามที่หน่วยงานกำหนด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C3" authorId="0" shapeId="0" xr:uid="{00000000-0006-0000-0500-000001000000}">
      <text>
        <r>
          <rPr>
            <sz val="14"/>
            <color indexed="81"/>
            <rFont val="Tahoma"/>
            <family val="2"/>
          </rPr>
          <t>ตามที่หน่วยงานกำหนด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C3" authorId="0" shapeId="0" xr:uid="{00000000-0006-0000-0600-000001000000}">
      <text>
        <r>
          <rPr>
            <sz val="14"/>
            <color indexed="81"/>
            <rFont val="Tahoma"/>
            <family val="2"/>
          </rPr>
          <t>ตามที่หน่วยงานกำหนด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C3" authorId="0" shapeId="0" xr:uid="{00000000-0006-0000-0700-000001000000}">
      <text>
        <r>
          <rPr>
            <sz val="14"/>
            <color indexed="81"/>
            <rFont val="Tahoma"/>
            <family val="2"/>
          </rPr>
          <t>ตามที่หน่วยงานกำหนด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C3" authorId="0" shapeId="0" xr:uid="{00000000-0006-0000-0800-000001000000}">
      <text>
        <r>
          <rPr>
            <sz val="14"/>
            <color indexed="81"/>
            <rFont val="Tahoma"/>
            <family val="2"/>
          </rPr>
          <t>ตามที่หน่วยงานกำหนด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C3" authorId="0" shapeId="0" xr:uid="{00000000-0006-0000-0900-000001000000}">
      <text>
        <r>
          <rPr>
            <sz val="14"/>
            <color indexed="81"/>
            <rFont val="Tahoma"/>
            <family val="2"/>
          </rPr>
          <t>ตามที่หน่วยงานกำหนด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C3" authorId="0" shapeId="0" xr:uid="{00000000-0006-0000-0A00-000001000000}">
      <text>
        <r>
          <rPr>
            <sz val="14"/>
            <color indexed="81"/>
            <rFont val="Tahoma"/>
            <family val="2"/>
          </rPr>
          <t>ตามที่หน่วยงานกำหนด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C3" authorId="0" shapeId="0" xr:uid="{00000000-0006-0000-0B00-000001000000}">
      <text>
        <r>
          <rPr>
            <sz val="14"/>
            <color indexed="81"/>
            <rFont val="Tahoma"/>
            <family val="2"/>
          </rPr>
          <t>ตามที่หน่วยงานกำหนด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C3" authorId="0" shapeId="0" xr:uid="{00000000-0006-0000-0C00-000001000000}">
      <text>
        <r>
          <rPr>
            <sz val="14"/>
            <color indexed="81"/>
            <rFont val="Tahoma"/>
            <family val="2"/>
          </rPr>
          <t>ตามที่หน่วยงานกำหนด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C3" authorId="0" shapeId="0" xr:uid="{00000000-0006-0000-0D00-000001000000}">
      <text>
        <r>
          <rPr>
            <sz val="14"/>
            <color indexed="81"/>
            <rFont val="Tahoma"/>
            <family val="2"/>
          </rPr>
          <t>ตามที่หน่วยงานกำหนด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C3" authorId="0" shapeId="0" xr:uid="{00000000-0006-0000-0E00-000001000000}">
      <text>
        <r>
          <rPr>
            <sz val="14"/>
            <color indexed="81"/>
            <rFont val="Tahoma"/>
            <family val="2"/>
          </rPr>
          <t>ตามที่หน่วยงานกำหนด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C3" authorId="0" shapeId="0" xr:uid="{00000000-0006-0000-0F00-000001000000}">
      <text>
        <r>
          <rPr>
            <sz val="14"/>
            <color indexed="81"/>
            <rFont val="Tahoma"/>
            <family val="2"/>
          </rPr>
          <t>ตามที่หน่วยงานกำหนด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C3" authorId="0" shapeId="0" xr:uid="{00000000-0006-0000-1000-000001000000}">
      <text>
        <r>
          <rPr>
            <sz val="14"/>
            <color indexed="81"/>
            <rFont val="Tahoma"/>
            <family val="2"/>
          </rPr>
          <t>ตามที่หน่วยงานกำหนด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<sst xmlns="http://schemas.openxmlformats.org/spreadsheetml/2006/main" count="2266" uniqueCount="82">
  <si>
    <t>คู่มือการใช้งานโปแกรมภาระงาน ใช้แทนโปรแกรม ตารางเวร</t>
  </si>
  <si>
    <t>NN  ผู้ป่วยแต่ละคน ICU,Sub-I= 12,อื่นๆ =4.5</t>
  </si>
  <si>
    <t>สัดส่วนภาระงานตามเวรสามารถแก้ไขได้</t>
  </si>
  <si>
    <t>ใส่จำนวนเจ้าหน้าที่ที่ปฏิบัติงานในเดือนนั้นๆโดยยกเว้นผู้ที่ลาคลอดหรือเรียนต่อที่ไม่มาทำงานทั้งเดือน</t>
  </si>
  <si>
    <t xml:space="preserve">จำนวนวันราชการในเดือนนี้ </t>
  </si>
  <si>
    <t>ยอดผู้ป่วยให้ใช้ยอดคงพยาบาลปลายเวร</t>
  </si>
  <si>
    <t>ประเภทผู้ป่วย ให้เอามาจากโปรแกรม ประเภทผู้ป่วยที่ลงทุกเวรอยู่แล้ว หลังจากเอางใน P4P แล้วเอามาลงที่นี่ด้วย</t>
  </si>
  <si>
    <r>
      <t>ยอดผู้ป่วย กับ ยอดรวมแต่ละประเภท</t>
    </r>
    <r>
      <rPr>
        <b/>
        <sz val="16"/>
        <color rgb="FFC00000"/>
        <rFont val="Angsana New"/>
        <family val="1"/>
      </rPr>
      <t xml:space="preserve"> </t>
    </r>
    <r>
      <rPr>
        <b/>
        <u/>
        <sz val="16"/>
        <color rgb="FFC00000"/>
        <rFont val="Angsana New"/>
        <family val="1"/>
      </rPr>
      <t>ต้องเท่ากัน</t>
    </r>
  </si>
  <si>
    <t>การคิด FTEรายวัน</t>
  </si>
  <si>
    <t>หอผู้ป่วย..............................ประจำเดือน........................พ.ศ.................</t>
  </si>
  <si>
    <t>NN ผู้ป่วยต่อคน</t>
  </si>
  <si>
    <t>สัดส่วนตามเวร</t>
  </si>
  <si>
    <t>N</t>
  </si>
  <si>
    <t>D</t>
  </si>
  <si>
    <t>E</t>
  </si>
  <si>
    <t>ค่าเวร</t>
  </si>
  <si>
    <t>บาท</t>
  </si>
  <si>
    <t>ค่าOT</t>
  </si>
  <si>
    <t>จำนวนพยาบาลมีจริงเดือนนี้</t>
  </si>
  <si>
    <t>คน</t>
  </si>
  <si>
    <t>จำนวนวันราชการเดือนนี้</t>
  </si>
  <si>
    <t>วัน</t>
  </si>
  <si>
    <t>ค่า OT เคมี</t>
  </si>
  <si>
    <t>จำนวนพยาบาลตามFTE</t>
  </si>
  <si>
    <t>ขาดเกิน</t>
  </si>
  <si>
    <t>product</t>
  </si>
  <si>
    <t>product ตามประเภท</t>
  </si>
  <si>
    <t>วันที่</t>
  </si>
  <si>
    <t>เวร</t>
  </si>
  <si>
    <t>ยอดผู้ป่วย</t>
  </si>
  <si>
    <t>FTE</t>
  </si>
  <si>
    <t>ขึ้นตามตารางเวร</t>
  </si>
  <si>
    <t>OT เสริม</t>
  </si>
  <si>
    <t xml:space="preserve"> -ขาด/+เกิน</t>
  </si>
  <si>
    <t>ประเภทผู้ป่วย</t>
  </si>
  <si>
    <t>รวม</t>
  </si>
  <si>
    <t>check ยอดกับประเภท</t>
  </si>
  <si>
    <t>ไม่ใช่ OT</t>
  </si>
  <si>
    <t>OT</t>
  </si>
  <si>
    <t>RN</t>
  </si>
  <si>
    <t>TN</t>
  </si>
  <si>
    <t>รวมทั้งเดือน</t>
  </si>
  <si>
    <t>เฉลี่ย</t>
  </si>
  <si>
    <t>เดือน</t>
  </si>
  <si>
    <t>พ.ย.</t>
  </si>
  <si>
    <t>ต.ค.</t>
  </si>
  <si>
    <t>ธ.ค.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</si>
  <si>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</si>
  <si>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</si>
  <si>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</si>
  <si>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</si>
  <si>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</si>
  <si>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</si>
  <si>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</si>
  <si>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</si>
  <si>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</si>
  <si>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วันนอน</t>
  </si>
  <si>
    <t>ใส่เครื่องช่วยหายใจ</t>
  </si>
  <si>
    <t>จน.พยาบาล</t>
  </si>
  <si>
    <t>ผลผลิตทางการพยาบาล</t>
  </si>
  <si>
    <t>กระทรวง</t>
  </si>
  <si>
    <t>ประเภท</t>
  </si>
  <si>
    <t>จน.ตียง</t>
  </si>
  <si>
    <t>อัตราครองเตียง</t>
  </si>
  <si>
    <t>คนไข้เฉลี่ยต่อวัน</t>
  </si>
  <si>
    <t>หอผู้ป่วย……...ประจำเดือน..............พ.ศ.................</t>
  </si>
  <si>
    <t>จน.วัน</t>
  </si>
  <si>
    <t xml:space="preserve">                                                                      </t>
  </si>
  <si>
    <t xml:space="preserve">RN </t>
  </si>
  <si>
    <t xml:space="preserve">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</si>
  <si>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</si>
  <si>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</t>
  </si>
  <si>
    <t xml:space="preserve">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</si>
  <si>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</t>
  </si>
  <si>
    <t>สรุปข้อมูลสถิติให้บริการและการบริหารอัตรากำลังประจำปี.........หอผู้ป่วย.............</t>
  </si>
  <si>
    <t xml:space="preserve"> </t>
  </si>
  <si>
    <t>PN</t>
  </si>
  <si>
    <t>sick new born</t>
  </si>
  <si>
    <t>NICU</t>
  </si>
  <si>
    <t>หอผู้ป่วยทารกวิกฤติประจำเดือนพฤศจิกายน.พ.ศ.2567</t>
  </si>
  <si>
    <t>หอผู้ป่วย…ทารกวิกฤต…...ประจำเดือน…ตุลาคม...........พ.ศ.....2567............</t>
  </si>
  <si>
    <t>หอผู้ป่วย…ทารกวิกฤต…...ประจำเดือน.....ธันวาคม.........พ.ศ....2567.............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</si>
</sst>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5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sz val="9"/>
      <color indexed="81"/>
      <name val="Tahoma"/>
      <family val="2"/>
    </font>
    <font>
      <sz val="14"/>
      <color indexed="81"/>
      <name val="Tahoma"/>
      <family val="2"/>
    </font>
    <font>
      <b/>
      <sz val="16"/>
      <color rgb="FFC00000"/>
      <name val="Angsana New"/>
      <family val="1"/>
    </font>
    <font>
      <b/>
      <sz val="16"/>
      <name val="Angsana New"/>
      <family val="1"/>
    </font>
    <font>
      <sz val="16"/>
      <name val="Angsana New"/>
      <family val="1"/>
    </font>
    <font>
      <b/>
      <u/>
      <sz val="16"/>
      <color rgb="FFC00000"/>
      <name val="Angsana New"/>
      <family val="1"/>
    </font>
    <font>
      <b/>
      <sz val="14"/>
      <name val="AngsanaUPC"/>
      <family val="1"/>
      <charset val="222"/>
    </font>
    <font>
      <b/>
      <sz val="14"/>
      <color rgb="FFFF0000"/>
      <name val="AngsanaUPC"/>
      <family val="1"/>
      <charset val="222"/>
    </font>
    <font>
      <sz val="14"/>
      <name val="Cordia New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43" fontId="2" fillId="2" borderId="1" xfId="1" applyFont="1" applyFill="1" applyBorder="1" applyAlignment="1" applyProtection="1">
      <alignment horizontal="center" vertical="center" wrapText="1"/>
    </xf>
    <xf numFmtId="43" fontId="2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>
      <alignment vertical="center" wrapText="1"/>
    </xf>
    <xf numFmtId="9" fontId="3" fillId="0" borderId="0" xfId="0" applyNumberFormat="1" applyFont="1" applyAlignment="1" applyProtection="1">
      <alignment vertical="center" wrapText="1"/>
      <protection locked="0"/>
    </xf>
    <xf numFmtId="0" fontId="3" fillId="0" borderId="0" xfId="0" applyFont="1" applyAlignment="1">
      <alignment horizontal="center" vertical="center" wrapText="1"/>
    </xf>
    <xf numFmtId="9" fontId="3" fillId="0" borderId="0" xfId="0" applyNumberFormat="1" applyFont="1" applyAlignment="1" applyProtection="1">
      <alignment horizontal="center" vertical="center" wrapText="1"/>
      <protection locked="0"/>
    </xf>
    <xf numFmtId="43" fontId="3" fillId="0" borderId="0" xfId="1" applyFont="1" applyFill="1" applyBorder="1" applyAlignment="1" applyProtection="1">
      <alignment horizontal="center" vertical="center" wrapText="1"/>
    </xf>
    <xf numFmtId="9" fontId="6" fillId="0" borderId="0" xfId="0" applyNumberFormat="1" applyFont="1" applyAlignment="1" applyProtection="1">
      <alignment horizontal="center" vertical="center" wrapText="1"/>
      <protection locked="0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 applyProtection="1">
      <alignment horizontal="center" vertical="center" wrapText="1"/>
      <protection locked="0"/>
    </xf>
    <xf numFmtId="43" fontId="2" fillId="0" borderId="0" xfId="1" applyFont="1" applyFill="1" applyBorder="1" applyAlignment="1" applyProtection="1">
      <alignment horizontal="center" vertical="center" wrapText="1"/>
    </xf>
    <xf numFmtId="43" fontId="2" fillId="0" borderId="0" xfId="0" applyNumberFormat="1" applyFont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vertical="center" wrapText="1"/>
      <protection locked="0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center" wrapText="1"/>
    </xf>
    <xf numFmtId="43" fontId="2" fillId="0" borderId="1" xfId="1" applyFont="1" applyBorder="1" applyAlignment="1" applyProtection="1">
      <alignment horizontal="center" vertical="center" wrapText="1"/>
    </xf>
    <xf numFmtId="0" fontId="2" fillId="7" borderId="1" xfId="0" applyFont="1" applyFill="1" applyBorder="1" applyAlignment="1" applyProtection="1">
      <alignment horizontal="center" vertical="center" wrapText="1"/>
      <protection locked="0"/>
    </xf>
    <xf numFmtId="43" fontId="7" fillId="8" borderId="1" xfId="1" applyFont="1" applyFill="1" applyBorder="1" applyAlignment="1" applyProtection="1">
      <alignment horizontal="center" vertical="center" wrapText="1"/>
    </xf>
    <xf numFmtId="43" fontId="8" fillId="8" borderId="1" xfId="1" applyFont="1" applyFill="1" applyBorder="1" applyAlignment="1" applyProtection="1">
      <alignment horizontal="center" vertical="center" wrapText="1"/>
    </xf>
    <xf numFmtId="43" fontId="2" fillId="7" borderId="1" xfId="1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9" fontId="3" fillId="0" borderId="2" xfId="0" applyNumberFormat="1" applyFont="1" applyBorder="1" applyAlignment="1" applyProtection="1">
      <alignment horizontal="left"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43" fontId="2" fillId="7" borderId="1" xfId="1" applyFont="1" applyFill="1" applyBorder="1" applyAlignment="1" applyProtection="1">
      <alignment horizontal="center" vertical="center" wrapText="1"/>
      <protection locked="0"/>
    </xf>
    <xf numFmtId="164" fontId="2" fillId="0" borderId="1" xfId="1" applyNumberFormat="1" applyFont="1" applyBorder="1" applyAlignment="1" applyProtection="1">
      <alignment horizontal="center" vertical="center" wrapText="1"/>
    </xf>
    <xf numFmtId="0" fontId="13" fillId="0" borderId="1" xfId="0" applyFont="1" applyBorder="1" applyAlignment="1" applyProtection="1">
      <alignment horizontal="center" vertical="center" wrapText="1"/>
      <protection locked="0"/>
    </xf>
    <xf numFmtId="43" fontId="13" fillId="0" borderId="1" xfId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 applyProtection="1">
      <alignment horizontal="center" vertical="center" wrapText="1"/>
      <protection locked="0"/>
    </xf>
    <xf numFmtId="43" fontId="13" fillId="0" borderId="0" xfId="1" applyFont="1" applyFill="1" applyBorder="1" applyAlignment="1" applyProtection="1">
      <alignment horizontal="center" vertical="center" wrapText="1"/>
    </xf>
    <xf numFmtId="0" fontId="13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0" fontId="13" fillId="0" borderId="1" xfId="0" applyFont="1" applyBorder="1" applyAlignment="1">
      <alignment wrapText="1"/>
    </xf>
    <xf numFmtId="43" fontId="13" fillId="0" borderId="1" xfId="0" applyNumberFormat="1" applyFont="1" applyBorder="1" applyAlignment="1" applyProtection="1">
      <alignment horizontal="center" vertical="center" wrapText="1"/>
      <protection locked="0"/>
    </xf>
    <xf numFmtId="43" fontId="13" fillId="9" borderId="1" xfId="0" applyNumberFormat="1" applyFont="1" applyFill="1" applyBorder="1" applyAlignment="1">
      <alignment wrapText="1"/>
    </xf>
    <xf numFmtId="43" fontId="13" fillId="10" borderId="1" xfId="0" applyNumberFormat="1" applyFont="1" applyFill="1" applyBorder="1" applyAlignment="1">
      <alignment wrapText="1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164" fontId="2" fillId="7" borderId="1" xfId="1" applyNumberFormat="1" applyFont="1" applyFill="1" applyBorder="1" applyAlignment="1" applyProtection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43" fontId="2" fillId="0" borderId="1" xfId="1" applyFont="1" applyFill="1" applyBorder="1" applyAlignment="1" applyProtection="1">
      <alignment horizontal="center" vertical="center" wrapText="1"/>
    </xf>
    <xf numFmtId="0" fontId="2" fillId="7" borderId="2" xfId="0" applyFont="1" applyFill="1" applyBorder="1" applyAlignment="1" applyProtection="1">
      <alignment vertical="center" wrapText="1"/>
      <protection locked="0"/>
    </xf>
    <xf numFmtId="0" fontId="2" fillId="7" borderId="3" xfId="0" applyFont="1" applyFill="1" applyBorder="1" applyAlignment="1" applyProtection="1">
      <alignment vertical="center" wrapText="1"/>
      <protection locked="0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3" fontId="7" fillId="8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3" fontId="3" fillId="4" borderId="2" xfId="1" applyFont="1" applyFill="1" applyBorder="1" applyAlignment="1" applyProtection="1">
      <alignment horizontal="center" vertical="center" wrapText="1"/>
    </xf>
    <xf numFmtId="43" fontId="3" fillId="4" borderId="4" xfId="1" applyFont="1" applyFill="1" applyBorder="1" applyAlignment="1" applyProtection="1">
      <alignment horizontal="center" vertical="center" wrapText="1"/>
    </xf>
    <xf numFmtId="43" fontId="3" fillId="4" borderId="3" xfId="1" applyFont="1" applyFill="1" applyBorder="1" applyAlignment="1" applyProtection="1">
      <alignment horizontal="center" vertical="center" wrapText="1"/>
    </xf>
    <xf numFmtId="9" fontId="6" fillId="0" borderId="2" xfId="0" applyNumberFormat="1" applyFont="1" applyBorder="1" applyAlignment="1" applyProtection="1">
      <alignment horizontal="center" vertical="center" wrapText="1"/>
      <protection locked="0"/>
    </xf>
    <xf numFmtId="9" fontId="6" fillId="0" borderId="4" xfId="0" applyNumberFormat="1" applyFont="1" applyBorder="1" applyAlignment="1" applyProtection="1">
      <alignment horizontal="center" vertical="center" wrapText="1"/>
      <protection locked="0"/>
    </xf>
    <xf numFmtId="9" fontId="6" fillId="0" borderId="3" xfId="0" applyNumberFormat="1" applyFont="1" applyBorder="1" applyAlignment="1" applyProtection="1">
      <alignment horizontal="center" vertical="center" wrapText="1"/>
      <protection locked="0"/>
    </xf>
    <xf numFmtId="0" fontId="2" fillId="7" borderId="10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8" fillId="8" borderId="1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>
      <alignment horizontal="center" vertical="center" wrapText="1"/>
    </xf>
    <xf numFmtId="9" fontId="3" fillId="0" borderId="1" xfId="0" applyNumberFormat="1" applyFont="1" applyBorder="1" applyAlignment="1" applyProtection="1">
      <alignment horizontal="center" vertical="center" wrapText="1"/>
      <protection locked="0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9" fontId="3" fillId="0" borderId="4" xfId="0" applyNumberFormat="1" applyFont="1" applyBorder="1" applyAlignment="1" applyProtection="1">
      <alignment horizontal="center" vertical="center" wrapText="1"/>
      <protection locked="0"/>
    </xf>
    <xf numFmtId="9" fontId="3" fillId="0" borderId="3" xfId="0" applyNumberFormat="1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7" borderId="5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43" fontId="3" fillId="2" borderId="2" xfId="1" applyFont="1" applyFill="1" applyBorder="1" applyAlignment="1" applyProtection="1">
      <alignment horizontal="center" vertical="center" wrapText="1"/>
    </xf>
    <xf numFmtId="43" fontId="3" fillId="2" borderId="3" xfId="1" applyFont="1" applyFill="1" applyBorder="1" applyAlignment="1" applyProtection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9" fontId="3" fillId="0" borderId="2" xfId="0" applyNumberFormat="1" applyFont="1" applyBorder="1" applyAlignment="1" applyProtection="1">
      <alignment horizontal="center" vertical="center" wrapText="1"/>
      <protection locked="0"/>
    </xf>
    <xf numFmtId="164" fontId="2" fillId="0" borderId="1" xfId="1" applyNumberFormat="1" applyFont="1" applyBorder="1" applyAlignment="1" applyProtection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43" fontId="3" fillId="4" borderId="1" xfId="1" applyFont="1" applyFill="1" applyBorder="1" applyAlignment="1" applyProtection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43" fontId="2" fillId="7" borderId="2" xfId="1" applyFont="1" applyFill="1" applyBorder="1" applyAlignment="1" applyProtection="1">
      <alignment horizontal="center" vertical="center" wrapText="1"/>
      <protection locked="0"/>
    </xf>
    <xf numFmtId="43" fontId="2" fillId="7" borderId="3" xfId="1" applyFont="1" applyFill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wrapText="1"/>
    </xf>
    <xf numFmtId="0" fontId="13" fillId="9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J107"/>
  <sheetViews>
    <sheetView zoomScale="130" zoomScaleNormal="130" workbookViewId="0">
      <selection activeCell="B10" sqref="B10"/>
    </sheetView>
  </sheetViews>
  <sheetFormatPr defaultColWidth="7.109375" defaultRowHeight="23.4"/>
  <cols>
    <col min="1" max="1" width="1.77734375" style="2" bestFit="1" customWidth="1"/>
    <col min="2" max="2" width="79.6640625" style="2" customWidth="1"/>
    <col min="3" max="16384" width="7.109375" style="2"/>
  </cols>
  <sheetData>
    <row r="1" spans="1:10">
      <c r="B1" s="20" t="s">
        <v>0</v>
      </c>
      <c r="C1" s="8"/>
      <c r="D1" s="8"/>
      <c r="E1" s="8"/>
      <c r="F1" s="8"/>
      <c r="G1" s="8"/>
      <c r="H1" s="8"/>
      <c r="I1" s="8"/>
      <c r="J1" s="8"/>
    </row>
    <row r="2" spans="1:10">
      <c r="B2" s="20"/>
      <c r="C2" s="8"/>
      <c r="D2" s="8"/>
      <c r="E2" s="8"/>
      <c r="F2" s="8"/>
      <c r="G2" s="8"/>
      <c r="H2" s="8"/>
      <c r="I2" s="8"/>
      <c r="J2" s="8"/>
    </row>
    <row r="3" spans="1:10">
      <c r="A3" s="7">
        <v>1</v>
      </c>
      <c r="B3" s="21" t="s">
        <v>1</v>
      </c>
      <c r="C3" s="8"/>
      <c r="D3" s="8"/>
      <c r="E3" s="8"/>
      <c r="F3" s="8"/>
      <c r="G3" s="8"/>
      <c r="H3" s="8"/>
      <c r="I3" s="8"/>
      <c r="J3" s="8"/>
    </row>
    <row r="4" spans="1:10">
      <c r="A4" s="7">
        <v>2</v>
      </c>
      <c r="B4" s="21" t="s">
        <v>2</v>
      </c>
      <c r="C4" s="8"/>
      <c r="D4" s="8"/>
      <c r="E4" s="8"/>
      <c r="F4" s="8"/>
      <c r="G4" s="8"/>
      <c r="H4" s="8"/>
      <c r="I4" s="8"/>
      <c r="J4" s="8"/>
    </row>
    <row r="5" spans="1:10" ht="46.8">
      <c r="A5" s="7">
        <v>3</v>
      </c>
      <c r="B5" s="21" t="s">
        <v>3</v>
      </c>
      <c r="C5" s="8"/>
      <c r="D5" s="8"/>
      <c r="E5" s="8"/>
      <c r="F5" s="8"/>
      <c r="G5" s="8"/>
      <c r="H5" s="8"/>
      <c r="I5" s="8"/>
      <c r="J5" s="8"/>
    </row>
    <row r="6" spans="1:10">
      <c r="A6" s="7">
        <v>4</v>
      </c>
      <c r="B6" s="22" t="s">
        <v>4</v>
      </c>
      <c r="C6" s="8"/>
      <c r="D6" s="9"/>
      <c r="E6" s="9"/>
      <c r="F6" s="9"/>
      <c r="G6" s="9"/>
      <c r="H6" s="9"/>
      <c r="I6" s="9"/>
    </row>
    <row r="7" spans="1:10">
      <c r="A7" s="7">
        <v>5</v>
      </c>
      <c r="B7" s="22" t="s">
        <v>5</v>
      </c>
      <c r="C7" s="8"/>
      <c r="D7" s="9"/>
      <c r="E7" s="10"/>
      <c r="F7" s="10"/>
      <c r="G7" s="10"/>
      <c r="H7" s="10"/>
      <c r="I7" s="10"/>
      <c r="J7" s="10"/>
    </row>
    <row r="8" spans="1:10" ht="46.8">
      <c r="A8" s="23">
        <v>6</v>
      </c>
      <c r="B8" s="21" t="s">
        <v>6</v>
      </c>
      <c r="C8" s="8"/>
      <c r="D8" s="11"/>
      <c r="E8" s="12"/>
      <c r="F8" s="10"/>
      <c r="G8" s="10"/>
      <c r="H8" s="10"/>
      <c r="I8" s="11"/>
      <c r="J8" s="11"/>
    </row>
    <row r="9" spans="1:10">
      <c r="B9" s="8" t="s">
        <v>7</v>
      </c>
      <c r="C9" s="8"/>
      <c r="D9" s="13"/>
      <c r="E9" s="12"/>
      <c r="F9" s="14"/>
      <c r="G9" s="11"/>
      <c r="H9" s="12"/>
      <c r="I9" s="15"/>
      <c r="J9" s="13"/>
    </row>
    <row r="10" spans="1:10">
      <c r="B10" s="9"/>
      <c r="C10" s="9"/>
      <c r="D10" s="9"/>
      <c r="E10" s="9"/>
      <c r="F10" s="9"/>
      <c r="G10" s="9"/>
      <c r="H10" s="9"/>
      <c r="I10" s="9"/>
      <c r="J10" s="9"/>
    </row>
    <row r="11" spans="1:10">
      <c r="B11" s="9"/>
      <c r="C11" s="9"/>
      <c r="D11" s="9"/>
      <c r="E11" s="9"/>
      <c r="F11" s="11"/>
      <c r="G11" s="11"/>
      <c r="H11" s="9"/>
      <c r="I11" s="9"/>
      <c r="J11" s="9"/>
    </row>
    <row r="12" spans="1:10">
      <c r="B12" s="16"/>
      <c r="D12" s="17"/>
      <c r="E12" s="18"/>
      <c r="F12" s="17"/>
      <c r="G12" s="17"/>
      <c r="H12" s="17"/>
      <c r="I12" s="19"/>
      <c r="J12" s="18"/>
    </row>
    <row r="13" spans="1:10">
      <c r="B13" s="16"/>
      <c r="D13" s="17"/>
      <c r="E13" s="18"/>
      <c r="F13" s="17"/>
      <c r="G13" s="17"/>
      <c r="H13" s="17"/>
      <c r="I13" s="19"/>
      <c r="J13" s="18"/>
    </row>
    <row r="14" spans="1:10">
      <c r="B14" s="16"/>
      <c r="D14" s="17"/>
      <c r="E14" s="18"/>
      <c r="F14" s="17"/>
      <c r="G14" s="17"/>
      <c r="H14" s="17"/>
      <c r="I14" s="19"/>
      <c r="J14" s="18"/>
    </row>
    <row r="15" spans="1:10">
      <c r="B15" s="16"/>
      <c r="D15" s="17"/>
      <c r="E15" s="18"/>
      <c r="F15" s="17"/>
      <c r="G15" s="17"/>
      <c r="H15" s="17"/>
      <c r="I15" s="19"/>
      <c r="J15" s="18"/>
    </row>
    <row r="16" spans="1:10">
      <c r="B16" s="16"/>
      <c r="D16" s="17"/>
      <c r="E16" s="18"/>
      <c r="F16" s="17"/>
      <c r="G16" s="17"/>
      <c r="H16" s="17"/>
      <c r="I16" s="19"/>
      <c r="J16" s="18"/>
    </row>
    <row r="17" spans="2:10">
      <c r="B17" s="16"/>
      <c r="D17" s="17"/>
      <c r="E17" s="18"/>
      <c r="F17" s="17"/>
      <c r="G17" s="17"/>
      <c r="H17" s="17"/>
      <c r="I17" s="19"/>
      <c r="J17" s="18"/>
    </row>
    <row r="18" spans="2:10">
      <c r="B18" s="16"/>
      <c r="D18" s="17"/>
      <c r="E18" s="18"/>
      <c r="F18" s="17"/>
      <c r="G18" s="17"/>
      <c r="H18" s="17"/>
      <c r="I18" s="19"/>
      <c r="J18" s="18"/>
    </row>
    <row r="19" spans="2:10">
      <c r="B19" s="16"/>
      <c r="D19" s="17"/>
      <c r="E19" s="18"/>
      <c r="F19" s="17"/>
      <c r="G19" s="17"/>
      <c r="H19" s="17"/>
      <c r="I19" s="19"/>
      <c r="J19" s="18"/>
    </row>
    <row r="20" spans="2:10">
      <c r="B20" s="16"/>
      <c r="D20" s="17"/>
      <c r="E20" s="18"/>
      <c r="F20" s="17"/>
      <c r="G20" s="17"/>
      <c r="H20" s="17"/>
      <c r="I20" s="19"/>
      <c r="J20" s="18"/>
    </row>
    <row r="21" spans="2:10">
      <c r="B21" s="16"/>
      <c r="D21" s="17"/>
      <c r="E21" s="18"/>
      <c r="F21" s="17"/>
      <c r="G21" s="17"/>
      <c r="H21" s="17"/>
      <c r="I21" s="19"/>
      <c r="J21" s="18"/>
    </row>
    <row r="22" spans="2:10">
      <c r="B22" s="16"/>
      <c r="D22" s="17"/>
      <c r="E22" s="18"/>
      <c r="F22" s="17"/>
      <c r="G22" s="17"/>
      <c r="H22" s="17"/>
      <c r="I22" s="19"/>
      <c r="J22" s="18"/>
    </row>
    <row r="23" spans="2:10">
      <c r="B23" s="16"/>
      <c r="D23" s="17"/>
      <c r="E23" s="18"/>
      <c r="F23" s="17"/>
      <c r="G23" s="17"/>
      <c r="H23" s="17"/>
      <c r="I23" s="19"/>
      <c r="J23" s="18"/>
    </row>
    <row r="24" spans="2:10">
      <c r="B24" s="16"/>
      <c r="D24" s="17"/>
      <c r="E24" s="18"/>
      <c r="F24" s="17"/>
      <c r="G24" s="17"/>
      <c r="H24" s="17"/>
      <c r="I24" s="19"/>
      <c r="J24" s="18"/>
    </row>
    <row r="25" spans="2:10">
      <c r="B25" s="16"/>
      <c r="D25" s="17"/>
      <c r="E25" s="18"/>
      <c r="F25" s="17"/>
      <c r="G25" s="17"/>
      <c r="H25" s="17"/>
      <c r="I25" s="19"/>
      <c r="J25" s="18"/>
    </row>
    <row r="26" spans="2:10">
      <c r="B26" s="16"/>
      <c r="D26" s="17"/>
      <c r="E26" s="18"/>
      <c r="F26" s="17"/>
      <c r="G26" s="17"/>
      <c r="H26" s="17"/>
      <c r="I26" s="19"/>
      <c r="J26" s="18"/>
    </row>
    <row r="27" spans="2:10">
      <c r="B27" s="16"/>
      <c r="D27" s="17"/>
      <c r="E27" s="18"/>
      <c r="F27" s="17"/>
      <c r="G27" s="17"/>
      <c r="H27" s="17"/>
      <c r="I27" s="19"/>
      <c r="J27" s="18"/>
    </row>
    <row r="28" spans="2:10">
      <c r="B28" s="16"/>
      <c r="D28" s="17"/>
      <c r="E28" s="18"/>
      <c r="F28" s="17"/>
      <c r="G28" s="17"/>
      <c r="H28" s="17"/>
      <c r="I28" s="19"/>
      <c r="J28" s="18"/>
    </row>
    <row r="29" spans="2:10">
      <c r="B29" s="16"/>
      <c r="D29" s="17"/>
      <c r="E29" s="18"/>
      <c r="F29" s="17"/>
      <c r="G29" s="17"/>
      <c r="H29" s="17"/>
      <c r="I29" s="19"/>
      <c r="J29" s="18"/>
    </row>
    <row r="30" spans="2:10">
      <c r="B30" s="16"/>
      <c r="D30" s="17"/>
      <c r="E30" s="18"/>
      <c r="F30" s="17"/>
      <c r="G30" s="17"/>
      <c r="H30" s="17"/>
      <c r="I30" s="19"/>
      <c r="J30" s="18"/>
    </row>
    <row r="31" spans="2:10">
      <c r="B31" s="16"/>
      <c r="D31" s="17"/>
      <c r="E31" s="18"/>
      <c r="F31" s="17"/>
      <c r="G31" s="17"/>
      <c r="H31" s="17"/>
      <c r="I31" s="19"/>
      <c r="J31" s="18"/>
    </row>
    <row r="32" spans="2:10">
      <c r="B32" s="16"/>
      <c r="D32" s="17"/>
      <c r="E32" s="18"/>
      <c r="F32" s="17"/>
      <c r="G32" s="17"/>
      <c r="H32" s="17"/>
      <c r="I32" s="19"/>
      <c r="J32" s="18"/>
    </row>
    <row r="33" spans="2:10">
      <c r="B33" s="16"/>
      <c r="D33" s="17"/>
      <c r="E33" s="18"/>
      <c r="F33" s="17"/>
      <c r="G33" s="17"/>
      <c r="H33" s="17"/>
      <c r="I33" s="19"/>
      <c r="J33" s="18"/>
    </row>
    <row r="34" spans="2:10">
      <c r="B34" s="16"/>
      <c r="D34" s="17"/>
      <c r="E34" s="18"/>
      <c r="F34" s="17"/>
      <c r="G34" s="17"/>
      <c r="H34" s="17"/>
      <c r="I34" s="19"/>
      <c r="J34" s="18"/>
    </row>
    <row r="35" spans="2:10">
      <c r="B35" s="16"/>
      <c r="D35" s="17"/>
      <c r="E35" s="18"/>
      <c r="F35" s="17"/>
      <c r="G35" s="17"/>
      <c r="H35" s="17"/>
      <c r="I35" s="19"/>
      <c r="J35" s="18"/>
    </row>
    <row r="36" spans="2:10">
      <c r="B36" s="16"/>
      <c r="D36" s="17"/>
      <c r="E36" s="18"/>
      <c r="F36" s="17"/>
      <c r="G36" s="17"/>
      <c r="H36" s="17"/>
      <c r="I36" s="19"/>
      <c r="J36" s="18"/>
    </row>
    <row r="37" spans="2:10">
      <c r="B37" s="16"/>
      <c r="D37" s="17"/>
      <c r="E37" s="18"/>
      <c r="F37" s="17"/>
      <c r="G37" s="17"/>
      <c r="H37" s="17"/>
      <c r="I37" s="19"/>
      <c r="J37" s="18"/>
    </row>
    <row r="38" spans="2:10">
      <c r="B38" s="16"/>
      <c r="D38" s="17"/>
      <c r="E38" s="18"/>
      <c r="F38" s="17"/>
      <c r="G38" s="17"/>
      <c r="H38" s="17"/>
      <c r="I38" s="19"/>
      <c r="J38" s="18"/>
    </row>
    <row r="39" spans="2:10">
      <c r="B39" s="16"/>
      <c r="D39" s="17"/>
      <c r="E39" s="18"/>
      <c r="F39" s="17"/>
      <c r="G39" s="17"/>
      <c r="H39" s="17"/>
      <c r="I39" s="19"/>
      <c r="J39" s="18"/>
    </row>
    <row r="40" spans="2:10">
      <c r="B40" s="16"/>
      <c r="D40" s="17"/>
      <c r="E40" s="18"/>
      <c r="F40" s="17"/>
      <c r="G40" s="17"/>
      <c r="H40" s="17"/>
      <c r="I40" s="19"/>
      <c r="J40" s="18"/>
    </row>
    <row r="41" spans="2:10">
      <c r="B41" s="16"/>
      <c r="D41" s="17"/>
      <c r="E41" s="18"/>
      <c r="F41" s="17"/>
      <c r="G41" s="17"/>
      <c r="H41" s="17"/>
      <c r="I41" s="19"/>
      <c r="J41" s="18"/>
    </row>
    <row r="42" spans="2:10">
      <c r="B42" s="16"/>
      <c r="D42" s="17"/>
      <c r="E42" s="18"/>
      <c r="F42" s="17"/>
      <c r="G42" s="17"/>
      <c r="H42" s="17"/>
      <c r="I42" s="19"/>
      <c r="J42" s="18"/>
    </row>
    <row r="43" spans="2:10">
      <c r="B43" s="16"/>
      <c r="D43" s="17"/>
      <c r="E43" s="18"/>
      <c r="F43" s="17"/>
      <c r="G43" s="17"/>
      <c r="H43" s="17"/>
      <c r="I43" s="19"/>
      <c r="J43" s="18"/>
    </row>
    <row r="44" spans="2:10">
      <c r="B44" s="16"/>
      <c r="D44" s="17"/>
      <c r="E44" s="18"/>
      <c r="F44" s="17"/>
      <c r="G44" s="17"/>
      <c r="H44" s="17"/>
      <c r="I44" s="19"/>
      <c r="J44" s="18"/>
    </row>
    <row r="45" spans="2:10">
      <c r="B45" s="16"/>
      <c r="D45" s="17"/>
      <c r="E45" s="18"/>
      <c r="F45" s="17"/>
      <c r="G45" s="17"/>
      <c r="H45" s="17"/>
      <c r="I45" s="19"/>
      <c r="J45" s="18"/>
    </row>
    <row r="46" spans="2:10">
      <c r="B46" s="16"/>
      <c r="D46" s="17"/>
      <c r="E46" s="18"/>
      <c r="F46" s="17"/>
      <c r="G46" s="17"/>
      <c r="H46" s="17"/>
      <c r="I46" s="19"/>
      <c r="J46" s="18"/>
    </row>
    <row r="47" spans="2:10">
      <c r="B47" s="16"/>
      <c r="D47" s="17"/>
      <c r="E47" s="18"/>
      <c r="F47" s="17"/>
      <c r="G47" s="17"/>
      <c r="H47" s="17"/>
      <c r="I47" s="19"/>
      <c r="J47" s="18"/>
    </row>
    <row r="48" spans="2:10">
      <c r="B48" s="16"/>
      <c r="D48" s="17"/>
      <c r="E48" s="18"/>
      <c r="F48" s="17"/>
      <c r="G48" s="17"/>
      <c r="H48" s="17"/>
      <c r="I48" s="19"/>
      <c r="J48" s="18"/>
    </row>
    <row r="49" spans="2:10">
      <c r="B49" s="16"/>
      <c r="D49" s="17"/>
      <c r="E49" s="18"/>
      <c r="F49" s="17"/>
      <c r="G49" s="17"/>
      <c r="H49" s="17"/>
      <c r="I49" s="19"/>
      <c r="J49" s="18"/>
    </row>
    <row r="50" spans="2:10">
      <c r="B50" s="16"/>
      <c r="D50" s="17"/>
      <c r="E50" s="18"/>
      <c r="F50" s="17"/>
      <c r="G50" s="17"/>
      <c r="H50" s="17"/>
      <c r="I50" s="19"/>
      <c r="J50" s="18"/>
    </row>
    <row r="51" spans="2:10">
      <c r="B51" s="16"/>
      <c r="D51" s="17"/>
      <c r="E51" s="18"/>
      <c r="F51" s="17"/>
      <c r="G51" s="17"/>
      <c r="H51" s="17"/>
      <c r="I51" s="19"/>
      <c r="J51" s="18"/>
    </row>
    <row r="52" spans="2:10">
      <c r="B52" s="16"/>
      <c r="D52" s="17"/>
      <c r="E52" s="18"/>
      <c r="F52" s="17"/>
      <c r="G52" s="17"/>
      <c r="H52" s="17"/>
      <c r="I52" s="19"/>
      <c r="J52" s="18"/>
    </row>
    <row r="53" spans="2:10">
      <c r="B53" s="16"/>
      <c r="D53" s="17"/>
      <c r="E53" s="18"/>
      <c r="F53" s="17"/>
      <c r="G53" s="17"/>
      <c r="H53" s="17"/>
      <c r="I53" s="19"/>
      <c r="J53" s="18"/>
    </row>
    <row r="54" spans="2:10">
      <c r="B54" s="16"/>
      <c r="D54" s="17"/>
      <c r="E54" s="18"/>
      <c r="F54" s="17"/>
      <c r="G54" s="17"/>
      <c r="H54" s="17"/>
      <c r="I54" s="19"/>
      <c r="J54" s="18"/>
    </row>
    <row r="55" spans="2:10">
      <c r="B55" s="16"/>
      <c r="D55" s="17"/>
      <c r="E55" s="18"/>
      <c r="F55" s="17"/>
      <c r="G55" s="17"/>
      <c r="H55" s="17"/>
      <c r="I55" s="19"/>
      <c r="J55" s="18"/>
    </row>
    <row r="56" spans="2:10">
      <c r="B56" s="16"/>
      <c r="D56" s="17"/>
      <c r="E56" s="18"/>
      <c r="F56" s="17"/>
      <c r="G56" s="17"/>
      <c r="H56" s="17"/>
      <c r="I56" s="19"/>
      <c r="J56" s="18"/>
    </row>
    <row r="57" spans="2:10">
      <c r="B57" s="16"/>
      <c r="D57" s="17"/>
      <c r="E57" s="18"/>
      <c r="F57" s="17"/>
      <c r="G57" s="17"/>
      <c r="H57" s="17"/>
      <c r="I57" s="19"/>
      <c r="J57" s="18"/>
    </row>
    <row r="58" spans="2:10">
      <c r="B58" s="16"/>
      <c r="D58" s="17"/>
      <c r="E58" s="18"/>
      <c r="F58" s="17"/>
      <c r="G58" s="17"/>
      <c r="H58" s="17"/>
      <c r="I58" s="19"/>
      <c r="J58" s="18"/>
    </row>
    <row r="59" spans="2:10">
      <c r="B59" s="16"/>
      <c r="D59" s="17"/>
      <c r="E59" s="18"/>
      <c r="F59" s="17"/>
      <c r="G59" s="17"/>
      <c r="H59" s="17"/>
      <c r="I59" s="19"/>
      <c r="J59" s="18"/>
    </row>
    <row r="60" spans="2:10">
      <c r="B60" s="16"/>
      <c r="D60" s="17"/>
      <c r="E60" s="18"/>
      <c r="F60" s="17"/>
      <c r="G60" s="17"/>
      <c r="H60" s="17"/>
      <c r="I60" s="19"/>
      <c r="J60" s="18"/>
    </row>
    <row r="61" spans="2:10">
      <c r="B61" s="16"/>
      <c r="D61" s="17"/>
      <c r="E61" s="18"/>
      <c r="F61" s="17"/>
      <c r="G61" s="17"/>
      <c r="H61" s="17"/>
      <c r="I61" s="19"/>
      <c r="J61" s="18"/>
    </row>
    <row r="62" spans="2:10">
      <c r="B62" s="16"/>
      <c r="D62" s="17"/>
      <c r="E62" s="18"/>
      <c r="F62" s="17"/>
      <c r="G62" s="17"/>
      <c r="H62" s="17"/>
      <c r="I62" s="19"/>
      <c r="J62" s="18"/>
    </row>
    <row r="63" spans="2:10">
      <c r="B63" s="16"/>
      <c r="D63" s="17"/>
      <c r="E63" s="18"/>
      <c r="F63" s="17"/>
      <c r="G63" s="17"/>
      <c r="H63" s="17"/>
      <c r="I63" s="19"/>
      <c r="J63" s="18"/>
    </row>
    <row r="64" spans="2:10">
      <c r="B64" s="16"/>
      <c r="D64" s="17"/>
      <c r="E64" s="18"/>
      <c r="F64" s="17"/>
      <c r="G64" s="17"/>
      <c r="H64" s="17"/>
      <c r="I64" s="19"/>
      <c r="J64" s="18"/>
    </row>
    <row r="65" spans="2:10">
      <c r="B65" s="16"/>
      <c r="D65" s="17"/>
      <c r="E65" s="18"/>
      <c r="F65" s="17"/>
      <c r="G65" s="17"/>
      <c r="H65" s="17"/>
      <c r="I65" s="19"/>
      <c r="J65" s="18"/>
    </row>
    <row r="66" spans="2:10">
      <c r="B66" s="16"/>
      <c r="D66" s="17"/>
      <c r="E66" s="18"/>
      <c r="F66" s="17"/>
      <c r="G66" s="17"/>
      <c r="H66" s="17"/>
      <c r="I66" s="19"/>
      <c r="J66" s="18"/>
    </row>
    <row r="67" spans="2:10">
      <c r="B67" s="16"/>
      <c r="D67" s="17"/>
      <c r="E67" s="18"/>
      <c r="F67" s="17"/>
      <c r="G67" s="17"/>
      <c r="H67" s="17"/>
      <c r="I67" s="19"/>
      <c r="J67" s="18"/>
    </row>
    <row r="68" spans="2:10">
      <c r="B68" s="16"/>
      <c r="D68" s="17"/>
      <c r="E68" s="18"/>
      <c r="F68" s="17"/>
      <c r="G68" s="17"/>
      <c r="H68" s="17"/>
      <c r="I68" s="19"/>
      <c r="J68" s="18"/>
    </row>
    <row r="69" spans="2:10">
      <c r="B69" s="16"/>
      <c r="D69" s="17"/>
      <c r="E69" s="18"/>
      <c r="F69" s="17"/>
      <c r="G69" s="17"/>
      <c r="H69" s="17"/>
      <c r="I69" s="19"/>
      <c r="J69" s="18"/>
    </row>
    <row r="70" spans="2:10">
      <c r="B70" s="16"/>
      <c r="D70" s="17"/>
      <c r="E70" s="18"/>
      <c r="F70" s="17"/>
      <c r="G70" s="17"/>
      <c r="H70" s="17"/>
      <c r="I70" s="19"/>
      <c r="J70" s="18"/>
    </row>
    <row r="71" spans="2:10">
      <c r="B71" s="16"/>
      <c r="D71" s="17"/>
      <c r="E71" s="18"/>
      <c r="F71" s="17"/>
      <c r="G71" s="17"/>
      <c r="H71" s="17"/>
      <c r="I71" s="19"/>
      <c r="J71" s="18"/>
    </row>
    <row r="72" spans="2:10">
      <c r="B72" s="16"/>
      <c r="D72" s="17"/>
      <c r="E72" s="18"/>
      <c r="F72" s="17"/>
      <c r="G72" s="17"/>
      <c r="H72" s="17"/>
      <c r="I72" s="19"/>
      <c r="J72" s="18"/>
    </row>
    <row r="73" spans="2:10">
      <c r="B73" s="16"/>
      <c r="D73" s="17"/>
      <c r="E73" s="18"/>
      <c r="F73" s="17"/>
      <c r="G73" s="17"/>
      <c r="H73" s="17"/>
      <c r="I73" s="19"/>
      <c r="J73" s="18"/>
    </row>
    <row r="74" spans="2:10">
      <c r="B74" s="16"/>
      <c r="D74" s="17"/>
      <c r="E74" s="18"/>
      <c r="F74" s="17"/>
      <c r="G74" s="17"/>
      <c r="H74" s="17"/>
      <c r="I74" s="19"/>
      <c r="J74" s="18"/>
    </row>
    <row r="75" spans="2:10">
      <c r="B75" s="16"/>
      <c r="D75" s="17"/>
      <c r="E75" s="18"/>
      <c r="F75" s="17"/>
      <c r="G75" s="17"/>
      <c r="H75" s="17"/>
      <c r="I75" s="19"/>
      <c r="J75" s="18"/>
    </row>
    <row r="76" spans="2:10">
      <c r="B76" s="16"/>
      <c r="D76" s="17"/>
      <c r="E76" s="18"/>
      <c r="F76" s="17"/>
      <c r="G76" s="17"/>
      <c r="H76" s="17"/>
      <c r="I76" s="19"/>
      <c r="J76" s="18"/>
    </row>
    <row r="77" spans="2:10">
      <c r="B77" s="16"/>
      <c r="D77" s="17"/>
      <c r="E77" s="18"/>
      <c r="F77" s="17"/>
      <c r="G77" s="17"/>
      <c r="H77" s="17"/>
      <c r="I77" s="19"/>
      <c r="J77" s="18"/>
    </row>
    <row r="78" spans="2:10">
      <c r="B78" s="16"/>
      <c r="D78" s="17"/>
      <c r="E78" s="18"/>
      <c r="F78" s="17"/>
      <c r="G78" s="17"/>
      <c r="H78" s="17"/>
      <c r="I78" s="19"/>
      <c r="J78" s="18"/>
    </row>
    <row r="79" spans="2:10">
      <c r="B79" s="16"/>
      <c r="D79" s="17"/>
      <c r="E79" s="18"/>
      <c r="F79" s="17"/>
      <c r="G79" s="17"/>
      <c r="H79" s="17"/>
      <c r="I79" s="19"/>
      <c r="J79" s="18"/>
    </row>
    <row r="80" spans="2:10">
      <c r="B80" s="16"/>
      <c r="D80" s="17"/>
      <c r="E80" s="18"/>
      <c r="F80" s="17"/>
      <c r="G80" s="17"/>
      <c r="H80" s="17"/>
      <c r="I80" s="19"/>
      <c r="J80" s="18"/>
    </row>
    <row r="81" spans="2:10">
      <c r="B81" s="16"/>
      <c r="D81" s="17"/>
      <c r="E81" s="18"/>
      <c r="F81" s="17"/>
      <c r="G81" s="17"/>
      <c r="H81" s="17"/>
      <c r="I81" s="19"/>
      <c r="J81" s="18"/>
    </row>
    <row r="82" spans="2:10">
      <c r="B82" s="16"/>
      <c r="D82" s="17"/>
      <c r="E82" s="18"/>
      <c r="F82" s="17"/>
      <c r="G82" s="17"/>
      <c r="H82" s="17"/>
      <c r="I82" s="19"/>
      <c r="J82" s="18"/>
    </row>
    <row r="83" spans="2:10">
      <c r="B83" s="16"/>
      <c r="D83" s="17"/>
      <c r="E83" s="18"/>
      <c r="F83" s="17"/>
      <c r="G83" s="17"/>
      <c r="H83" s="17"/>
      <c r="I83" s="19"/>
      <c r="J83" s="18"/>
    </row>
    <row r="84" spans="2:10">
      <c r="B84" s="16"/>
      <c r="D84" s="17"/>
      <c r="E84" s="18"/>
      <c r="F84" s="17"/>
      <c r="G84" s="17"/>
      <c r="H84" s="17"/>
      <c r="I84" s="19"/>
      <c r="J84" s="18"/>
    </row>
    <row r="85" spans="2:10">
      <c r="B85" s="16"/>
      <c r="D85" s="17"/>
      <c r="E85" s="18"/>
      <c r="F85" s="17"/>
      <c r="G85" s="17"/>
      <c r="H85" s="17"/>
      <c r="I85" s="19"/>
      <c r="J85" s="18"/>
    </row>
    <row r="86" spans="2:10">
      <c r="B86" s="16"/>
      <c r="D86" s="17"/>
      <c r="E86" s="18"/>
      <c r="F86" s="17"/>
      <c r="G86" s="17"/>
      <c r="H86" s="17"/>
      <c r="I86" s="19"/>
      <c r="J86" s="18"/>
    </row>
    <row r="87" spans="2:10">
      <c r="B87" s="16"/>
      <c r="D87" s="17"/>
      <c r="E87" s="18"/>
      <c r="F87" s="17"/>
      <c r="G87" s="17"/>
      <c r="H87" s="17"/>
      <c r="I87" s="19"/>
      <c r="J87" s="18"/>
    </row>
    <row r="88" spans="2:10">
      <c r="B88" s="16"/>
      <c r="D88" s="17"/>
      <c r="E88" s="18"/>
      <c r="F88" s="17"/>
      <c r="G88" s="17"/>
      <c r="H88" s="17"/>
      <c r="I88" s="19"/>
      <c r="J88" s="18"/>
    </row>
    <row r="89" spans="2:10">
      <c r="B89" s="16"/>
      <c r="D89" s="17"/>
      <c r="E89" s="18"/>
      <c r="F89" s="17"/>
      <c r="G89" s="17"/>
      <c r="H89" s="17"/>
      <c r="I89" s="19"/>
      <c r="J89" s="18"/>
    </row>
    <row r="90" spans="2:10">
      <c r="B90" s="16"/>
      <c r="D90" s="17"/>
      <c r="E90" s="18"/>
      <c r="F90" s="17"/>
      <c r="G90" s="17"/>
      <c r="H90" s="17"/>
      <c r="I90" s="19"/>
      <c r="J90" s="18"/>
    </row>
    <row r="91" spans="2:10">
      <c r="B91" s="16"/>
      <c r="D91" s="17"/>
      <c r="E91" s="18"/>
      <c r="F91" s="17"/>
      <c r="G91" s="17"/>
      <c r="H91" s="17"/>
      <c r="I91" s="19"/>
      <c r="J91" s="18"/>
    </row>
    <row r="92" spans="2:10">
      <c r="B92" s="16"/>
      <c r="D92" s="17"/>
      <c r="E92" s="18"/>
      <c r="F92" s="17"/>
      <c r="G92" s="17"/>
      <c r="H92" s="17"/>
      <c r="I92" s="19"/>
      <c r="J92" s="18"/>
    </row>
    <row r="93" spans="2:10">
      <c r="B93" s="16"/>
      <c r="D93" s="17"/>
      <c r="E93" s="18"/>
      <c r="F93" s="17"/>
      <c r="G93" s="17"/>
      <c r="H93" s="17"/>
      <c r="I93" s="19"/>
      <c r="J93" s="18"/>
    </row>
    <row r="94" spans="2:10">
      <c r="B94" s="16"/>
      <c r="D94" s="17"/>
      <c r="E94" s="18"/>
      <c r="F94" s="17"/>
      <c r="G94" s="17"/>
      <c r="H94" s="17"/>
      <c r="I94" s="19"/>
      <c r="J94" s="18"/>
    </row>
    <row r="95" spans="2:10">
      <c r="B95" s="16"/>
      <c r="D95" s="17"/>
      <c r="E95" s="18"/>
      <c r="F95" s="17"/>
      <c r="G95" s="17"/>
      <c r="H95" s="17"/>
      <c r="I95" s="19"/>
      <c r="J95" s="18"/>
    </row>
    <row r="96" spans="2:10">
      <c r="B96" s="16"/>
      <c r="D96" s="17"/>
      <c r="E96" s="18"/>
      <c r="F96" s="17"/>
      <c r="G96" s="17"/>
      <c r="H96" s="17"/>
      <c r="I96" s="19"/>
      <c r="J96" s="18"/>
    </row>
    <row r="97" spans="2:10">
      <c r="B97" s="16"/>
      <c r="D97" s="17"/>
      <c r="E97" s="18"/>
      <c r="F97" s="17"/>
      <c r="G97" s="17"/>
      <c r="H97" s="17"/>
      <c r="I97" s="19"/>
      <c r="J97" s="18"/>
    </row>
    <row r="98" spans="2:10">
      <c r="B98" s="16"/>
      <c r="D98" s="17"/>
      <c r="E98" s="18"/>
      <c r="F98" s="17"/>
      <c r="G98" s="17"/>
      <c r="H98" s="17"/>
      <c r="I98" s="19"/>
      <c r="J98" s="18"/>
    </row>
    <row r="99" spans="2:10">
      <c r="B99" s="16"/>
      <c r="D99" s="17"/>
      <c r="E99" s="18"/>
      <c r="F99" s="17"/>
      <c r="G99" s="17"/>
      <c r="H99" s="17"/>
      <c r="I99" s="19"/>
      <c r="J99" s="18"/>
    </row>
    <row r="100" spans="2:10">
      <c r="B100" s="16"/>
      <c r="D100" s="17"/>
      <c r="E100" s="18"/>
      <c r="F100" s="17"/>
      <c r="G100" s="17"/>
      <c r="H100" s="17"/>
      <c r="I100" s="19"/>
      <c r="J100" s="18"/>
    </row>
    <row r="101" spans="2:10">
      <c r="B101" s="16"/>
      <c r="D101" s="17"/>
      <c r="E101" s="18"/>
      <c r="F101" s="17"/>
      <c r="G101" s="17"/>
      <c r="H101" s="17"/>
      <c r="I101" s="19"/>
      <c r="J101" s="18"/>
    </row>
    <row r="102" spans="2:10">
      <c r="B102" s="16"/>
      <c r="D102" s="17"/>
      <c r="E102" s="18"/>
      <c r="F102" s="17"/>
      <c r="G102" s="17"/>
      <c r="H102" s="17"/>
      <c r="I102" s="19"/>
      <c r="J102" s="18"/>
    </row>
    <row r="103" spans="2:10">
      <c r="B103" s="16"/>
      <c r="D103" s="17"/>
      <c r="E103" s="18"/>
      <c r="F103" s="17"/>
      <c r="G103" s="17"/>
      <c r="H103" s="17"/>
      <c r="I103" s="19"/>
      <c r="J103" s="18"/>
    </row>
    <row r="104" spans="2:10">
      <c r="B104" s="16"/>
      <c r="D104" s="17"/>
      <c r="E104" s="18"/>
      <c r="F104" s="17"/>
      <c r="G104" s="17"/>
      <c r="H104" s="17"/>
      <c r="I104" s="19"/>
      <c r="J104" s="18"/>
    </row>
    <row r="105" spans="2:10">
      <c r="B105" s="16"/>
      <c r="E105" s="18"/>
      <c r="I105" s="19"/>
      <c r="J105" s="18"/>
    </row>
    <row r="106" spans="2:10">
      <c r="B106" s="16"/>
      <c r="E106" s="18"/>
      <c r="I106" s="19"/>
      <c r="J106" s="18"/>
    </row>
    <row r="107" spans="2:10">
      <c r="B107" s="16"/>
      <c r="E107" s="18"/>
      <c r="I107" s="19"/>
      <c r="J107" s="1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6"/>
  <sheetViews>
    <sheetView zoomScale="85" zoomScaleNormal="85" workbookViewId="0">
      <pane xSplit="2" ySplit="9" topLeftCell="C25" activePane="bottomRight" state="frozen"/>
      <selection pane="topRight" activeCell="C1" sqref="C1"/>
      <selection pane="bottomLeft" activeCell="A10" sqref="A10"/>
      <selection pane="bottomRight" activeCell="K13" sqref="K13"/>
    </sheetView>
  </sheetViews>
  <sheetFormatPr defaultColWidth="9" defaultRowHeight="21.75" customHeight="1"/>
  <cols>
    <col min="1" max="1" width="10.33203125" style="2" customWidth="1"/>
    <col min="2" max="2" width="4.109375" style="2" customWidth="1"/>
    <col min="3" max="3" width="8.44140625" style="2" customWidth="1"/>
    <col min="4" max="4" width="9.109375" style="2" customWidth="1"/>
    <col min="5" max="5" width="6.33203125" style="2" customWidth="1"/>
    <col min="6" max="6" width="7.77734375" style="2" customWidth="1"/>
    <col min="7" max="8" width="6" style="2" customWidth="1"/>
    <col min="9" max="9" width="5.33203125" style="2" bestFit="1" customWidth="1"/>
    <col min="10" max="11" width="6.33203125" style="2" customWidth="1"/>
    <col min="12" max="12" width="6" style="2" customWidth="1"/>
    <col min="13" max="13" width="6.88671875" style="2" bestFit="1" customWidth="1"/>
    <col min="14" max="14" width="7.88671875" style="2" bestFit="1" customWidth="1"/>
    <col min="15" max="15" width="5.33203125" style="2" bestFit="1" customWidth="1"/>
    <col min="16" max="17" width="6.33203125" style="2" bestFit="1" customWidth="1"/>
    <col min="18" max="19" width="5" style="2" customWidth="1"/>
    <col min="20" max="20" width="4.109375" style="2" customWidth="1"/>
    <col min="21" max="21" width="6.77734375" style="2" customWidth="1"/>
    <col min="22" max="22" width="4.109375" style="2" bestFit="1" customWidth="1"/>
    <col min="23" max="16384" width="9" style="2"/>
  </cols>
  <sheetData>
    <row r="1" spans="1:22" ht="21.75" customHeight="1">
      <c r="A1" s="90" t="s">
        <v>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</row>
    <row r="2" spans="1:22" ht="21.75" customHeight="1">
      <c r="A2" s="90" t="s">
        <v>80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</row>
    <row r="3" spans="1:22" ht="21.75" customHeight="1">
      <c r="A3" s="91" t="s">
        <v>10</v>
      </c>
      <c r="B3" s="92">
        <v>4.5</v>
      </c>
      <c r="C3" s="93" t="s">
        <v>11</v>
      </c>
      <c r="D3" s="38"/>
      <c r="E3" s="116" t="s">
        <v>12</v>
      </c>
      <c r="F3" s="95"/>
      <c r="G3" s="95"/>
      <c r="H3" s="96"/>
      <c r="I3" s="93" t="s">
        <v>13</v>
      </c>
      <c r="J3" s="93"/>
      <c r="K3" s="93"/>
      <c r="L3" s="93"/>
      <c r="M3" s="95" t="s">
        <v>14</v>
      </c>
      <c r="N3" s="96"/>
      <c r="O3" s="113" t="s">
        <v>15</v>
      </c>
      <c r="P3" s="113"/>
      <c r="Q3" s="115">
        <f>((F103+F105)*240)+((G103+G105)*180)</f>
        <v>41760</v>
      </c>
      <c r="R3" s="115"/>
      <c r="S3" s="7" t="s">
        <v>16</v>
      </c>
    </row>
    <row r="4" spans="1:22" ht="21.75" customHeight="1">
      <c r="A4" s="91"/>
      <c r="B4" s="92"/>
      <c r="C4" s="93"/>
      <c r="D4" s="38"/>
      <c r="E4" s="114">
        <v>0.25</v>
      </c>
      <c r="F4" s="97"/>
      <c r="G4" s="97"/>
      <c r="H4" s="98"/>
      <c r="I4" s="94">
        <v>0.4</v>
      </c>
      <c r="J4" s="94"/>
      <c r="K4" s="94"/>
      <c r="L4" s="94"/>
      <c r="M4" s="97">
        <v>0.35</v>
      </c>
      <c r="N4" s="98"/>
      <c r="O4" s="113" t="s">
        <v>17</v>
      </c>
      <c r="P4" s="113"/>
      <c r="Q4" s="115">
        <f>((I103+L103+I104+L104+I105+L105)*660)+((J103+J105+J104)*530)</f>
        <v>19140</v>
      </c>
      <c r="R4" s="115"/>
      <c r="S4" s="7" t="s">
        <v>16</v>
      </c>
    </row>
    <row r="5" spans="1:22" ht="21.75" customHeight="1">
      <c r="A5" s="99" t="s">
        <v>18</v>
      </c>
      <c r="B5" s="99"/>
      <c r="C5" s="103">
        <v>13</v>
      </c>
      <c r="D5" s="104"/>
      <c r="E5" s="35" t="s">
        <v>19</v>
      </c>
      <c r="F5" s="114" t="s">
        <v>20</v>
      </c>
      <c r="G5" s="97"/>
      <c r="H5" s="97"/>
      <c r="I5" s="97"/>
      <c r="J5" s="97"/>
      <c r="K5" s="97"/>
      <c r="L5" s="97"/>
      <c r="M5" s="6">
        <v>21</v>
      </c>
      <c r="N5" s="34" t="s">
        <v>21</v>
      </c>
      <c r="O5" s="113"/>
      <c r="P5" s="113"/>
      <c r="Q5" s="115"/>
      <c r="R5" s="115"/>
      <c r="S5" s="7"/>
    </row>
    <row r="6" spans="1:22" ht="21.75" customHeight="1">
      <c r="A6" s="99" t="s">
        <v>23</v>
      </c>
      <c r="B6" s="99"/>
      <c r="C6" s="105">
        <f>((C106*12)/(M5*7)+((D106*12)/(M5*7)))</f>
        <v>35.074829931972786</v>
      </c>
      <c r="D6" s="106"/>
      <c r="E6" s="35" t="s">
        <v>19</v>
      </c>
      <c r="F6" s="80" t="s">
        <v>24</v>
      </c>
      <c r="G6" s="81"/>
      <c r="H6" s="82"/>
      <c r="I6" s="77">
        <f>C5-C6</f>
        <v>-22.074829931972786</v>
      </c>
      <c r="J6" s="78"/>
      <c r="K6" s="79"/>
      <c r="L6" s="39" t="s">
        <v>19</v>
      </c>
      <c r="M6" s="36" t="s">
        <v>25</v>
      </c>
      <c r="N6" s="27">
        <f>((((C106*4.5)+(D106*12))/((F106+G106+H106+I106+J106+K106+L106)*7)))*100</f>
        <v>142.00626959247649</v>
      </c>
      <c r="O6" s="71" t="s">
        <v>26</v>
      </c>
      <c r="P6" s="71"/>
      <c r="Q6" s="71"/>
      <c r="R6" s="72">
        <f>U106</f>
        <v>48.25347066726377</v>
      </c>
      <c r="S6" s="73"/>
    </row>
    <row r="7" spans="1:22" ht="21.75" customHeight="1">
      <c r="A7" s="65" t="s">
        <v>27</v>
      </c>
      <c r="B7" s="65" t="s">
        <v>28</v>
      </c>
      <c r="C7" s="100" t="s">
        <v>77</v>
      </c>
      <c r="D7" s="100" t="s">
        <v>78</v>
      </c>
      <c r="E7" s="65" t="s">
        <v>30</v>
      </c>
      <c r="F7" s="74" t="s">
        <v>31</v>
      </c>
      <c r="G7" s="75"/>
      <c r="H7" s="75"/>
      <c r="I7" s="75"/>
      <c r="J7" s="75"/>
      <c r="K7" s="76"/>
      <c r="L7" s="65" t="s">
        <v>32</v>
      </c>
      <c r="M7" s="65" t="s">
        <v>33</v>
      </c>
      <c r="N7" s="68" t="s">
        <v>25</v>
      </c>
      <c r="O7" s="87" t="s">
        <v>34</v>
      </c>
      <c r="P7" s="87"/>
      <c r="Q7" s="87"/>
      <c r="R7" s="87"/>
      <c r="S7" s="87"/>
      <c r="T7" s="83" t="s">
        <v>35</v>
      </c>
      <c r="U7" s="85" t="s">
        <v>26</v>
      </c>
    </row>
    <row r="8" spans="1:22" ht="21.75" customHeight="1">
      <c r="A8" s="66"/>
      <c r="B8" s="66"/>
      <c r="C8" s="101"/>
      <c r="D8" s="101"/>
      <c r="E8" s="66"/>
      <c r="F8" s="107" t="s">
        <v>37</v>
      </c>
      <c r="G8" s="108"/>
      <c r="H8" s="109"/>
      <c r="I8" s="110" t="s">
        <v>38</v>
      </c>
      <c r="J8" s="111"/>
      <c r="K8" s="112"/>
      <c r="L8" s="66"/>
      <c r="M8" s="66"/>
      <c r="N8" s="69"/>
      <c r="O8" s="88">
        <v>1</v>
      </c>
      <c r="P8" s="88">
        <v>2</v>
      </c>
      <c r="Q8" s="88">
        <v>3</v>
      </c>
      <c r="R8" s="88">
        <v>4</v>
      </c>
      <c r="S8" s="88">
        <v>5</v>
      </c>
      <c r="T8" s="83"/>
      <c r="U8" s="85"/>
    </row>
    <row r="9" spans="1:22" ht="21.75" customHeight="1">
      <c r="A9" s="67"/>
      <c r="B9" s="67"/>
      <c r="C9" s="102"/>
      <c r="D9" s="102"/>
      <c r="E9" s="67"/>
      <c r="F9" s="24" t="s">
        <v>39</v>
      </c>
      <c r="G9" s="24" t="s">
        <v>40</v>
      </c>
      <c r="H9" s="24" t="s">
        <v>76</v>
      </c>
      <c r="I9" s="57" t="s">
        <v>39</v>
      </c>
      <c r="J9" s="57" t="s">
        <v>40</v>
      </c>
      <c r="K9" s="57" t="s">
        <v>76</v>
      </c>
      <c r="L9" s="67"/>
      <c r="M9" s="67"/>
      <c r="N9" s="70"/>
      <c r="O9" s="89"/>
      <c r="P9" s="89"/>
      <c r="Q9" s="89"/>
      <c r="R9" s="89"/>
      <c r="S9" s="89"/>
      <c r="T9" s="84"/>
      <c r="U9" s="86"/>
    </row>
    <row r="10" spans="1:22" ht="21.75" customHeight="1">
      <c r="A10" s="87">
        <v>1</v>
      </c>
      <c r="B10" s="7" t="s">
        <v>12</v>
      </c>
      <c r="C10" s="26">
        <v>10</v>
      </c>
      <c r="D10" s="26">
        <v>7</v>
      </c>
      <c r="E10" s="4">
        <f>((($B$3*C10)+(12*D10))*$E$4)/7</f>
        <v>4.6071428571428568</v>
      </c>
      <c r="F10" s="3">
        <v>3</v>
      </c>
      <c r="G10" s="3">
        <v>0</v>
      </c>
      <c r="H10" s="3">
        <v>0</v>
      </c>
      <c r="I10" s="3"/>
      <c r="J10" s="3"/>
      <c r="K10" s="3"/>
      <c r="L10" s="3"/>
      <c r="M10" s="5">
        <f>(F10+G10+H10+L10)-E10</f>
        <v>-1.6071428571428568</v>
      </c>
      <c r="N10" s="28">
        <f>(((C10*4.5)+(12*D10))*$E$4)/((F10+G10+H10+I10+J10+K10+L10)*7)*100</f>
        <v>153.57142857142858</v>
      </c>
      <c r="O10" s="7">
        <v>0</v>
      </c>
      <c r="P10" s="7">
        <v>0</v>
      </c>
      <c r="Q10" s="7">
        <v>9</v>
      </c>
      <c r="R10" s="7">
        <v>3</v>
      </c>
      <c r="S10" s="7">
        <v>5</v>
      </c>
      <c r="T10" s="37">
        <f t="shared" ref="T10:T73" si="0">SUM(O10:S10)</f>
        <v>17</v>
      </c>
      <c r="U10" s="28">
        <f>((((O10*1.5+(P10*3.5)+(Q10*5.5)+(R10*7.5)+(S10*12)))/3)/((F10+G10+H10+I10+J10+K10+L10)*7))*100</f>
        <v>209.52380952380955</v>
      </c>
      <c r="V10" s="59">
        <f>C10+D10-T10</f>
        <v>0</v>
      </c>
    </row>
    <row r="11" spans="1:22" ht="21.75" customHeight="1">
      <c r="A11" s="87"/>
      <c r="B11" s="7" t="s">
        <v>13</v>
      </c>
      <c r="C11" s="26">
        <v>10</v>
      </c>
      <c r="D11" s="26">
        <v>8</v>
      </c>
      <c r="E11" s="4">
        <f t="shared" ref="E11:E74" si="1">((($B$3*C11)+(12*D11))*$E$4)/7</f>
        <v>5.0357142857142856</v>
      </c>
      <c r="F11" s="3">
        <v>4</v>
      </c>
      <c r="G11" s="3">
        <v>0</v>
      </c>
      <c r="H11" s="3">
        <v>0</v>
      </c>
      <c r="I11" s="3"/>
      <c r="J11" s="3"/>
      <c r="K11" s="3">
        <v>1</v>
      </c>
      <c r="L11" s="3"/>
      <c r="M11" s="5">
        <f t="shared" ref="M11:M74" si="2">(F11+G11+H11+L11)-E11</f>
        <v>-1.0357142857142856</v>
      </c>
      <c r="N11" s="28">
        <f t="shared" ref="N11:N74" si="3">(((C11*4.5)+(12*D11))*$E$4)/((F11+G11+H11+I11+J11+K11+L11)*7)*100</f>
        <v>100.71428571428571</v>
      </c>
      <c r="O11" s="7">
        <v>0</v>
      </c>
      <c r="P11" s="7">
        <v>0</v>
      </c>
      <c r="Q11" s="7">
        <v>10</v>
      </c>
      <c r="R11" s="7">
        <v>2</v>
      </c>
      <c r="S11" s="7">
        <v>6</v>
      </c>
      <c r="T11" s="37">
        <f t="shared" si="0"/>
        <v>18</v>
      </c>
      <c r="U11" s="28">
        <f t="shared" ref="U11:U74" si="4">((((O11*1.5+(P11*3.5)+(Q11*5.5)+(R11*7.5)+(S11*12)))/3)/((F11+G11+H11+I11+J11+K11+L11)*7))*100</f>
        <v>135.23809523809524</v>
      </c>
      <c r="V11" s="59">
        <f t="shared" ref="V11:V74" si="5">C11+D11-T11</f>
        <v>0</v>
      </c>
    </row>
    <row r="12" spans="1:22" ht="21.75" customHeight="1">
      <c r="A12" s="87"/>
      <c r="B12" s="7" t="s">
        <v>14</v>
      </c>
      <c r="C12" s="26">
        <v>10</v>
      </c>
      <c r="D12" s="26">
        <v>8</v>
      </c>
      <c r="E12" s="4">
        <f t="shared" si="1"/>
        <v>5.0357142857142856</v>
      </c>
      <c r="F12" s="3">
        <v>3</v>
      </c>
      <c r="G12" s="3">
        <v>0</v>
      </c>
      <c r="H12" s="3">
        <v>0</v>
      </c>
      <c r="I12" s="3"/>
      <c r="J12" s="3"/>
      <c r="K12" s="3"/>
      <c r="L12" s="3"/>
      <c r="M12" s="5">
        <f t="shared" si="2"/>
        <v>-2.0357142857142856</v>
      </c>
      <c r="N12" s="28">
        <f t="shared" si="3"/>
        <v>167.85714285714286</v>
      </c>
      <c r="O12" s="7">
        <v>0</v>
      </c>
      <c r="P12" s="7">
        <v>0</v>
      </c>
      <c r="Q12" s="7">
        <v>9</v>
      </c>
      <c r="R12" s="7">
        <v>3</v>
      </c>
      <c r="S12" s="7">
        <v>6</v>
      </c>
      <c r="T12" s="37">
        <f t="shared" si="0"/>
        <v>18</v>
      </c>
      <c r="U12" s="28">
        <f t="shared" si="4"/>
        <v>228.57142857142856</v>
      </c>
      <c r="V12" s="59">
        <f t="shared" si="5"/>
        <v>0</v>
      </c>
    </row>
    <row r="13" spans="1:22" ht="21.75" customHeight="1">
      <c r="A13" s="87">
        <v>2</v>
      </c>
      <c r="B13" s="7" t="s">
        <v>12</v>
      </c>
      <c r="C13" s="26">
        <v>10</v>
      </c>
      <c r="D13" s="26">
        <v>8</v>
      </c>
      <c r="E13" s="4">
        <f t="shared" si="1"/>
        <v>5.0357142857142856</v>
      </c>
      <c r="F13" s="3">
        <v>3</v>
      </c>
      <c r="G13" s="3">
        <v>0</v>
      </c>
      <c r="H13" s="3">
        <v>0</v>
      </c>
      <c r="I13" s="3"/>
      <c r="J13" s="3"/>
      <c r="K13" s="3"/>
      <c r="L13" s="3"/>
      <c r="M13" s="5">
        <f t="shared" si="2"/>
        <v>-2.0357142857142856</v>
      </c>
      <c r="N13" s="28">
        <f t="shared" si="3"/>
        <v>167.85714285714286</v>
      </c>
      <c r="O13" s="7">
        <v>0</v>
      </c>
      <c r="P13" s="7">
        <v>0</v>
      </c>
      <c r="Q13" s="7">
        <v>9</v>
      </c>
      <c r="R13" s="7">
        <v>3</v>
      </c>
      <c r="S13" s="7">
        <v>6</v>
      </c>
      <c r="T13" s="37">
        <f t="shared" si="0"/>
        <v>18</v>
      </c>
      <c r="U13" s="28">
        <f t="shared" si="4"/>
        <v>228.57142857142856</v>
      </c>
      <c r="V13" s="59">
        <f t="shared" si="5"/>
        <v>0</v>
      </c>
    </row>
    <row r="14" spans="1:22" ht="21.75" customHeight="1">
      <c r="A14" s="87"/>
      <c r="B14" s="7" t="s">
        <v>13</v>
      </c>
      <c r="C14" s="26">
        <v>10</v>
      </c>
      <c r="D14" s="26">
        <v>8</v>
      </c>
      <c r="E14" s="4">
        <f t="shared" si="1"/>
        <v>5.0357142857142856</v>
      </c>
      <c r="F14" s="3">
        <v>2</v>
      </c>
      <c r="G14" s="3">
        <v>0</v>
      </c>
      <c r="H14" s="3">
        <v>1</v>
      </c>
      <c r="I14" s="3">
        <v>1</v>
      </c>
      <c r="J14" s="3"/>
      <c r="K14" s="3"/>
      <c r="L14" s="3"/>
      <c r="M14" s="5">
        <f t="shared" si="2"/>
        <v>-2.0357142857142856</v>
      </c>
      <c r="N14" s="28">
        <f t="shared" si="3"/>
        <v>125.89285714285714</v>
      </c>
      <c r="O14" s="7">
        <v>0</v>
      </c>
      <c r="P14" s="7">
        <v>1</v>
      </c>
      <c r="Q14" s="7">
        <v>9</v>
      </c>
      <c r="R14" s="7">
        <v>3</v>
      </c>
      <c r="S14" s="7">
        <v>6</v>
      </c>
      <c r="T14" s="37">
        <f t="shared" si="0"/>
        <v>19</v>
      </c>
      <c r="U14" s="28">
        <f t="shared" si="4"/>
        <v>175.5952380952381</v>
      </c>
      <c r="V14" s="59">
        <f t="shared" si="5"/>
        <v>-1</v>
      </c>
    </row>
    <row r="15" spans="1:22" ht="21.75" customHeight="1">
      <c r="A15" s="87"/>
      <c r="B15" s="7" t="s">
        <v>14</v>
      </c>
      <c r="C15" s="26">
        <v>11</v>
      </c>
      <c r="D15" s="26">
        <v>9</v>
      </c>
      <c r="E15" s="4">
        <f t="shared" si="1"/>
        <v>5.625</v>
      </c>
      <c r="F15" s="3">
        <v>3</v>
      </c>
      <c r="G15" s="3">
        <v>0</v>
      </c>
      <c r="H15" s="3">
        <v>1</v>
      </c>
      <c r="I15" s="3"/>
      <c r="J15" s="3"/>
      <c r="K15" s="3"/>
      <c r="L15" s="3"/>
      <c r="M15" s="5">
        <f t="shared" si="2"/>
        <v>-1.625</v>
      </c>
      <c r="N15" s="28">
        <f t="shared" si="3"/>
        <v>140.625</v>
      </c>
      <c r="O15" s="7">
        <v>0</v>
      </c>
      <c r="P15" s="7">
        <v>0</v>
      </c>
      <c r="Q15" s="7">
        <v>11</v>
      </c>
      <c r="R15" s="7">
        <v>3</v>
      </c>
      <c r="S15" s="7">
        <v>6</v>
      </c>
      <c r="T15" s="37">
        <f t="shared" si="0"/>
        <v>20</v>
      </c>
      <c r="U15" s="28">
        <f t="shared" si="4"/>
        <v>184.52380952380952</v>
      </c>
      <c r="V15" s="59">
        <f t="shared" si="5"/>
        <v>0</v>
      </c>
    </row>
    <row r="16" spans="1:22" ht="21.75" customHeight="1">
      <c r="A16" s="87">
        <v>3</v>
      </c>
      <c r="B16" s="7" t="s">
        <v>12</v>
      </c>
      <c r="C16" s="26">
        <v>12</v>
      </c>
      <c r="D16" s="26">
        <v>8</v>
      </c>
      <c r="E16" s="4">
        <f t="shared" si="1"/>
        <v>5.3571428571428568</v>
      </c>
      <c r="F16" s="3">
        <v>2</v>
      </c>
      <c r="G16" s="3">
        <v>0</v>
      </c>
      <c r="H16" s="3">
        <v>0</v>
      </c>
      <c r="I16" s="3">
        <v>1</v>
      </c>
      <c r="J16" s="3"/>
      <c r="K16" s="3"/>
      <c r="L16" s="3"/>
      <c r="M16" s="5">
        <f t="shared" si="2"/>
        <v>-3.3571428571428568</v>
      </c>
      <c r="N16" s="28">
        <f t="shared" si="3"/>
        <v>178.57142857142858</v>
      </c>
      <c r="O16" s="7">
        <v>0</v>
      </c>
      <c r="P16" s="7">
        <v>0</v>
      </c>
      <c r="Q16" s="7">
        <v>9</v>
      </c>
      <c r="R16" s="7">
        <v>4</v>
      </c>
      <c r="S16" s="7">
        <v>7</v>
      </c>
      <c r="T16" s="37">
        <f t="shared" si="0"/>
        <v>20</v>
      </c>
      <c r="U16" s="28">
        <f t="shared" si="4"/>
        <v>259.52380952380952</v>
      </c>
      <c r="V16" s="59">
        <f t="shared" si="5"/>
        <v>0</v>
      </c>
    </row>
    <row r="17" spans="1:22" ht="21.75" customHeight="1">
      <c r="A17" s="87"/>
      <c r="B17" s="7" t="s">
        <v>13</v>
      </c>
      <c r="C17" s="26">
        <v>13</v>
      </c>
      <c r="D17" s="26">
        <v>8</v>
      </c>
      <c r="E17" s="4">
        <f t="shared" si="1"/>
        <v>5.5178571428571432</v>
      </c>
      <c r="F17" s="3">
        <v>4</v>
      </c>
      <c r="G17" s="3">
        <v>0</v>
      </c>
      <c r="H17" s="3"/>
      <c r="I17" s="3"/>
      <c r="J17" s="3"/>
      <c r="K17" s="3">
        <v>1</v>
      </c>
      <c r="L17" s="3"/>
      <c r="M17" s="5">
        <f t="shared" si="2"/>
        <v>-1.5178571428571432</v>
      </c>
      <c r="N17" s="28">
        <f t="shared" si="3"/>
        <v>110.35714285714286</v>
      </c>
      <c r="O17" s="7">
        <v>0</v>
      </c>
      <c r="P17" s="7">
        <v>2</v>
      </c>
      <c r="Q17" s="7">
        <v>7</v>
      </c>
      <c r="R17" s="7">
        <v>4</v>
      </c>
      <c r="S17" s="7">
        <v>8</v>
      </c>
      <c r="T17" s="37">
        <f t="shared" si="0"/>
        <v>21</v>
      </c>
      <c r="U17" s="28">
        <f t="shared" si="4"/>
        <v>163.33333333333334</v>
      </c>
      <c r="V17" s="59">
        <f t="shared" si="5"/>
        <v>0</v>
      </c>
    </row>
    <row r="18" spans="1:22" ht="21.75" customHeight="1">
      <c r="A18" s="87"/>
      <c r="B18" s="7" t="s">
        <v>14</v>
      </c>
      <c r="C18" s="26">
        <v>12</v>
      </c>
      <c r="D18" s="26">
        <v>8</v>
      </c>
      <c r="E18" s="4">
        <f t="shared" si="1"/>
        <v>5.3571428571428568</v>
      </c>
      <c r="F18" s="3">
        <v>3</v>
      </c>
      <c r="G18" s="3">
        <v>0</v>
      </c>
      <c r="H18" s="3">
        <v>1</v>
      </c>
      <c r="I18" s="3"/>
      <c r="J18" s="3"/>
      <c r="K18" s="3"/>
      <c r="L18" s="3"/>
      <c r="M18" s="5">
        <f t="shared" si="2"/>
        <v>-1.3571428571428568</v>
      </c>
      <c r="N18" s="28">
        <f t="shared" si="3"/>
        <v>133.92857142857142</v>
      </c>
      <c r="O18" s="7">
        <v>0</v>
      </c>
      <c r="P18" s="7">
        <v>0</v>
      </c>
      <c r="Q18" s="7">
        <v>9</v>
      </c>
      <c r="R18" s="7">
        <v>3</v>
      </c>
      <c r="S18" s="7">
        <v>8</v>
      </c>
      <c r="T18" s="37">
        <f t="shared" si="0"/>
        <v>20</v>
      </c>
      <c r="U18" s="28">
        <f t="shared" si="4"/>
        <v>200</v>
      </c>
      <c r="V18" s="59">
        <f t="shared" si="5"/>
        <v>0</v>
      </c>
    </row>
    <row r="19" spans="1:22" ht="21.75" customHeight="1">
      <c r="A19" s="87">
        <v>4</v>
      </c>
      <c r="B19" s="7" t="s">
        <v>12</v>
      </c>
      <c r="C19" s="26">
        <v>12</v>
      </c>
      <c r="D19" s="26">
        <v>8</v>
      </c>
      <c r="E19" s="4">
        <f t="shared" si="1"/>
        <v>5.3571428571428568</v>
      </c>
      <c r="F19" s="3">
        <v>2</v>
      </c>
      <c r="G19" s="3">
        <v>0</v>
      </c>
      <c r="H19" s="3">
        <v>0</v>
      </c>
      <c r="I19" s="3"/>
      <c r="J19" s="3"/>
      <c r="K19" s="3"/>
      <c r="L19" s="3">
        <v>1</v>
      </c>
      <c r="M19" s="5">
        <f t="shared" si="2"/>
        <v>-2.3571428571428568</v>
      </c>
      <c r="N19" s="28">
        <f t="shared" si="3"/>
        <v>178.57142857142858</v>
      </c>
      <c r="O19" s="7">
        <v>0</v>
      </c>
      <c r="P19" s="7">
        <v>0</v>
      </c>
      <c r="Q19" s="7">
        <v>9</v>
      </c>
      <c r="R19" s="7">
        <v>3</v>
      </c>
      <c r="S19" s="7">
        <v>8</v>
      </c>
      <c r="T19" s="37">
        <f t="shared" si="0"/>
        <v>20</v>
      </c>
      <c r="U19" s="28">
        <f t="shared" si="4"/>
        <v>266.66666666666663</v>
      </c>
      <c r="V19" s="59">
        <f t="shared" si="5"/>
        <v>0</v>
      </c>
    </row>
    <row r="20" spans="1:22" ht="21.75" customHeight="1">
      <c r="A20" s="87"/>
      <c r="B20" s="7" t="s">
        <v>13</v>
      </c>
      <c r="C20" s="26">
        <v>12</v>
      </c>
      <c r="D20" s="26">
        <v>8</v>
      </c>
      <c r="E20" s="4">
        <f t="shared" si="1"/>
        <v>5.3571428571428568</v>
      </c>
      <c r="F20" s="3">
        <v>3</v>
      </c>
      <c r="G20" s="3">
        <v>0</v>
      </c>
      <c r="H20" s="3">
        <v>1</v>
      </c>
      <c r="I20" s="3">
        <v>1</v>
      </c>
      <c r="J20" s="3"/>
      <c r="K20" s="3"/>
      <c r="L20" s="3"/>
      <c r="M20" s="5">
        <f t="shared" si="2"/>
        <v>-1.3571428571428568</v>
      </c>
      <c r="N20" s="28">
        <f t="shared" si="3"/>
        <v>107.14285714285714</v>
      </c>
      <c r="O20" s="7">
        <v>0</v>
      </c>
      <c r="P20" s="7">
        <v>0</v>
      </c>
      <c r="Q20" s="7">
        <v>9</v>
      </c>
      <c r="R20" s="7">
        <v>3</v>
      </c>
      <c r="S20" s="7">
        <v>8</v>
      </c>
      <c r="T20" s="37">
        <f t="shared" si="0"/>
        <v>20</v>
      </c>
      <c r="U20" s="28">
        <f t="shared" si="4"/>
        <v>160</v>
      </c>
      <c r="V20" s="59">
        <f t="shared" si="5"/>
        <v>0</v>
      </c>
    </row>
    <row r="21" spans="1:22" ht="21.75" customHeight="1">
      <c r="A21" s="87"/>
      <c r="B21" s="7" t="s">
        <v>14</v>
      </c>
      <c r="C21" s="26">
        <v>11</v>
      </c>
      <c r="D21" s="26">
        <v>8</v>
      </c>
      <c r="E21" s="4">
        <f t="shared" si="1"/>
        <v>5.1964285714285712</v>
      </c>
      <c r="F21" s="3">
        <v>3</v>
      </c>
      <c r="G21" s="3">
        <v>0</v>
      </c>
      <c r="H21" s="3">
        <v>0</v>
      </c>
      <c r="I21" s="3"/>
      <c r="J21" s="3"/>
      <c r="K21" s="3">
        <v>1</v>
      </c>
      <c r="L21" s="3"/>
      <c r="M21" s="5">
        <f t="shared" si="2"/>
        <v>-2.1964285714285712</v>
      </c>
      <c r="N21" s="28">
        <f t="shared" si="3"/>
        <v>129.91071428571428</v>
      </c>
      <c r="O21" s="7">
        <v>0</v>
      </c>
      <c r="P21" s="7">
        <v>0</v>
      </c>
      <c r="Q21" s="7">
        <v>13</v>
      </c>
      <c r="R21" s="7">
        <v>2</v>
      </c>
      <c r="S21" s="7">
        <v>4</v>
      </c>
      <c r="T21" s="37">
        <f t="shared" si="0"/>
        <v>19</v>
      </c>
      <c r="U21" s="28">
        <f t="shared" si="4"/>
        <v>160.11904761904762</v>
      </c>
      <c r="V21" s="59">
        <f t="shared" si="5"/>
        <v>0</v>
      </c>
    </row>
    <row r="22" spans="1:22" ht="21.75" customHeight="1">
      <c r="A22" s="87">
        <v>5</v>
      </c>
      <c r="B22" s="7" t="s">
        <v>12</v>
      </c>
      <c r="C22" s="26">
        <v>11</v>
      </c>
      <c r="D22" s="26">
        <v>8</v>
      </c>
      <c r="E22" s="4">
        <f t="shared" si="1"/>
        <v>5.1964285714285712</v>
      </c>
      <c r="F22" s="3">
        <v>2</v>
      </c>
      <c r="G22" s="3">
        <v>0</v>
      </c>
      <c r="H22" s="3">
        <v>0</v>
      </c>
      <c r="I22" s="3"/>
      <c r="J22" s="3"/>
      <c r="K22" s="3"/>
      <c r="L22" s="3">
        <v>1</v>
      </c>
      <c r="M22" s="5">
        <f t="shared" si="2"/>
        <v>-2.1964285714285712</v>
      </c>
      <c r="N22" s="28">
        <f t="shared" si="3"/>
        <v>173.21428571428572</v>
      </c>
      <c r="O22" s="7">
        <v>0</v>
      </c>
      <c r="P22" s="7">
        <v>0</v>
      </c>
      <c r="Q22" s="7">
        <v>12</v>
      </c>
      <c r="R22" s="7">
        <v>3</v>
      </c>
      <c r="S22" s="7">
        <v>4</v>
      </c>
      <c r="T22" s="37">
        <f t="shared" si="0"/>
        <v>19</v>
      </c>
      <c r="U22" s="28">
        <f t="shared" si="4"/>
        <v>216.66666666666666</v>
      </c>
      <c r="V22" s="59">
        <f t="shared" si="5"/>
        <v>0</v>
      </c>
    </row>
    <row r="23" spans="1:22" ht="21.75" customHeight="1">
      <c r="A23" s="87"/>
      <c r="B23" s="7" t="s">
        <v>13</v>
      </c>
      <c r="C23" s="26">
        <v>13</v>
      </c>
      <c r="D23" s="26">
        <v>8</v>
      </c>
      <c r="E23" s="4">
        <f t="shared" si="1"/>
        <v>5.5178571428571432</v>
      </c>
      <c r="F23" s="3">
        <v>2</v>
      </c>
      <c r="G23" s="3">
        <v>0</v>
      </c>
      <c r="H23" s="3">
        <v>1</v>
      </c>
      <c r="I23" s="3">
        <v>1</v>
      </c>
      <c r="J23" s="3"/>
      <c r="K23" s="3">
        <v>1</v>
      </c>
      <c r="L23" s="3"/>
      <c r="M23" s="5">
        <f t="shared" si="2"/>
        <v>-2.5178571428571432</v>
      </c>
      <c r="N23" s="28">
        <f t="shared" si="3"/>
        <v>110.35714285714286</v>
      </c>
      <c r="O23" s="7">
        <v>0</v>
      </c>
      <c r="P23" s="7">
        <v>3</v>
      </c>
      <c r="Q23" s="7">
        <v>11</v>
      </c>
      <c r="R23" s="7">
        <v>3</v>
      </c>
      <c r="S23" s="7">
        <v>4</v>
      </c>
      <c r="T23" s="37">
        <f t="shared" si="0"/>
        <v>21</v>
      </c>
      <c r="U23" s="28">
        <f t="shared" si="4"/>
        <v>134.76190476190476</v>
      </c>
      <c r="V23" s="59">
        <f t="shared" si="5"/>
        <v>0</v>
      </c>
    </row>
    <row r="24" spans="1:22" ht="21.75" customHeight="1">
      <c r="A24" s="87"/>
      <c r="B24" s="7" t="s">
        <v>14</v>
      </c>
      <c r="C24" s="26">
        <v>12</v>
      </c>
      <c r="D24" s="26">
        <v>7</v>
      </c>
      <c r="E24" s="4">
        <f t="shared" si="1"/>
        <v>4.9285714285714288</v>
      </c>
      <c r="F24" s="3">
        <v>3</v>
      </c>
      <c r="G24" s="3">
        <v>0</v>
      </c>
      <c r="H24" s="3">
        <v>1</v>
      </c>
      <c r="I24" s="3"/>
      <c r="J24" s="3"/>
      <c r="K24" s="3"/>
      <c r="L24" s="3"/>
      <c r="M24" s="5">
        <f t="shared" si="2"/>
        <v>-0.92857142857142883</v>
      </c>
      <c r="N24" s="28">
        <f t="shared" si="3"/>
        <v>123.21428571428572</v>
      </c>
      <c r="O24" s="7">
        <v>0</v>
      </c>
      <c r="P24" s="7">
        <v>0</v>
      </c>
      <c r="Q24" s="7">
        <v>13</v>
      </c>
      <c r="R24" s="7">
        <v>2</v>
      </c>
      <c r="S24" s="7">
        <v>4</v>
      </c>
      <c r="T24" s="37">
        <f t="shared" si="0"/>
        <v>19</v>
      </c>
      <c r="U24" s="28">
        <f t="shared" si="4"/>
        <v>160.11904761904762</v>
      </c>
      <c r="V24" s="59">
        <f t="shared" si="5"/>
        <v>0</v>
      </c>
    </row>
    <row r="25" spans="1:22" ht="21.75" customHeight="1">
      <c r="A25" s="87">
        <v>6</v>
      </c>
      <c r="B25" s="7" t="s">
        <v>12</v>
      </c>
      <c r="C25" s="26">
        <v>11</v>
      </c>
      <c r="D25" s="26">
        <v>7</v>
      </c>
      <c r="E25" s="4">
        <f t="shared" si="1"/>
        <v>4.7678571428571432</v>
      </c>
      <c r="F25" s="3">
        <v>3</v>
      </c>
      <c r="G25" s="3">
        <v>0</v>
      </c>
      <c r="H25" s="3">
        <v>0</v>
      </c>
      <c r="I25" s="3"/>
      <c r="J25" s="3"/>
      <c r="K25" s="3"/>
      <c r="L25" s="3"/>
      <c r="M25" s="5">
        <f t="shared" si="2"/>
        <v>-1.7678571428571432</v>
      </c>
      <c r="N25" s="28">
        <f t="shared" si="3"/>
        <v>158.92857142857142</v>
      </c>
      <c r="O25" s="7">
        <v>0</v>
      </c>
      <c r="P25" s="7">
        <v>0</v>
      </c>
      <c r="Q25" s="7">
        <v>13</v>
      </c>
      <c r="R25" s="7">
        <v>1</v>
      </c>
      <c r="S25" s="7">
        <v>4</v>
      </c>
      <c r="T25" s="37">
        <f t="shared" si="0"/>
        <v>18</v>
      </c>
      <c r="U25" s="28">
        <f t="shared" si="4"/>
        <v>201.58730158730157</v>
      </c>
      <c r="V25" s="59">
        <f t="shared" si="5"/>
        <v>0</v>
      </c>
    </row>
    <row r="26" spans="1:22" ht="21.75" customHeight="1">
      <c r="A26" s="87"/>
      <c r="B26" s="7" t="s">
        <v>13</v>
      </c>
      <c r="C26" s="26">
        <v>11</v>
      </c>
      <c r="D26" s="26">
        <v>7</v>
      </c>
      <c r="E26" s="4">
        <f t="shared" si="1"/>
        <v>4.7678571428571432</v>
      </c>
      <c r="F26" s="3">
        <v>3</v>
      </c>
      <c r="G26" s="3">
        <v>0</v>
      </c>
      <c r="H26" s="3"/>
      <c r="I26" s="3"/>
      <c r="J26" s="3"/>
      <c r="K26" s="3">
        <v>1</v>
      </c>
      <c r="L26" s="3"/>
      <c r="M26" s="5">
        <f t="shared" si="2"/>
        <v>-1.7678571428571432</v>
      </c>
      <c r="N26" s="28">
        <f t="shared" si="3"/>
        <v>119.19642857142858</v>
      </c>
      <c r="O26" s="7">
        <v>0</v>
      </c>
      <c r="P26" s="7">
        <v>2</v>
      </c>
      <c r="Q26" s="7">
        <v>11</v>
      </c>
      <c r="R26" s="7">
        <v>1</v>
      </c>
      <c r="S26" s="7">
        <v>4</v>
      </c>
      <c r="T26" s="37">
        <f t="shared" si="0"/>
        <v>18</v>
      </c>
      <c r="U26" s="28">
        <f t="shared" si="4"/>
        <v>146.42857142857142</v>
      </c>
      <c r="V26" s="59">
        <f t="shared" si="5"/>
        <v>0</v>
      </c>
    </row>
    <row r="27" spans="1:22" ht="21.75" customHeight="1">
      <c r="A27" s="87"/>
      <c r="B27" s="7" t="s">
        <v>14</v>
      </c>
      <c r="C27" s="26">
        <v>10</v>
      </c>
      <c r="D27" s="26">
        <v>6</v>
      </c>
      <c r="E27" s="4">
        <f t="shared" si="1"/>
        <v>4.1785714285714288</v>
      </c>
      <c r="F27" s="3">
        <v>3</v>
      </c>
      <c r="G27" s="3">
        <v>0</v>
      </c>
      <c r="H27" s="3">
        <v>1</v>
      </c>
      <c r="I27" s="3"/>
      <c r="J27" s="3"/>
      <c r="K27" s="3">
        <v>1</v>
      </c>
      <c r="L27" s="3"/>
      <c r="M27" s="5">
        <f t="shared" si="2"/>
        <v>-0.17857142857142883</v>
      </c>
      <c r="N27" s="28">
        <f t="shared" si="3"/>
        <v>83.571428571428569</v>
      </c>
      <c r="O27" s="7">
        <v>0</v>
      </c>
      <c r="P27" s="7">
        <v>0</v>
      </c>
      <c r="Q27" s="7">
        <v>12</v>
      </c>
      <c r="R27" s="7">
        <v>1</v>
      </c>
      <c r="S27" s="7">
        <v>3</v>
      </c>
      <c r="T27" s="37">
        <f t="shared" si="0"/>
        <v>16</v>
      </c>
      <c r="U27" s="28">
        <f t="shared" si="4"/>
        <v>104.28571428571429</v>
      </c>
      <c r="V27" s="59">
        <f t="shared" si="5"/>
        <v>0</v>
      </c>
    </row>
    <row r="28" spans="1:22" ht="21.75" customHeight="1">
      <c r="A28" s="87">
        <v>7</v>
      </c>
      <c r="B28" s="7" t="s">
        <v>12</v>
      </c>
      <c r="C28" s="26">
        <v>9</v>
      </c>
      <c r="D28" s="26">
        <v>6</v>
      </c>
      <c r="E28" s="4">
        <f t="shared" si="1"/>
        <v>4.0178571428571432</v>
      </c>
      <c r="F28" s="3">
        <v>3</v>
      </c>
      <c r="G28" s="3">
        <v>0</v>
      </c>
      <c r="H28" s="3">
        <v>1</v>
      </c>
      <c r="I28" s="3"/>
      <c r="J28" s="3"/>
      <c r="K28" s="3"/>
      <c r="L28" s="3"/>
      <c r="M28" s="5">
        <f t="shared" si="2"/>
        <v>-1.7857142857143238E-2</v>
      </c>
      <c r="N28" s="28">
        <f t="shared" si="3"/>
        <v>100.44642857142858</v>
      </c>
      <c r="O28" s="7">
        <v>0</v>
      </c>
      <c r="P28" s="7">
        <v>0</v>
      </c>
      <c r="Q28" s="7">
        <v>11</v>
      </c>
      <c r="R28" s="7">
        <v>1</v>
      </c>
      <c r="S28" s="7">
        <v>3</v>
      </c>
      <c r="T28" s="37">
        <f t="shared" si="0"/>
        <v>15</v>
      </c>
      <c r="U28" s="28">
        <f t="shared" si="4"/>
        <v>123.8095238095238</v>
      </c>
      <c r="V28" s="59">
        <f t="shared" si="5"/>
        <v>0</v>
      </c>
    </row>
    <row r="29" spans="1:22" ht="21.75" customHeight="1">
      <c r="A29" s="87"/>
      <c r="B29" s="7" t="s">
        <v>13</v>
      </c>
      <c r="C29" s="26">
        <v>11</v>
      </c>
      <c r="D29" s="26">
        <v>5</v>
      </c>
      <c r="E29" s="4">
        <f t="shared" si="1"/>
        <v>3.9107142857142856</v>
      </c>
      <c r="F29" s="3">
        <v>4</v>
      </c>
      <c r="G29" s="3">
        <v>0</v>
      </c>
      <c r="H29" s="3">
        <v>1</v>
      </c>
      <c r="I29" s="3"/>
      <c r="J29" s="3"/>
      <c r="K29" s="3"/>
      <c r="L29" s="3"/>
      <c r="M29" s="5">
        <f t="shared" si="2"/>
        <v>1.0892857142857144</v>
      </c>
      <c r="N29" s="28">
        <f t="shared" si="3"/>
        <v>78.214285714285708</v>
      </c>
      <c r="O29" s="7">
        <v>0</v>
      </c>
      <c r="P29" s="7">
        <v>2</v>
      </c>
      <c r="Q29" s="7">
        <v>10</v>
      </c>
      <c r="R29" s="7">
        <v>0</v>
      </c>
      <c r="S29" s="7">
        <v>4</v>
      </c>
      <c r="T29" s="37">
        <f t="shared" si="0"/>
        <v>16</v>
      </c>
      <c r="U29" s="28">
        <f t="shared" si="4"/>
        <v>104.76190476190474</v>
      </c>
      <c r="V29" s="59">
        <f t="shared" si="5"/>
        <v>0</v>
      </c>
    </row>
    <row r="30" spans="1:22" ht="21.75" customHeight="1">
      <c r="A30" s="87"/>
      <c r="B30" s="7" t="s">
        <v>14</v>
      </c>
      <c r="C30" s="3">
        <v>10</v>
      </c>
      <c r="D30" s="3">
        <v>5</v>
      </c>
      <c r="E30" s="4">
        <f t="shared" si="1"/>
        <v>3.75</v>
      </c>
      <c r="F30" s="3">
        <v>1</v>
      </c>
      <c r="G30" s="3">
        <v>0</v>
      </c>
      <c r="H30" s="3">
        <v>0</v>
      </c>
      <c r="I30" s="3">
        <v>1</v>
      </c>
      <c r="J30" s="3"/>
      <c r="K30" s="3"/>
      <c r="L30" s="3">
        <v>1</v>
      </c>
      <c r="M30" s="5">
        <f t="shared" si="2"/>
        <v>-1.75</v>
      </c>
      <c r="N30" s="28">
        <f t="shared" si="3"/>
        <v>125</v>
      </c>
      <c r="O30" s="7">
        <v>0</v>
      </c>
      <c r="P30" s="7">
        <v>0</v>
      </c>
      <c r="Q30" s="7">
        <v>11</v>
      </c>
      <c r="R30" s="7">
        <v>1</v>
      </c>
      <c r="S30" s="7">
        <v>3</v>
      </c>
      <c r="T30" s="37">
        <f t="shared" si="0"/>
        <v>15</v>
      </c>
      <c r="U30" s="28">
        <f t="shared" si="4"/>
        <v>165.07936507936506</v>
      </c>
      <c r="V30" s="59">
        <f t="shared" si="5"/>
        <v>0</v>
      </c>
    </row>
    <row r="31" spans="1:22" ht="21.75" customHeight="1">
      <c r="A31" s="87">
        <v>8</v>
      </c>
      <c r="B31" s="7" t="s">
        <v>12</v>
      </c>
      <c r="C31" s="3">
        <v>10</v>
      </c>
      <c r="D31" s="3">
        <v>7</v>
      </c>
      <c r="E31" s="4">
        <f t="shared" si="1"/>
        <v>4.6071428571428568</v>
      </c>
      <c r="F31" s="3">
        <v>3</v>
      </c>
      <c r="G31" s="3">
        <v>0</v>
      </c>
      <c r="H31" s="3">
        <v>0</v>
      </c>
      <c r="I31" s="3"/>
      <c r="J31" s="3"/>
      <c r="K31" s="3"/>
      <c r="L31" s="3"/>
      <c r="M31" s="5">
        <f t="shared" si="2"/>
        <v>-1.6071428571428568</v>
      </c>
      <c r="N31" s="28">
        <f t="shared" si="3"/>
        <v>153.57142857142858</v>
      </c>
      <c r="O31" s="7">
        <v>0</v>
      </c>
      <c r="P31" s="7">
        <v>0</v>
      </c>
      <c r="Q31" s="7">
        <v>11</v>
      </c>
      <c r="R31" s="7">
        <v>1</v>
      </c>
      <c r="S31" s="7">
        <v>5</v>
      </c>
      <c r="T31" s="37">
        <f t="shared" si="0"/>
        <v>17</v>
      </c>
      <c r="U31" s="28">
        <f t="shared" si="4"/>
        <v>203.17460317460316</v>
      </c>
      <c r="V31" s="59">
        <f t="shared" si="5"/>
        <v>0</v>
      </c>
    </row>
    <row r="32" spans="1:22" ht="21.75" customHeight="1">
      <c r="A32" s="87"/>
      <c r="B32" s="7" t="s">
        <v>13</v>
      </c>
      <c r="C32" s="3">
        <v>10</v>
      </c>
      <c r="D32" s="3">
        <v>6</v>
      </c>
      <c r="E32" s="4">
        <f t="shared" si="1"/>
        <v>4.1785714285714288</v>
      </c>
      <c r="F32" s="3">
        <v>3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/>
      <c r="M32" s="5">
        <f t="shared" si="2"/>
        <v>-1.1785714285714288</v>
      </c>
      <c r="N32" s="28">
        <f t="shared" si="3"/>
        <v>139.28571428571428</v>
      </c>
      <c r="O32" s="7">
        <v>0</v>
      </c>
      <c r="P32" s="7">
        <v>2</v>
      </c>
      <c r="Q32" s="7">
        <v>8</v>
      </c>
      <c r="R32" s="7">
        <v>1</v>
      </c>
      <c r="S32" s="7">
        <v>5</v>
      </c>
      <c r="T32" s="37">
        <f t="shared" si="0"/>
        <v>16</v>
      </c>
      <c r="U32" s="28">
        <f t="shared" si="4"/>
        <v>188.0952380952381</v>
      </c>
      <c r="V32" s="59">
        <f t="shared" si="5"/>
        <v>0</v>
      </c>
    </row>
    <row r="33" spans="1:22" ht="21.75" customHeight="1">
      <c r="A33" s="87"/>
      <c r="B33" s="7" t="s">
        <v>14</v>
      </c>
      <c r="C33" s="3">
        <v>11</v>
      </c>
      <c r="D33" s="3">
        <v>6</v>
      </c>
      <c r="E33" s="4">
        <f t="shared" si="1"/>
        <v>4.3392857142857144</v>
      </c>
      <c r="F33" s="3">
        <v>3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5">
        <f t="shared" si="2"/>
        <v>-1.3392857142857144</v>
      </c>
      <c r="N33" s="28">
        <f t="shared" si="3"/>
        <v>144.64285714285714</v>
      </c>
      <c r="O33" s="7">
        <v>0</v>
      </c>
      <c r="P33" s="7">
        <v>0</v>
      </c>
      <c r="Q33" s="7">
        <v>10</v>
      </c>
      <c r="R33" s="7">
        <v>2</v>
      </c>
      <c r="S33" s="7">
        <v>5</v>
      </c>
      <c r="T33" s="37">
        <f t="shared" si="0"/>
        <v>17</v>
      </c>
      <c r="U33" s="28">
        <f t="shared" si="4"/>
        <v>206.34920634920638</v>
      </c>
      <c r="V33" s="59">
        <f t="shared" si="5"/>
        <v>0</v>
      </c>
    </row>
    <row r="34" spans="1:22" ht="21.75" customHeight="1">
      <c r="A34" s="87">
        <v>9</v>
      </c>
      <c r="B34" s="7" t="s">
        <v>12</v>
      </c>
      <c r="C34" s="3">
        <v>12</v>
      </c>
      <c r="D34" s="3">
        <v>6</v>
      </c>
      <c r="E34" s="4">
        <f t="shared" si="1"/>
        <v>4.5</v>
      </c>
      <c r="F34" s="3">
        <v>3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5">
        <f t="shared" si="2"/>
        <v>-1.5</v>
      </c>
      <c r="N34" s="28">
        <f t="shared" si="3"/>
        <v>150</v>
      </c>
      <c r="O34" s="7">
        <v>0</v>
      </c>
      <c r="P34" s="7">
        <v>0</v>
      </c>
      <c r="Q34" s="7">
        <v>10</v>
      </c>
      <c r="R34" s="7">
        <v>3</v>
      </c>
      <c r="S34" s="7">
        <v>5</v>
      </c>
      <c r="T34" s="37">
        <f t="shared" si="0"/>
        <v>18</v>
      </c>
      <c r="U34" s="28">
        <f t="shared" si="4"/>
        <v>218.25396825396828</v>
      </c>
      <c r="V34" s="59">
        <f t="shared" si="5"/>
        <v>0</v>
      </c>
    </row>
    <row r="35" spans="1:22" ht="21.75" customHeight="1">
      <c r="A35" s="87"/>
      <c r="B35" s="7" t="s">
        <v>13</v>
      </c>
      <c r="C35" s="3">
        <v>12</v>
      </c>
      <c r="D35" s="3">
        <v>6</v>
      </c>
      <c r="E35" s="4">
        <f t="shared" si="1"/>
        <v>4.5</v>
      </c>
      <c r="F35" s="3">
        <v>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5">
        <f t="shared" si="2"/>
        <v>-0.5</v>
      </c>
      <c r="N35" s="28">
        <f t="shared" si="3"/>
        <v>112.5</v>
      </c>
      <c r="O35" s="7">
        <v>0</v>
      </c>
      <c r="P35" s="7">
        <v>2</v>
      </c>
      <c r="Q35" s="7">
        <v>9</v>
      </c>
      <c r="R35" s="7">
        <v>2</v>
      </c>
      <c r="S35" s="7">
        <v>5</v>
      </c>
      <c r="T35" s="37">
        <f t="shared" si="0"/>
        <v>18</v>
      </c>
      <c r="U35" s="28">
        <f t="shared" si="4"/>
        <v>156.54761904761904</v>
      </c>
      <c r="V35" s="59">
        <f t="shared" si="5"/>
        <v>0</v>
      </c>
    </row>
    <row r="36" spans="1:22" ht="21.75" customHeight="1">
      <c r="A36" s="87"/>
      <c r="B36" s="7" t="s">
        <v>14</v>
      </c>
      <c r="C36" s="3">
        <v>11</v>
      </c>
      <c r="D36" s="3">
        <v>6</v>
      </c>
      <c r="E36" s="4">
        <f t="shared" si="1"/>
        <v>4.3392857142857144</v>
      </c>
      <c r="F36" s="3">
        <v>3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5">
        <f t="shared" si="2"/>
        <v>-1.3392857142857144</v>
      </c>
      <c r="N36" s="28">
        <f t="shared" si="3"/>
        <v>144.64285714285714</v>
      </c>
      <c r="O36" s="7">
        <v>0</v>
      </c>
      <c r="P36" s="7">
        <v>0</v>
      </c>
      <c r="Q36" s="7">
        <v>10</v>
      </c>
      <c r="R36" s="7">
        <v>2</v>
      </c>
      <c r="S36" s="7">
        <v>5</v>
      </c>
      <c r="T36" s="37">
        <f t="shared" si="0"/>
        <v>17</v>
      </c>
      <c r="U36" s="28">
        <f t="shared" si="4"/>
        <v>206.34920634920638</v>
      </c>
      <c r="V36" s="59">
        <f t="shared" si="5"/>
        <v>0</v>
      </c>
    </row>
    <row r="37" spans="1:22" ht="21.75" customHeight="1">
      <c r="A37" s="87">
        <v>10</v>
      </c>
      <c r="B37" s="7" t="s">
        <v>12</v>
      </c>
      <c r="C37" s="3">
        <v>11</v>
      </c>
      <c r="D37" s="3">
        <v>6</v>
      </c>
      <c r="E37" s="4">
        <f t="shared" si="1"/>
        <v>4.3392857142857144</v>
      </c>
      <c r="F37" s="3">
        <v>3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5">
        <f t="shared" si="2"/>
        <v>-1.3392857142857144</v>
      </c>
      <c r="N37" s="28">
        <f t="shared" si="3"/>
        <v>144.64285714285714</v>
      </c>
      <c r="O37" s="7">
        <v>0</v>
      </c>
      <c r="P37" s="7">
        <v>0</v>
      </c>
      <c r="Q37" s="7">
        <v>10</v>
      </c>
      <c r="R37" s="7">
        <v>2</v>
      </c>
      <c r="S37" s="7">
        <v>5</v>
      </c>
      <c r="T37" s="37">
        <f t="shared" si="0"/>
        <v>17</v>
      </c>
      <c r="U37" s="28">
        <f t="shared" si="4"/>
        <v>206.34920634920638</v>
      </c>
      <c r="V37" s="59">
        <f t="shared" si="5"/>
        <v>0</v>
      </c>
    </row>
    <row r="38" spans="1:22" ht="21.75" customHeight="1">
      <c r="A38" s="87"/>
      <c r="B38" s="7" t="s">
        <v>13</v>
      </c>
      <c r="C38" s="3">
        <v>11</v>
      </c>
      <c r="D38" s="3">
        <v>6</v>
      </c>
      <c r="E38" s="4">
        <f t="shared" si="1"/>
        <v>4.3392857142857144</v>
      </c>
      <c r="F38" s="3">
        <v>2</v>
      </c>
      <c r="G38" s="3">
        <v>0</v>
      </c>
      <c r="H38" s="3">
        <v>0</v>
      </c>
      <c r="I38" s="3">
        <v>2</v>
      </c>
      <c r="J38" s="3">
        <v>0</v>
      </c>
      <c r="K38" s="3">
        <v>0</v>
      </c>
      <c r="L38" s="3">
        <v>0</v>
      </c>
      <c r="M38" s="5">
        <f t="shared" si="2"/>
        <v>-2.3392857142857144</v>
      </c>
      <c r="N38" s="28">
        <f t="shared" si="3"/>
        <v>108.48214285714286</v>
      </c>
      <c r="O38" s="7">
        <v>0</v>
      </c>
      <c r="P38" s="7">
        <v>1</v>
      </c>
      <c r="Q38" s="7">
        <v>9</v>
      </c>
      <c r="R38" s="7">
        <v>2</v>
      </c>
      <c r="S38" s="7">
        <v>5</v>
      </c>
      <c r="T38" s="37">
        <f t="shared" si="0"/>
        <v>17</v>
      </c>
      <c r="U38" s="28">
        <f t="shared" si="4"/>
        <v>152.38095238095238</v>
      </c>
      <c r="V38" s="59">
        <f t="shared" si="5"/>
        <v>0</v>
      </c>
    </row>
    <row r="39" spans="1:22" ht="21.75" customHeight="1">
      <c r="A39" s="87"/>
      <c r="B39" s="7" t="s">
        <v>14</v>
      </c>
      <c r="C39" s="3">
        <v>10</v>
      </c>
      <c r="D39" s="3">
        <v>6</v>
      </c>
      <c r="E39" s="4">
        <f t="shared" si="1"/>
        <v>4.1785714285714288</v>
      </c>
      <c r="F39" s="3">
        <v>3</v>
      </c>
      <c r="G39" s="3">
        <v>0</v>
      </c>
      <c r="H39" s="3">
        <v>1</v>
      </c>
      <c r="I39" s="3">
        <v>0</v>
      </c>
      <c r="J39" s="3">
        <v>0</v>
      </c>
      <c r="K39" s="3">
        <v>0</v>
      </c>
      <c r="L39" s="3">
        <v>0</v>
      </c>
      <c r="M39" s="5">
        <f t="shared" si="2"/>
        <v>-0.17857142857142883</v>
      </c>
      <c r="N39" s="28">
        <f t="shared" si="3"/>
        <v>104.46428571428572</v>
      </c>
      <c r="O39" s="7">
        <v>0</v>
      </c>
      <c r="P39" s="7">
        <v>0</v>
      </c>
      <c r="Q39" s="7">
        <v>11</v>
      </c>
      <c r="R39" s="7">
        <v>2</v>
      </c>
      <c r="S39" s="7">
        <v>3</v>
      </c>
      <c r="T39" s="37">
        <f t="shared" si="0"/>
        <v>16</v>
      </c>
      <c r="U39" s="28">
        <f t="shared" si="4"/>
        <v>132.73809523809524</v>
      </c>
      <c r="V39" s="59">
        <f t="shared" si="5"/>
        <v>0</v>
      </c>
    </row>
    <row r="40" spans="1:22" ht="21.75" customHeight="1">
      <c r="A40" s="87">
        <v>11</v>
      </c>
      <c r="B40" s="7" t="s">
        <v>12</v>
      </c>
      <c r="C40" s="3">
        <v>11</v>
      </c>
      <c r="D40" s="3">
        <v>6</v>
      </c>
      <c r="E40" s="4">
        <f t="shared" si="1"/>
        <v>4.3392857142857144</v>
      </c>
      <c r="F40" s="3">
        <v>3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5">
        <f t="shared" si="2"/>
        <v>-1.3392857142857144</v>
      </c>
      <c r="N40" s="28">
        <f t="shared" si="3"/>
        <v>144.64285714285714</v>
      </c>
      <c r="O40" s="7">
        <v>0</v>
      </c>
      <c r="P40" s="7">
        <v>0</v>
      </c>
      <c r="Q40" s="7">
        <v>12</v>
      </c>
      <c r="R40" s="7">
        <v>2</v>
      </c>
      <c r="S40" s="7">
        <v>3</v>
      </c>
      <c r="T40" s="37">
        <f t="shared" si="0"/>
        <v>17</v>
      </c>
      <c r="U40" s="28">
        <f t="shared" si="4"/>
        <v>185.71428571428572</v>
      </c>
      <c r="V40" s="59">
        <f t="shared" si="5"/>
        <v>0</v>
      </c>
    </row>
    <row r="41" spans="1:22" ht="21.75" customHeight="1">
      <c r="A41" s="87"/>
      <c r="B41" s="7" t="s">
        <v>13</v>
      </c>
      <c r="C41" s="3">
        <v>12</v>
      </c>
      <c r="D41" s="3">
        <v>6</v>
      </c>
      <c r="E41" s="4">
        <f t="shared" si="1"/>
        <v>4.5</v>
      </c>
      <c r="F41" s="3">
        <v>3</v>
      </c>
      <c r="G41" s="3">
        <v>0</v>
      </c>
      <c r="H41" s="3">
        <v>0</v>
      </c>
      <c r="I41" s="3">
        <v>1</v>
      </c>
      <c r="J41" s="3">
        <v>0</v>
      </c>
      <c r="K41" s="3">
        <v>1</v>
      </c>
      <c r="L41" s="3">
        <v>0</v>
      </c>
      <c r="M41" s="5">
        <f t="shared" si="2"/>
        <v>-1.5</v>
      </c>
      <c r="N41" s="28">
        <f t="shared" si="3"/>
        <v>90</v>
      </c>
      <c r="O41" s="7">
        <v>0</v>
      </c>
      <c r="P41" s="7">
        <v>1</v>
      </c>
      <c r="Q41" s="7">
        <v>13</v>
      </c>
      <c r="R41" s="7">
        <v>1</v>
      </c>
      <c r="S41" s="7">
        <v>3</v>
      </c>
      <c r="T41" s="37">
        <f t="shared" si="0"/>
        <v>18</v>
      </c>
      <c r="U41" s="28">
        <f t="shared" si="4"/>
        <v>112.85714285714286</v>
      </c>
      <c r="V41" s="59">
        <f t="shared" si="5"/>
        <v>0</v>
      </c>
    </row>
    <row r="42" spans="1:22" ht="21.75" customHeight="1">
      <c r="A42" s="87"/>
      <c r="B42" s="7" t="s">
        <v>14</v>
      </c>
      <c r="C42" s="3">
        <v>14</v>
      </c>
      <c r="D42" s="3">
        <v>3</v>
      </c>
      <c r="E42" s="4">
        <f t="shared" si="1"/>
        <v>3.5357142857142856</v>
      </c>
      <c r="F42" s="3">
        <v>3</v>
      </c>
      <c r="G42" s="3">
        <v>0</v>
      </c>
      <c r="H42" s="3">
        <v>0</v>
      </c>
      <c r="I42" s="3">
        <v>0</v>
      </c>
      <c r="J42" s="3">
        <v>0</v>
      </c>
      <c r="K42" s="3">
        <v>1</v>
      </c>
      <c r="L42" s="3">
        <v>0</v>
      </c>
      <c r="M42" s="5">
        <f t="shared" si="2"/>
        <v>-0.53571428571428559</v>
      </c>
      <c r="N42" s="28">
        <f t="shared" si="3"/>
        <v>88.392857142857139</v>
      </c>
      <c r="O42" s="7">
        <v>0</v>
      </c>
      <c r="P42" s="7">
        <v>0</v>
      </c>
      <c r="Q42" s="7">
        <v>13</v>
      </c>
      <c r="R42" s="7">
        <v>1</v>
      </c>
      <c r="S42" s="7">
        <v>3</v>
      </c>
      <c r="T42" s="37">
        <f t="shared" si="0"/>
        <v>17</v>
      </c>
      <c r="U42" s="28">
        <f t="shared" si="4"/>
        <v>136.9047619047619</v>
      </c>
      <c r="V42" s="59">
        <f t="shared" si="5"/>
        <v>0</v>
      </c>
    </row>
    <row r="43" spans="1:22" ht="21.75" customHeight="1">
      <c r="A43" s="87">
        <v>12</v>
      </c>
      <c r="B43" s="7" t="s">
        <v>12</v>
      </c>
      <c r="C43" s="3">
        <v>12</v>
      </c>
      <c r="D43" s="3">
        <v>3</v>
      </c>
      <c r="E43" s="4">
        <f t="shared" si="1"/>
        <v>3.2142857142857144</v>
      </c>
      <c r="F43" s="3">
        <v>3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5">
        <f t="shared" si="2"/>
        <v>-0.21428571428571441</v>
      </c>
      <c r="N43" s="28">
        <f t="shared" si="3"/>
        <v>107.14285714285714</v>
      </c>
      <c r="O43" s="7">
        <v>0</v>
      </c>
      <c r="P43" s="7">
        <v>0</v>
      </c>
      <c r="Q43" s="7">
        <v>11</v>
      </c>
      <c r="R43" s="7">
        <v>1</v>
      </c>
      <c r="S43" s="7">
        <v>3</v>
      </c>
      <c r="T43" s="37">
        <f t="shared" si="0"/>
        <v>15</v>
      </c>
      <c r="U43" s="28">
        <f t="shared" si="4"/>
        <v>165.07936507936506</v>
      </c>
      <c r="V43" s="59">
        <f t="shared" si="5"/>
        <v>0</v>
      </c>
    </row>
    <row r="44" spans="1:22" ht="21.75" customHeight="1">
      <c r="A44" s="87"/>
      <c r="B44" s="7" t="s">
        <v>13</v>
      </c>
      <c r="C44" s="3">
        <v>14</v>
      </c>
      <c r="D44" s="3">
        <v>3</v>
      </c>
      <c r="E44" s="4">
        <f t="shared" si="1"/>
        <v>3.5357142857142856</v>
      </c>
      <c r="F44" s="3">
        <v>3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5">
        <f t="shared" si="2"/>
        <v>-0.53571428571428559</v>
      </c>
      <c r="N44" s="28">
        <f t="shared" si="3"/>
        <v>117.85714285714286</v>
      </c>
      <c r="O44" s="7">
        <v>0</v>
      </c>
      <c r="P44" s="7">
        <v>3</v>
      </c>
      <c r="Q44" s="7">
        <v>11</v>
      </c>
      <c r="R44" s="7">
        <v>0</v>
      </c>
      <c r="S44" s="7">
        <v>3</v>
      </c>
      <c r="T44" s="37">
        <f t="shared" si="0"/>
        <v>17</v>
      </c>
      <c r="U44" s="28">
        <f t="shared" si="4"/>
        <v>169.84126984126985</v>
      </c>
      <c r="V44" s="59">
        <f t="shared" si="5"/>
        <v>0</v>
      </c>
    </row>
    <row r="45" spans="1:22" ht="21.75" customHeight="1">
      <c r="A45" s="87"/>
      <c r="B45" s="7" t="s">
        <v>14</v>
      </c>
      <c r="C45" s="3">
        <v>10</v>
      </c>
      <c r="D45" s="3">
        <v>4</v>
      </c>
      <c r="E45" s="4">
        <f t="shared" si="1"/>
        <v>3.3214285714285716</v>
      </c>
      <c r="F45" s="3">
        <v>3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5">
        <f t="shared" si="2"/>
        <v>-0.32142857142857162</v>
      </c>
      <c r="N45" s="28">
        <f t="shared" si="3"/>
        <v>110.71428571428572</v>
      </c>
      <c r="O45" s="7">
        <v>0</v>
      </c>
      <c r="P45" s="7">
        <v>0</v>
      </c>
      <c r="Q45" s="7">
        <v>10</v>
      </c>
      <c r="R45" s="7">
        <v>0</v>
      </c>
      <c r="S45" s="7">
        <v>4</v>
      </c>
      <c r="T45" s="37">
        <f t="shared" si="0"/>
        <v>14</v>
      </c>
      <c r="U45" s="28">
        <f t="shared" si="4"/>
        <v>163.49206349206352</v>
      </c>
      <c r="V45" s="59">
        <f t="shared" si="5"/>
        <v>0</v>
      </c>
    </row>
    <row r="46" spans="1:22" ht="21.75" customHeight="1">
      <c r="A46" s="87">
        <v>13</v>
      </c>
      <c r="B46" s="7" t="s">
        <v>12</v>
      </c>
      <c r="C46" s="3">
        <v>11</v>
      </c>
      <c r="D46" s="3">
        <v>4</v>
      </c>
      <c r="E46" s="4">
        <f t="shared" si="1"/>
        <v>3.4821428571428572</v>
      </c>
      <c r="F46" s="3">
        <v>3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5">
        <f t="shared" si="2"/>
        <v>-0.48214285714285721</v>
      </c>
      <c r="N46" s="28">
        <f t="shared" si="3"/>
        <v>116.07142857142858</v>
      </c>
      <c r="O46" s="7">
        <v>0</v>
      </c>
      <c r="P46" s="7">
        <v>0</v>
      </c>
      <c r="Q46" s="7">
        <v>11</v>
      </c>
      <c r="R46" s="7">
        <v>0</v>
      </c>
      <c r="S46" s="7">
        <v>4</v>
      </c>
      <c r="T46" s="37">
        <f t="shared" si="0"/>
        <v>15</v>
      </c>
      <c r="U46" s="28">
        <f t="shared" si="4"/>
        <v>172.2222222222222</v>
      </c>
      <c r="V46" s="59">
        <f t="shared" si="5"/>
        <v>0</v>
      </c>
    </row>
    <row r="47" spans="1:22" ht="21.75" customHeight="1">
      <c r="A47" s="87"/>
      <c r="B47" s="7" t="s">
        <v>13</v>
      </c>
      <c r="C47" s="3">
        <v>11</v>
      </c>
      <c r="D47" s="3">
        <v>4</v>
      </c>
      <c r="E47" s="4">
        <f t="shared" si="1"/>
        <v>3.4821428571428572</v>
      </c>
      <c r="F47" s="3">
        <v>3</v>
      </c>
      <c r="G47" s="3">
        <v>0</v>
      </c>
      <c r="H47" s="3">
        <v>0</v>
      </c>
      <c r="I47" s="3">
        <v>0</v>
      </c>
      <c r="J47" s="3">
        <v>0</v>
      </c>
      <c r="K47" s="3">
        <v>1</v>
      </c>
      <c r="L47" s="3">
        <v>0</v>
      </c>
      <c r="M47" s="5">
        <f t="shared" si="2"/>
        <v>-0.48214285714285721</v>
      </c>
      <c r="N47" s="28">
        <f t="shared" si="3"/>
        <v>87.053571428571431</v>
      </c>
      <c r="O47" s="7">
        <v>0</v>
      </c>
      <c r="P47" s="7">
        <v>1</v>
      </c>
      <c r="Q47" s="7">
        <v>10</v>
      </c>
      <c r="R47" s="7">
        <v>0</v>
      </c>
      <c r="S47" s="7">
        <v>4</v>
      </c>
      <c r="T47" s="37">
        <f t="shared" si="0"/>
        <v>15</v>
      </c>
      <c r="U47" s="28">
        <f t="shared" si="4"/>
        <v>126.78571428571428</v>
      </c>
      <c r="V47" s="59">
        <f t="shared" si="5"/>
        <v>0</v>
      </c>
    </row>
    <row r="48" spans="1:22" ht="21.75" customHeight="1">
      <c r="A48" s="87"/>
      <c r="B48" s="7" t="s">
        <v>14</v>
      </c>
      <c r="C48" s="3">
        <v>9</v>
      </c>
      <c r="D48" s="3">
        <v>4</v>
      </c>
      <c r="E48" s="4">
        <f t="shared" si="1"/>
        <v>3.1607142857142856</v>
      </c>
      <c r="F48" s="3">
        <v>3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5">
        <f t="shared" si="2"/>
        <v>-0.16071428571428559</v>
      </c>
      <c r="N48" s="28">
        <f t="shared" si="3"/>
        <v>105.35714285714286</v>
      </c>
      <c r="O48" s="7">
        <v>0</v>
      </c>
      <c r="P48" s="7">
        <v>0</v>
      </c>
      <c r="Q48" s="7">
        <v>9</v>
      </c>
      <c r="R48" s="7">
        <v>0</v>
      </c>
      <c r="S48" s="7">
        <v>4</v>
      </c>
      <c r="T48" s="37">
        <f t="shared" si="0"/>
        <v>13</v>
      </c>
      <c r="U48" s="28">
        <f t="shared" si="4"/>
        <v>154.76190476190476</v>
      </c>
      <c r="V48" s="59">
        <f t="shared" si="5"/>
        <v>0</v>
      </c>
    </row>
    <row r="49" spans="1:22" ht="21.75" customHeight="1">
      <c r="A49" s="87">
        <v>14</v>
      </c>
      <c r="B49" s="7" t="s">
        <v>12</v>
      </c>
      <c r="C49" s="3">
        <v>9</v>
      </c>
      <c r="D49" s="3">
        <v>4</v>
      </c>
      <c r="E49" s="4">
        <f t="shared" si="1"/>
        <v>3.1607142857142856</v>
      </c>
      <c r="F49" s="3">
        <v>2</v>
      </c>
      <c r="G49" s="3">
        <v>0</v>
      </c>
      <c r="H49" s="3">
        <v>0</v>
      </c>
      <c r="I49" s="3">
        <v>1</v>
      </c>
      <c r="J49" s="3">
        <v>0</v>
      </c>
      <c r="K49" s="3">
        <v>0</v>
      </c>
      <c r="L49" s="3">
        <v>0</v>
      </c>
      <c r="M49" s="5">
        <f t="shared" si="2"/>
        <v>-1.1607142857142856</v>
      </c>
      <c r="N49" s="28">
        <f t="shared" si="3"/>
        <v>105.35714285714286</v>
      </c>
      <c r="O49" s="7">
        <v>0</v>
      </c>
      <c r="P49" s="7">
        <v>0</v>
      </c>
      <c r="Q49" s="7">
        <v>9</v>
      </c>
      <c r="R49" s="7">
        <v>0</v>
      </c>
      <c r="S49" s="7">
        <v>4</v>
      </c>
      <c r="T49" s="37">
        <f t="shared" si="0"/>
        <v>13</v>
      </c>
      <c r="U49" s="28">
        <f t="shared" si="4"/>
        <v>154.76190476190476</v>
      </c>
      <c r="V49" s="59">
        <f t="shared" si="5"/>
        <v>0</v>
      </c>
    </row>
    <row r="50" spans="1:22" ht="21.75" customHeight="1">
      <c r="A50" s="87"/>
      <c r="B50" s="7" t="s">
        <v>13</v>
      </c>
      <c r="C50" s="3">
        <v>10</v>
      </c>
      <c r="D50" s="3">
        <v>4</v>
      </c>
      <c r="E50" s="4">
        <f t="shared" si="1"/>
        <v>3.3214285714285716</v>
      </c>
      <c r="F50" s="3">
        <v>3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5">
        <f t="shared" si="2"/>
        <v>-0.32142857142857162</v>
      </c>
      <c r="N50" s="28">
        <f t="shared" si="3"/>
        <v>110.71428571428572</v>
      </c>
      <c r="O50" s="7">
        <v>0</v>
      </c>
      <c r="P50" s="7">
        <v>0</v>
      </c>
      <c r="Q50" s="7">
        <v>9</v>
      </c>
      <c r="R50" s="7">
        <v>1</v>
      </c>
      <c r="S50" s="7">
        <v>4</v>
      </c>
      <c r="T50" s="37">
        <f t="shared" si="0"/>
        <v>14</v>
      </c>
      <c r="U50" s="28">
        <f t="shared" si="4"/>
        <v>166.66666666666669</v>
      </c>
      <c r="V50" s="59">
        <f t="shared" si="5"/>
        <v>0</v>
      </c>
    </row>
    <row r="51" spans="1:22" ht="21.75" customHeight="1">
      <c r="A51" s="87"/>
      <c r="B51" s="7" t="s">
        <v>14</v>
      </c>
      <c r="C51" s="3">
        <v>10</v>
      </c>
      <c r="D51" s="3">
        <v>4</v>
      </c>
      <c r="E51" s="4">
        <f t="shared" si="1"/>
        <v>3.3214285714285716</v>
      </c>
      <c r="F51" s="3">
        <v>3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5">
        <f t="shared" si="2"/>
        <v>-0.32142857142857162</v>
      </c>
      <c r="N51" s="28">
        <f t="shared" si="3"/>
        <v>110.71428571428572</v>
      </c>
      <c r="O51" s="7">
        <v>0</v>
      </c>
      <c r="P51" s="7">
        <v>0</v>
      </c>
      <c r="Q51" s="7">
        <v>9</v>
      </c>
      <c r="R51" s="7">
        <v>1</v>
      </c>
      <c r="S51" s="7">
        <v>4</v>
      </c>
      <c r="T51" s="37">
        <f t="shared" si="0"/>
        <v>14</v>
      </c>
      <c r="U51" s="28">
        <f t="shared" si="4"/>
        <v>166.66666666666669</v>
      </c>
      <c r="V51" s="59">
        <f t="shared" si="5"/>
        <v>0</v>
      </c>
    </row>
    <row r="52" spans="1:22" ht="21.75" customHeight="1">
      <c r="A52" s="87">
        <v>15</v>
      </c>
      <c r="B52" s="7" t="s">
        <v>12</v>
      </c>
      <c r="C52" s="3">
        <v>10</v>
      </c>
      <c r="D52" s="3">
        <v>4</v>
      </c>
      <c r="E52" s="4">
        <f t="shared" si="1"/>
        <v>3.3214285714285716</v>
      </c>
      <c r="F52" s="3">
        <v>3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5">
        <f t="shared" si="2"/>
        <v>-0.32142857142857162</v>
      </c>
      <c r="N52" s="28">
        <f t="shared" si="3"/>
        <v>110.71428571428572</v>
      </c>
      <c r="O52" s="7">
        <v>0</v>
      </c>
      <c r="P52" s="7">
        <v>0</v>
      </c>
      <c r="Q52" s="7">
        <v>9</v>
      </c>
      <c r="R52" s="7">
        <v>1</v>
      </c>
      <c r="S52" s="7">
        <v>4</v>
      </c>
      <c r="T52" s="37">
        <f t="shared" si="0"/>
        <v>14</v>
      </c>
      <c r="U52" s="28">
        <f t="shared" si="4"/>
        <v>166.66666666666669</v>
      </c>
      <c r="V52" s="59">
        <f t="shared" si="5"/>
        <v>0</v>
      </c>
    </row>
    <row r="53" spans="1:22" ht="21.75" customHeight="1">
      <c r="A53" s="87"/>
      <c r="B53" s="7" t="s">
        <v>13</v>
      </c>
      <c r="C53" s="3">
        <v>9</v>
      </c>
      <c r="D53" s="3">
        <v>4</v>
      </c>
      <c r="E53" s="4">
        <f t="shared" si="1"/>
        <v>3.1607142857142856</v>
      </c>
      <c r="F53" s="3">
        <v>3</v>
      </c>
      <c r="G53" s="3">
        <v>0</v>
      </c>
      <c r="H53" s="3">
        <v>0</v>
      </c>
      <c r="I53" s="3">
        <v>1</v>
      </c>
      <c r="J53" s="3">
        <v>0</v>
      </c>
      <c r="K53" s="3">
        <v>1</v>
      </c>
      <c r="L53" s="3">
        <v>0</v>
      </c>
      <c r="M53" s="5">
        <f t="shared" si="2"/>
        <v>-0.16071428571428559</v>
      </c>
      <c r="N53" s="28">
        <f t="shared" si="3"/>
        <v>63.214285714285708</v>
      </c>
      <c r="O53" s="7">
        <v>0</v>
      </c>
      <c r="P53" s="7">
        <v>1</v>
      </c>
      <c r="Q53" s="7">
        <v>8</v>
      </c>
      <c r="R53" s="7">
        <v>0</v>
      </c>
      <c r="S53" s="7">
        <v>4</v>
      </c>
      <c r="T53" s="37">
        <f t="shared" si="0"/>
        <v>13</v>
      </c>
      <c r="U53" s="28">
        <f t="shared" si="4"/>
        <v>90.952380952380949</v>
      </c>
      <c r="V53" s="59">
        <f t="shared" si="5"/>
        <v>0</v>
      </c>
    </row>
    <row r="54" spans="1:22" ht="21.75" customHeight="1">
      <c r="A54" s="87"/>
      <c r="B54" s="7" t="s">
        <v>14</v>
      </c>
      <c r="C54" s="3">
        <v>8</v>
      </c>
      <c r="D54" s="3">
        <v>4</v>
      </c>
      <c r="E54" s="4">
        <f t="shared" si="1"/>
        <v>3</v>
      </c>
      <c r="F54" s="3">
        <v>3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5">
        <f t="shared" si="2"/>
        <v>0</v>
      </c>
      <c r="N54" s="28">
        <f t="shared" si="3"/>
        <v>100</v>
      </c>
      <c r="O54" s="7">
        <v>0</v>
      </c>
      <c r="P54" s="7">
        <v>0</v>
      </c>
      <c r="Q54" s="7">
        <v>8</v>
      </c>
      <c r="R54" s="7">
        <v>0</v>
      </c>
      <c r="S54" s="7">
        <v>4</v>
      </c>
      <c r="T54" s="37">
        <f t="shared" si="0"/>
        <v>12</v>
      </c>
      <c r="U54" s="28">
        <f t="shared" si="4"/>
        <v>146.03174603174605</v>
      </c>
      <c r="V54" s="59">
        <f t="shared" si="5"/>
        <v>0</v>
      </c>
    </row>
    <row r="55" spans="1:22" ht="21.75" customHeight="1">
      <c r="A55" s="87">
        <v>16</v>
      </c>
      <c r="B55" s="7" t="s">
        <v>12</v>
      </c>
      <c r="C55" s="3">
        <v>8</v>
      </c>
      <c r="D55" s="3">
        <v>4</v>
      </c>
      <c r="E55" s="4">
        <f t="shared" si="1"/>
        <v>3</v>
      </c>
      <c r="F55" s="3">
        <v>3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5">
        <f t="shared" si="2"/>
        <v>0</v>
      </c>
      <c r="N55" s="28">
        <f t="shared" si="3"/>
        <v>100</v>
      </c>
      <c r="O55" s="7">
        <v>0</v>
      </c>
      <c r="P55" s="7">
        <v>0</v>
      </c>
      <c r="Q55" s="7">
        <v>8</v>
      </c>
      <c r="R55" s="7">
        <v>0</v>
      </c>
      <c r="S55" s="7">
        <v>4</v>
      </c>
      <c r="T55" s="37">
        <f t="shared" si="0"/>
        <v>12</v>
      </c>
      <c r="U55" s="28">
        <f t="shared" si="4"/>
        <v>146.03174603174605</v>
      </c>
      <c r="V55" s="59">
        <f t="shared" si="5"/>
        <v>0</v>
      </c>
    </row>
    <row r="56" spans="1:22" ht="21.75" customHeight="1">
      <c r="A56" s="87"/>
      <c r="B56" s="7" t="s">
        <v>13</v>
      </c>
      <c r="C56" s="3">
        <v>8</v>
      </c>
      <c r="D56" s="3">
        <v>4</v>
      </c>
      <c r="E56" s="4">
        <f t="shared" si="1"/>
        <v>3</v>
      </c>
      <c r="F56" s="3">
        <v>3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5">
        <f t="shared" si="2"/>
        <v>0</v>
      </c>
      <c r="N56" s="28">
        <f t="shared" si="3"/>
        <v>100</v>
      </c>
      <c r="O56" s="7">
        <v>0</v>
      </c>
      <c r="P56" s="7">
        <v>4</v>
      </c>
      <c r="Q56" s="7">
        <v>4</v>
      </c>
      <c r="R56" s="7">
        <v>0</v>
      </c>
      <c r="S56" s="7">
        <v>4</v>
      </c>
      <c r="T56" s="37">
        <f t="shared" si="0"/>
        <v>12</v>
      </c>
      <c r="U56" s="28">
        <f t="shared" si="4"/>
        <v>133.33333333333331</v>
      </c>
      <c r="V56" s="59">
        <f t="shared" si="5"/>
        <v>0</v>
      </c>
    </row>
    <row r="57" spans="1:22" ht="21.75" customHeight="1">
      <c r="A57" s="87"/>
      <c r="B57" s="7" t="s">
        <v>14</v>
      </c>
      <c r="C57" s="3">
        <v>6</v>
      </c>
      <c r="D57" s="3">
        <v>4</v>
      </c>
      <c r="E57" s="4">
        <f t="shared" si="1"/>
        <v>2.6785714285714284</v>
      </c>
      <c r="F57" s="3">
        <v>3</v>
      </c>
      <c r="G57" s="3">
        <v>0</v>
      </c>
      <c r="H57" s="3">
        <v>1</v>
      </c>
      <c r="I57" s="3">
        <v>0</v>
      </c>
      <c r="J57" s="3">
        <v>0</v>
      </c>
      <c r="K57" s="3">
        <v>0</v>
      </c>
      <c r="L57" s="3">
        <v>0</v>
      </c>
      <c r="M57" s="5">
        <f t="shared" si="2"/>
        <v>1.3214285714285716</v>
      </c>
      <c r="N57" s="28">
        <f t="shared" si="3"/>
        <v>66.964285714285708</v>
      </c>
      <c r="O57" s="7">
        <v>0</v>
      </c>
      <c r="P57" s="7">
        <v>0</v>
      </c>
      <c r="Q57" s="7">
        <v>5</v>
      </c>
      <c r="R57" s="7">
        <v>3</v>
      </c>
      <c r="S57" s="7">
        <v>2</v>
      </c>
      <c r="T57" s="37">
        <f t="shared" si="0"/>
        <v>10</v>
      </c>
      <c r="U57" s="28">
        <f t="shared" si="4"/>
        <v>88.095238095238102</v>
      </c>
      <c r="V57" s="59">
        <f t="shared" si="5"/>
        <v>0</v>
      </c>
    </row>
    <row r="58" spans="1:22" ht="21.75" customHeight="1">
      <c r="A58" s="87">
        <v>17</v>
      </c>
      <c r="B58" s="7" t="s">
        <v>12</v>
      </c>
      <c r="C58" s="3">
        <v>6</v>
      </c>
      <c r="D58" s="3">
        <v>4</v>
      </c>
      <c r="E58" s="4">
        <f t="shared" si="1"/>
        <v>2.6785714285714284</v>
      </c>
      <c r="F58" s="3">
        <v>3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5">
        <f t="shared" si="2"/>
        <v>0.32142857142857162</v>
      </c>
      <c r="N58" s="28">
        <f t="shared" si="3"/>
        <v>89.285714285714292</v>
      </c>
      <c r="O58" s="7">
        <v>0</v>
      </c>
      <c r="P58" s="7">
        <v>0</v>
      </c>
      <c r="Q58" s="7">
        <v>5</v>
      </c>
      <c r="R58" s="7">
        <v>3</v>
      </c>
      <c r="S58" s="7">
        <v>2</v>
      </c>
      <c r="T58" s="37">
        <f t="shared" si="0"/>
        <v>10</v>
      </c>
      <c r="U58" s="28">
        <f t="shared" si="4"/>
        <v>117.46031746031747</v>
      </c>
      <c r="V58" s="59">
        <f t="shared" si="5"/>
        <v>0</v>
      </c>
    </row>
    <row r="59" spans="1:22" ht="21.75" customHeight="1">
      <c r="A59" s="87"/>
      <c r="B59" s="7" t="s">
        <v>13</v>
      </c>
      <c r="C59" s="3">
        <v>6</v>
      </c>
      <c r="D59" s="3">
        <v>4</v>
      </c>
      <c r="E59" s="4">
        <f t="shared" si="1"/>
        <v>2.6785714285714284</v>
      </c>
      <c r="F59" s="3">
        <v>3</v>
      </c>
      <c r="G59" s="3">
        <v>0</v>
      </c>
      <c r="H59" s="3">
        <v>0</v>
      </c>
      <c r="I59" s="3">
        <v>1</v>
      </c>
      <c r="J59" s="3">
        <v>0</v>
      </c>
      <c r="K59" s="3">
        <v>0</v>
      </c>
      <c r="L59" s="3">
        <v>0</v>
      </c>
      <c r="M59" s="5">
        <f t="shared" si="2"/>
        <v>0.32142857142857162</v>
      </c>
      <c r="N59" s="28">
        <f t="shared" si="3"/>
        <v>66.964285714285708</v>
      </c>
      <c r="O59" s="7">
        <v>0</v>
      </c>
      <c r="P59" s="7">
        <v>2</v>
      </c>
      <c r="Q59" s="7">
        <v>4</v>
      </c>
      <c r="R59" s="7">
        <v>2</v>
      </c>
      <c r="S59" s="7">
        <v>2</v>
      </c>
      <c r="T59" s="37">
        <f t="shared" si="0"/>
        <v>10</v>
      </c>
      <c r="U59" s="28">
        <f t="shared" si="4"/>
        <v>80.952380952380949</v>
      </c>
      <c r="V59" s="59">
        <f t="shared" si="5"/>
        <v>0</v>
      </c>
    </row>
    <row r="60" spans="1:22" ht="21.75" customHeight="1">
      <c r="A60" s="87"/>
      <c r="B60" s="7" t="s">
        <v>14</v>
      </c>
      <c r="C60" s="3">
        <v>3</v>
      </c>
      <c r="D60" s="3">
        <v>4</v>
      </c>
      <c r="E60" s="4">
        <f t="shared" si="1"/>
        <v>2.1964285714285716</v>
      </c>
      <c r="F60" s="3">
        <v>3</v>
      </c>
      <c r="G60" s="3">
        <v>0</v>
      </c>
      <c r="H60" s="3">
        <v>0</v>
      </c>
      <c r="I60" s="3">
        <v>0</v>
      </c>
      <c r="J60" s="3">
        <v>0</v>
      </c>
      <c r="K60" s="3">
        <v>1</v>
      </c>
      <c r="L60" s="3">
        <v>0</v>
      </c>
      <c r="M60" s="5">
        <f t="shared" si="2"/>
        <v>0.80357142857142838</v>
      </c>
      <c r="N60" s="28">
        <f t="shared" si="3"/>
        <v>54.910714285714292</v>
      </c>
      <c r="O60" s="7">
        <v>0</v>
      </c>
      <c r="P60" s="7">
        <v>0</v>
      </c>
      <c r="Q60" s="7">
        <v>3</v>
      </c>
      <c r="R60" s="7">
        <v>2</v>
      </c>
      <c r="S60" s="7">
        <v>2</v>
      </c>
      <c r="T60" s="37">
        <f t="shared" si="0"/>
        <v>7</v>
      </c>
      <c r="U60" s="28">
        <f t="shared" si="4"/>
        <v>66.071428571428569</v>
      </c>
      <c r="V60" s="59">
        <f t="shared" si="5"/>
        <v>0</v>
      </c>
    </row>
    <row r="61" spans="1:22" ht="21.75" customHeight="1">
      <c r="A61" s="87">
        <v>18</v>
      </c>
      <c r="B61" s="7" t="s">
        <v>12</v>
      </c>
      <c r="C61" s="3">
        <v>4</v>
      </c>
      <c r="D61" s="3">
        <v>4</v>
      </c>
      <c r="E61" s="4">
        <f t="shared" si="1"/>
        <v>2.3571428571428572</v>
      </c>
      <c r="F61" s="3">
        <v>3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5">
        <f t="shared" si="2"/>
        <v>0.64285714285714279</v>
      </c>
      <c r="N61" s="28">
        <f t="shared" si="3"/>
        <v>78.571428571428569</v>
      </c>
      <c r="O61" s="7">
        <v>0</v>
      </c>
      <c r="P61" s="7">
        <v>0</v>
      </c>
      <c r="Q61" s="7">
        <v>3</v>
      </c>
      <c r="R61" s="7">
        <v>3</v>
      </c>
      <c r="S61" s="7">
        <v>2</v>
      </c>
      <c r="T61" s="37">
        <f t="shared" si="0"/>
        <v>8</v>
      </c>
      <c r="U61" s="28">
        <f t="shared" si="4"/>
        <v>100</v>
      </c>
      <c r="V61" s="59">
        <f t="shared" si="5"/>
        <v>0</v>
      </c>
    </row>
    <row r="62" spans="1:22" ht="21.75" customHeight="1">
      <c r="A62" s="87"/>
      <c r="B62" s="7" t="s">
        <v>13</v>
      </c>
      <c r="C62" s="3">
        <v>5</v>
      </c>
      <c r="D62" s="3">
        <v>5</v>
      </c>
      <c r="E62" s="4">
        <f t="shared" si="1"/>
        <v>2.9464285714285716</v>
      </c>
      <c r="F62" s="3">
        <v>4</v>
      </c>
      <c r="G62" s="3">
        <v>0</v>
      </c>
      <c r="H62" s="3">
        <v>0</v>
      </c>
      <c r="I62" s="3">
        <v>0</v>
      </c>
      <c r="J62" s="3">
        <v>0</v>
      </c>
      <c r="K62" s="3">
        <v>1</v>
      </c>
      <c r="L62" s="3">
        <v>0</v>
      </c>
      <c r="M62" s="5">
        <f t="shared" si="2"/>
        <v>1.0535714285714284</v>
      </c>
      <c r="N62" s="28">
        <f t="shared" si="3"/>
        <v>58.928571428571431</v>
      </c>
      <c r="O62" s="7">
        <v>0</v>
      </c>
      <c r="P62" s="7">
        <v>0</v>
      </c>
      <c r="Q62" s="7">
        <v>5</v>
      </c>
      <c r="R62" s="7">
        <v>2</v>
      </c>
      <c r="S62" s="7">
        <v>3</v>
      </c>
      <c r="T62" s="37">
        <f t="shared" si="0"/>
        <v>10</v>
      </c>
      <c r="U62" s="28">
        <f t="shared" si="4"/>
        <v>74.761904761904759</v>
      </c>
      <c r="V62" s="59">
        <f t="shared" si="5"/>
        <v>0</v>
      </c>
    </row>
    <row r="63" spans="1:22" ht="21.75" customHeight="1">
      <c r="A63" s="87"/>
      <c r="B63" s="7" t="s">
        <v>14</v>
      </c>
      <c r="C63" s="3">
        <v>3</v>
      </c>
      <c r="D63" s="3">
        <v>5</v>
      </c>
      <c r="E63" s="4">
        <f t="shared" si="1"/>
        <v>2.625</v>
      </c>
      <c r="F63" s="3">
        <v>3</v>
      </c>
      <c r="G63" s="3">
        <v>0</v>
      </c>
      <c r="H63" s="3">
        <v>1</v>
      </c>
      <c r="I63" s="3">
        <v>0</v>
      </c>
      <c r="J63" s="3">
        <v>0</v>
      </c>
      <c r="K63" s="3">
        <v>0</v>
      </c>
      <c r="L63" s="3">
        <v>0</v>
      </c>
      <c r="M63" s="5">
        <f t="shared" si="2"/>
        <v>1.375</v>
      </c>
      <c r="N63" s="28">
        <f t="shared" si="3"/>
        <v>65.625</v>
      </c>
      <c r="O63" s="7">
        <v>0</v>
      </c>
      <c r="P63" s="7">
        <v>0</v>
      </c>
      <c r="Q63" s="7">
        <v>3</v>
      </c>
      <c r="R63" s="7">
        <v>2</v>
      </c>
      <c r="S63" s="7">
        <v>3</v>
      </c>
      <c r="T63" s="37">
        <f t="shared" si="0"/>
        <v>8</v>
      </c>
      <c r="U63" s="28">
        <f t="shared" si="4"/>
        <v>80.357142857142861</v>
      </c>
      <c r="V63" s="59">
        <f t="shared" si="5"/>
        <v>0</v>
      </c>
    </row>
    <row r="64" spans="1:22" ht="21.75" customHeight="1">
      <c r="A64" s="87">
        <v>19</v>
      </c>
      <c r="B64" s="7" t="s">
        <v>12</v>
      </c>
      <c r="C64" s="3">
        <v>3</v>
      </c>
      <c r="D64" s="3">
        <v>5</v>
      </c>
      <c r="E64" s="4">
        <f t="shared" si="1"/>
        <v>2.625</v>
      </c>
      <c r="F64" s="3">
        <v>3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5">
        <f t="shared" si="2"/>
        <v>0.375</v>
      </c>
      <c r="N64" s="28">
        <f t="shared" si="3"/>
        <v>87.5</v>
      </c>
      <c r="O64" s="7">
        <v>0</v>
      </c>
      <c r="P64" s="7">
        <v>0</v>
      </c>
      <c r="Q64" s="7">
        <v>4</v>
      </c>
      <c r="R64" s="7">
        <v>1</v>
      </c>
      <c r="S64" s="7">
        <v>3</v>
      </c>
      <c r="T64" s="37">
        <f t="shared" si="0"/>
        <v>8</v>
      </c>
      <c r="U64" s="28">
        <f t="shared" si="4"/>
        <v>103.96825396825395</v>
      </c>
      <c r="V64" s="59">
        <f t="shared" si="5"/>
        <v>0</v>
      </c>
    </row>
    <row r="65" spans="1:22" ht="21.75" customHeight="1">
      <c r="A65" s="87"/>
      <c r="B65" s="7" t="s">
        <v>13</v>
      </c>
      <c r="C65" s="3">
        <v>4</v>
      </c>
      <c r="D65" s="3">
        <v>5</v>
      </c>
      <c r="E65" s="4">
        <f t="shared" si="1"/>
        <v>2.7857142857142856</v>
      </c>
      <c r="F65" s="3">
        <v>2</v>
      </c>
      <c r="G65" s="3">
        <v>0</v>
      </c>
      <c r="H65" s="3">
        <v>0</v>
      </c>
      <c r="I65" s="3">
        <v>1</v>
      </c>
      <c r="J65" s="3">
        <v>0</v>
      </c>
      <c r="K65" s="3">
        <v>1</v>
      </c>
      <c r="L65" s="3">
        <v>0</v>
      </c>
      <c r="M65" s="5">
        <f t="shared" si="2"/>
        <v>-0.78571428571428559</v>
      </c>
      <c r="N65" s="28">
        <f t="shared" si="3"/>
        <v>69.642857142857139</v>
      </c>
      <c r="O65" s="7">
        <v>0</v>
      </c>
      <c r="P65" s="7">
        <v>3</v>
      </c>
      <c r="Q65" s="7">
        <v>2</v>
      </c>
      <c r="R65" s="7">
        <v>2</v>
      </c>
      <c r="S65" s="7">
        <v>3</v>
      </c>
      <c r="T65" s="37">
        <f t="shared" si="0"/>
        <v>10</v>
      </c>
      <c r="U65" s="28">
        <f t="shared" si="4"/>
        <v>86.30952380952381</v>
      </c>
      <c r="V65" s="59">
        <f t="shared" si="5"/>
        <v>-1</v>
      </c>
    </row>
    <row r="66" spans="1:22" ht="21.75" customHeight="1">
      <c r="A66" s="87"/>
      <c r="B66" s="7" t="s">
        <v>14</v>
      </c>
      <c r="C66" s="3">
        <v>3</v>
      </c>
      <c r="D66" s="3">
        <v>4</v>
      </c>
      <c r="E66" s="4">
        <f t="shared" si="1"/>
        <v>2.1964285714285716</v>
      </c>
      <c r="F66" s="3">
        <v>2</v>
      </c>
      <c r="G66" s="3">
        <v>0</v>
      </c>
      <c r="H66" s="3">
        <v>0</v>
      </c>
      <c r="I66" s="3">
        <v>1</v>
      </c>
      <c r="J66" s="3">
        <v>0</v>
      </c>
      <c r="K66" s="3">
        <v>0</v>
      </c>
      <c r="L66" s="3">
        <v>0</v>
      </c>
      <c r="M66" s="5">
        <f t="shared" si="2"/>
        <v>-0.19642857142857162</v>
      </c>
      <c r="N66" s="28">
        <f t="shared" si="3"/>
        <v>73.214285714285708</v>
      </c>
      <c r="O66" s="7">
        <v>0</v>
      </c>
      <c r="P66" s="7">
        <v>0</v>
      </c>
      <c r="Q66" s="7">
        <v>3</v>
      </c>
      <c r="R66" s="7">
        <v>2</v>
      </c>
      <c r="S66" s="7">
        <v>2</v>
      </c>
      <c r="T66" s="37">
        <f t="shared" si="0"/>
        <v>7</v>
      </c>
      <c r="U66" s="28">
        <f t="shared" si="4"/>
        <v>88.095238095238088</v>
      </c>
      <c r="V66" s="59">
        <f t="shared" si="5"/>
        <v>0</v>
      </c>
    </row>
    <row r="67" spans="1:22" ht="21.75" customHeight="1">
      <c r="A67" s="87">
        <v>20</v>
      </c>
      <c r="B67" s="7" t="s">
        <v>12</v>
      </c>
      <c r="C67" s="3">
        <v>3</v>
      </c>
      <c r="D67" s="3">
        <v>5</v>
      </c>
      <c r="E67" s="4">
        <f t="shared" si="1"/>
        <v>2.625</v>
      </c>
      <c r="F67" s="3">
        <v>3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5">
        <f t="shared" si="2"/>
        <v>0.375</v>
      </c>
      <c r="N67" s="28">
        <f t="shared" si="3"/>
        <v>87.5</v>
      </c>
      <c r="O67" s="7">
        <v>0</v>
      </c>
      <c r="P67" s="7">
        <v>0</v>
      </c>
      <c r="Q67" s="7">
        <v>3</v>
      </c>
      <c r="R67" s="7">
        <v>2</v>
      </c>
      <c r="S67" s="7">
        <v>3</v>
      </c>
      <c r="T67" s="37">
        <f t="shared" si="0"/>
        <v>8</v>
      </c>
      <c r="U67" s="28">
        <f t="shared" si="4"/>
        <v>107.14285714285714</v>
      </c>
      <c r="V67" s="59">
        <f t="shared" si="5"/>
        <v>0</v>
      </c>
    </row>
    <row r="68" spans="1:22" ht="21.75" customHeight="1">
      <c r="A68" s="87"/>
      <c r="B68" s="7" t="s">
        <v>13</v>
      </c>
      <c r="C68" s="3">
        <v>4</v>
      </c>
      <c r="D68" s="3">
        <v>5</v>
      </c>
      <c r="E68" s="4">
        <f t="shared" si="1"/>
        <v>2.7857142857142856</v>
      </c>
      <c r="F68" s="3">
        <v>3</v>
      </c>
      <c r="G68" s="3">
        <v>0</v>
      </c>
      <c r="H68" s="3">
        <v>0</v>
      </c>
      <c r="I68" s="3">
        <v>1</v>
      </c>
      <c r="J68" s="3">
        <v>0</v>
      </c>
      <c r="K68" s="3">
        <v>0</v>
      </c>
      <c r="L68" s="3">
        <v>0</v>
      </c>
      <c r="M68" s="5">
        <f t="shared" si="2"/>
        <v>0.21428571428571441</v>
      </c>
      <c r="N68" s="28">
        <f t="shared" si="3"/>
        <v>69.642857142857139</v>
      </c>
      <c r="O68" s="7">
        <v>0</v>
      </c>
      <c r="P68" s="7">
        <v>0</v>
      </c>
      <c r="Q68" s="7">
        <v>4</v>
      </c>
      <c r="R68" s="7">
        <v>0</v>
      </c>
      <c r="S68" s="7">
        <v>5</v>
      </c>
      <c r="T68" s="37">
        <f t="shared" si="0"/>
        <v>9</v>
      </c>
      <c r="U68" s="28">
        <f t="shared" si="4"/>
        <v>97.61904761904762</v>
      </c>
      <c r="V68" s="59">
        <f t="shared" si="5"/>
        <v>0</v>
      </c>
    </row>
    <row r="69" spans="1:22" ht="21.75" customHeight="1">
      <c r="A69" s="87"/>
      <c r="B69" s="7" t="s">
        <v>14</v>
      </c>
      <c r="C69" s="3">
        <v>4</v>
      </c>
      <c r="D69" s="3">
        <v>5</v>
      </c>
      <c r="E69" s="4">
        <f t="shared" si="1"/>
        <v>2.7857142857142856</v>
      </c>
      <c r="F69" s="3">
        <v>2</v>
      </c>
      <c r="G69" s="3">
        <v>0</v>
      </c>
      <c r="H69" s="3">
        <v>0</v>
      </c>
      <c r="I69" s="3">
        <v>1</v>
      </c>
      <c r="J69" s="3">
        <v>0</v>
      </c>
      <c r="K69" s="3">
        <v>0</v>
      </c>
      <c r="L69" s="3">
        <v>0</v>
      </c>
      <c r="M69" s="5">
        <f t="shared" si="2"/>
        <v>-0.78571428571428559</v>
      </c>
      <c r="N69" s="28">
        <f t="shared" si="3"/>
        <v>92.857142857142861</v>
      </c>
      <c r="O69" s="7">
        <v>0</v>
      </c>
      <c r="P69" s="7">
        <v>0</v>
      </c>
      <c r="Q69" s="7">
        <v>5</v>
      </c>
      <c r="R69" s="7">
        <v>0</v>
      </c>
      <c r="S69" s="7">
        <v>4</v>
      </c>
      <c r="T69" s="37">
        <f t="shared" si="0"/>
        <v>9</v>
      </c>
      <c r="U69" s="28">
        <f t="shared" si="4"/>
        <v>119.84126984126983</v>
      </c>
      <c r="V69" s="59">
        <f t="shared" si="5"/>
        <v>0</v>
      </c>
    </row>
    <row r="70" spans="1:22" ht="21.75" customHeight="1">
      <c r="A70" s="87">
        <v>21</v>
      </c>
      <c r="B70" s="7" t="s">
        <v>12</v>
      </c>
      <c r="C70" s="3">
        <v>4</v>
      </c>
      <c r="D70" s="3">
        <v>5</v>
      </c>
      <c r="E70" s="4">
        <f t="shared" si="1"/>
        <v>2.7857142857142856</v>
      </c>
      <c r="F70" s="3">
        <v>3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5">
        <f t="shared" si="2"/>
        <v>0.21428571428571441</v>
      </c>
      <c r="N70" s="28">
        <f t="shared" si="3"/>
        <v>92.857142857142861</v>
      </c>
      <c r="O70" s="7">
        <v>0</v>
      </c>
      <c r="P70" s="7">
        <v>0</v>
      </c>
      <c r="Q70" s="7">
        <v>5</v>
      </c>
      <c r="R70" s="7">
        <v>0</v>
      </c>
      <c r="S70" s="7">
        <v>4</v>
      </c>
      <c r="T70" s="37">
        <f t="shared" si="0"/>
        <v>9</v>
      </c>
      <c r="U70" s="28">
        <f t="shared" si="4"/>
        <v>119.84126984126983</v>
      </c>
      <c r="V70" s="59">
        <f t="shared" si="5"/>
        <v>0</v>
      </c>
    </row>
    <row r="71" spans="1:22" ht="21.75" customHeight="1">
      <c r="A71" s="87"/>
      <c r="B71" s="7" t="s">
        <v>13</v>
      </c>
      <c r="C71" s="3">
        <v>5</v>
      </c>
      <c r="D71" s="3">
        <v>6</v>
      </c>
      <c r="E71" s="4">
        <f t="shared" si="1"/>
        <v>3.375</v>
      </c>
      <c r="F71" s="3">
        <v>2</v>
      </c>
      <c r="G71" s="3">
        <v>0</v>
      </c>
      <c r="H71" s="3">
        <v>0</v>
      </c>
      <c r="I71" s="3">
        <v>1</v>
      </c>
      <c r="J71" s="3">
        <v>0</v>
      </c>
      <c r="K71" s="3">
        <v>0</v>
      </c>
      <c r="L71" s="3">
        <v>0</v>
      </c>
      <c r="M71" s="5">
        <f t="shared" si="2"/>
        <v>-1.375</v>
      </c>
      <c r="N71" s="28">
        <f t="shared" si="3"/>
        <v>112.5</v>
      </c>
      <c r="O71" s="7">
        <v>0</v>
      </c>
      <c r="P71" s="7">
        <v>1</v>
      </c>
      <c r="Q71" s="7">
        <v>5</v>
      </c>
      <c r="R71" s="7">
        <v>0</v>
      </c>
      <c r="S71" s="7">
        <v>5</v>
      </c>
      <c r="T71" s="37">
        <f t="shared" si="0"/>
        <v>11</v>
      </c>
      <c r="U71" s="28">
        <f t="shared" si="4"/>
        <v>144.44444444444443</v>
      </c>
      <c r="V71" s="59">
        <f t="shared" si="5"/>
        <v>0</v>
      </c>
    </row>
    <row r="72" spans="1:22" ht="21.75" customHeight="1">
      <c r="A72" s="87"/>
      <c r="B72" s="7" t="s">
        <v>14</v>
      </c>
      <c r="C72" s="3">
        <v>4</v>
      </c>
      <c r="D72" s="3">
        <v>6</v>
      </c>
      <c r="E72" s="4">
        <f t="shared" si="1"/>
        <v>3.2142857142857144</v>
      </c>
      <c r="F72" s="3">
        <v>3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5">
        <f t="shared" si="2"/>
        <v>-0.21428571428571441</v>
      </c>
      <c r="N72" s="28">
        <f t="shared" si="3"/>
        <v>107.14285714285714</v>
      </c>
      <c r="O72" s="7">
        <v>0</v>
      </c>
      <c r="P72" s="7">
        <v>0</v>
      </c>
      <c r="Q72" s="7">
        <v>4</v>
      </c>
      <c r="R72" s="7">
        <v>1</v>
      </c>
      <c r="S72" s="7">
        <v>5</v>
      </c>
      <c r="T72" s="37">
        <f t="shared" si="0"/>
        <v>10</v>
      </c>
      <c r="U72" s="28">
        <f t="shared" si="4"/>
        <v>142.06349206349205</v>
      </c>
      <c r="V72" s="59">
        <f t="shared" si="5"/>
        <v>0</v>
      </c>
    </row>
    <row r="73" spans="1:22" ht="21.75" customHeight="1">
      <c r="A73" s="87">
        <v>22</v>
      </c>
      <c r="B73" s="7" t="s">
        <v>12</v>
      </c>
      <c r="C73" s="3">
        <v>4</v>
      </c>
      <c r="D73" s="3">
        <v>6</v>
      </c>
      <c r="E73" s="4">
        <f t="shared" si="1"/>
        <v>3.2142857142857144</v>
      </c>
      <c r="F73" s="3">
        <v>3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5">
        <f t="shared" si="2"/>
        <v>-0.21428571428571441</v>
      </c>
      <c r="N73" s="28">
        <f t="shared" si="3"/>
        <v>107.14285714285714</v>
      </c>
      <c r="O73" s="7">
        <v>0</v>
      </c>
      <c r="P73" s="7">
        <v>0</v>
      </c>
      <c r="Q73" s="7">
        <v>4</v>
      </c>
      <c r="R73" s="7">
        <v>1</v>
      </c>
      <c r="S73" s="7">
        <v>5</v>
      </c>
      <c r="T73" s="37">
        <f t="shared" si="0"/>
        <v>10</v>
      </c>
      <c r="U73" s="28">
        <f t="shared" si="4"/>
        <v>142.06349206349205</v>
      </c>
      <c r="V73" s="59">
        <f t="shared" si="5"/>
        <v>0</v>
      </c>
    </row>
    <row r="74" spans="1:22" ht="21.75" customHeight="1">
      <c r="A74" s="87"/>
      <c r="B74" s="7" t="s">
        <v>13</v>
      </c>
      <c r="C74" s="3">
        <v>5</v>
      </c>
      <c r="D74" s="3">
        <v>6</v>
      </c>
      <c r="E74" s="4">
        <f t="shared" si="1"/>
        <v>3.375</v>
      </c>
      <c r="F74" s="3">
        <v>3</v>
      </c>
      <c r="G74" s="3"/>
      <c r="H74" s="3">
        <v>1</v>
      </c>
      <c r="I74" s="3"/>
      <c r="J74" s="3"/>
      <c r="K74" s="3"/>
      <c r="L74" s="3"/>
      <c r="M74" s="5">
        <f t="shared" si="2"/>
        <v>0.625</v>
      </c>
      <c r="N74" s="28">
        <f t="shared" si="3"/>
        <v>84.375</v>
      </c>
      <c r="O74" s="7">
        <v>0</v>
      </c>
      <c r="P74" s="7">
        <v>0</v>
      </c>
      <c r="Q74" s="7">
        <v>4</v>
      </c>
      <c r="R74" s="7">
        <v>1</v>
      </c>
      <c r="S74" s="7">
        <v>6</v>
      </c>
      <c r="T74" s="37">
        <f t="shared" ref="T74:T81" si="6">SUM(O74:S74)</f>
        <v>11</v>
      </c>
      <c r="U74" s="28">
        <f t="shared" si="4"/>
        <v>120.83333333333334</v>
      </c>
      <c r="V74" s="59">
        <f t="shared" si="5"/>
        <v>0</v>
      </c>
    </row>
    <row r="75" spans="1:22" ht="21.75" customHeight="1">
      <c r="A75" s="87"/>
      <c r="B75" s="7" t="s">
        <v>14</v>
      </c>
      <c r="C75" s="3">
        <v>4</v>
      </c>
      <c r="D75" s="3">
        <v>6</v>
      </c>
      <c r="E75" s="4">
        <f t="shared" ref="E75:E102" si="7">((($B$3*C75)+(12*D75))*$E$4)/7</f>
        <v>3.2142857142857144</v>
      </c>
      <c r="F75" s="3">
        <v>3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5">
        <f t="shared" ref="M75:M106" si="8">(F75+G75+H75+L75)-E75</f>
        <v>-0.21428571428571441</v>
      </c>
      <c r="N75" s="28">
        <f t="shared" ref="N75:N105" si="9">(((C75*4.5)+(12*D75))*$E$4)/((F75+G75+H75+I75+J75+K75+L75)*7)*100</f>
        <v>107.14285714285714</v>
      </c>
      <c r="O75" s="7">
        <v>0</v>
      </c>
      <c r="P75" s="7">
        <v>0</v>
      </c>
      <c r="Q75" s="7">
        <v>5</v>
      </c>
      <c r="R75" s="7">
        <v>2</v>
      </c>
      <c r="S75" s="7">
        <v>3</v>
      </c>
      <c r="T75" s="37">
        <f t="shared" si="6"/>
        <v>10</v>
      </c>
      <c r="U75" s="28">
        <f t="shared" ref="U75:U106" si="10">((((O75*1.5+(P75*3.5)+(Q75*5.5)+(R75*7.5)+(S75*12)))/3)/((F75+G75+H75+I75+J75+K75+L75)*7))*100</f>
        <v>124.60317460317461</v>
      </c>
      <c r="V75" s="59">
        <f t="shared" ref="V75:V106" si="11">C75+D75-T75</f>
        <v>0</v>
      </c>
    </row>
    <row r="76" spans="1:22" ht="21.75" customHeight="1">
      <c r="A76" s="87">
        <v>23</v>
      </c>
      <c r="B76" s="7" t="s">
        <v>12</v>
      </c>
      <c r="C76" s="3">
        <v>5</v>
      </c>
      <c r="D76" s="3">
        <v>6</v>
      </c>
      <c r="E76" s="4">
        <f t="shared" si="7"/>
        <v>3.375</v>
      </c>
      <c r="F76" s="3">
        <v>2</v>
      </c>
      <c r="G76" s="3">
        <v>0</v>
      </c>
      <c r="H76" s="3">
        <v>0</v>
      </c>
      <c r="I76" s="3">
        <v>1</v>
      </c>
      <c r="J76" s="3">
        <v>0</v>
      </c>
      <c r="K76" s="3">
        <v>0</v>
      </c>
      <c r="L76" s="3">
        <v>0</v>
      </c>
      <c r="M76" s="5">
        <f t="shared" si="8"/>
        <v>-1.375</v>
      </c>
      <c r="N76" s="28">
        <f t="shared" si="9"/>
        <v>112.5</v>
      </c>
      <c r="O76" s="7">
        <v>0</v>
      </c>
      <c r="P76" s="7">
        <v>0</v>
      </c>
      <c r="Q76" s="7">
        <v>5</v>
      </c>
      <c r="R76" s="7">
        <v>3</v>
      </c>
      <c r="S76" s="7">
        <v>3</v>
      </c>
      <c r="T76" s="37">
        <f t="shared" si="6"/>
        <v>11</v>
      </c>
      <c r="U76" s="28">
        <f t="shared" si="10"/>
        <v>136.50793650793651</v>
      </c>
      <c r="V76" s="59">
        <f t="shared" si="11"/>
        <v>0</v>
      </c>
    </row>
    <row r="77" spans="1:22" ht="21.75" customHeight="1">
      <c r="A77" s="87"/>
      <c r="B77" s="7" t="s">
        <v>13</v>
      </c>
      <c r="C77" s="3"/>
      <c r="D77" s="3"/>
      <c r="E77" s="4">
        <f t="shared" si="7"/>
        <v>0</v>
      </c>
      <c r="F77" s="3"/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5">
        <f t="shared" si="8"/>
        <v>0</v>
      </c>
      <c r="N77" s="28" t="e">
        <f t="shared" si="9"/>
        <v>#DIV/0!</v>
      </c>
      <c r="O77" s="7">
        <v>0</v>
      </c>
      <c r="P77" s="7"/>
      <c r="Q77" s="7"/>
      <c r="R77" s="7"/>
      <c r="S77" s="7"/>
      <c r="T77" s="37">
        <f t="shared" si="6"/>
        <v>0</v>
      </c>
      <c r="U77" s="28" t="e">
        <f t="shared" si="10"/>
        <v>#DIV/0!</v>
      </c>
      <c r="V77" s="59">
        <f t="shared" si="11"/>
        <v>0</v>
      </c>
    </row>
    <row r="78" spans="1:22" ht="21.75" customHeight="1">
      <c r="A78" s="87"/>
      <c r="B78" s="7" t="s">
        <v>14</v>
      </c>
      <c r="C78" s="3">
        <v>5</v>
      </c>
      <c r="D78" s="3">
        <v>5</v>
      </c>
      <c r="E78" s="4">
        <f t="shared" si="7"/>
        <v>2.9464285714285716</v>
      </c>
      <c r="F78" s="3">
        <v>2</v>
      </c>
      <c r="G78" s="3">
        <v>0</v>
      </c>
      <c r="H78" s="3">
        <v>0</v>
      </c>
      <c r="I78" s="3">
        <v>1</v>
      </c>
      <c r="J78" s="3">
        <v>0</v>
      </c>
      <c r="K78" s="3">
        <v>0</v>
      </c>
      <c r="L78" s="3">
        <v>0</v>
      </c>
      <c r="M78" s="5">
        <f t="shared" si="8"/>
        <v>-0.94642857142857162</v>
      </c>
      <c r="N78" s="28">
        <f t="shared" si="9"/>
        <v>98.214285714285708</v>
      </c>
      <c r="O78" s="7">
        <v>0</v>
      </c>
      <c r="P78" s="7">
        <v>0</v>
      </c>
      <c r="Q78" s="7">
        <v>6</v>
      </c>
      <c r="R78" s="7">
        <v>2</v>
      </c>
      <c r="S78" s="7">
        <v>2</v>
      </c>
      <c r="T78" s="37">
        <f t="shared" si="6"/>
        <v>10</v>
      </c>
      <c r="U78" s="28">
        <f t="shared" si="10"/>
        <v>114.28571428571428</v>
      </c>
      <c r="V78" s="59">
        <f t="shared" si="11"/>
        <v>0</v>
      </c>
    </row>
    <row r="79" spans="1:22" ht="21.75" customHeight="1">
      <c r="A79" s="87">
        <v>24</v>
      </c>
      <c r="B79" s="7" t="s">
        <v>12</v>
      </c>
      <c r="C79" s="3">
        <v>6</v>
      </c>
      <c r="D79" s="3">
        <v>5</v>
      </c>
      <c r="E79" s="4">
        <f t="shared" si="7"/>
        <v>3.1071428571428572</v>
      </c>
      <c r="F79" s="3">
        <v>2</v>
      </c>
      <c r="G79" s="3">
        <v>0</v>
      </c>
      <c r="H79" s="3">
        <v>0</v>
      </c>
      <c r="I79" s="3">
        <v>1</v>
      </c>
      <c r="J79" s="3">
        <v>0</v>
      </c>
      <c r="K79" s="3">
        <v>0</v>
      </c>
      <c r="L79" s="3">
        <v>0</v>
      </c>
      <c r="M79" s="5">
        <f t="shared" si="8"/>
        <v>-1.1071428571428572</v>
      </c>
      <c r="N79" s="28">
        <f t="shared" si="9"/>
        <v>103.57142857142858</v>
      </c>
      <c r="O79" s="7">
        <v>0</v>
      </c>
      <c r="P79" s="7">
        <v>0</v>
      </c>
      <c r="Q79" s="7">
        <v>9</v>
      </c>
      <c r="R79" s="7">
        <v>0</v>
      </c>
      <c r="S79" s="7">
        <v>2</v>
      </c>
      <c r="T79" s="37">
        <f t="shared" si="6"/>
        <v>11</v>
      </c>
      <c r="U79" s="28">
        <f t="shared" si="10"/>
        <v>116.66666666666667</v>
      </c>
      <c r="V79" s="59">
        <f t="shared" si="11"/>
        <v>0</v>
      </c>
    </row>
    <row r="80" spans="1:22" ht="21.75" customHeight="1">
      <c r="A80" s="87"/>
      <c r="B80" s="7" t="s">
        <v>13</v>
      </c>
      <c r="C80" s="3">
        <v>9</v>
      </c>
      <c r="D80" s="3">
        <v>5</v>
      </c>
      <c r="E80" s="4">
        <f t="shared" si="7"/>
        <v>3.5892857142857144</v>
      </c>
      <c r="F80" s="3">
        <v>3</v>
      </c>
      <c r="G80" s="3"/>
      <c r="H80" s="3"/>
      <c r="I80" s="3">
        <v>1</v>
      </c>
      <c r="J80" s="3"/>
      <c r="K80" s="3"/>
      <c r="L80" s="3"/>
      <c r="M80" s="5">
        <f t="shared" si="8"/>
        <v>-0.58928571428571441</v>
      </c>
      <c r="N80" s="28">
        <f t="shared" si="9"/>
        <v>89.732142857142861</v>
      </c>
      <c r="O80" s="7">
        <v>0</v>
      </c>
      <c r="P80" s="7">
        <v>1</v>
      </c>
      <c r="Q80" s="7">
        <v>11</v>
      </c>
      <c r="R80" s="7">
        <v>0</v>
      </c>
      <c r="S80" s="7">
        <v>2</v>
      </c>
      <c r="T80" s="37">
        <f t="shared" si="6"/>
        <v>14</v>
      </c>
      <c r="U80" s="28">
        <f t="shared" si="10"/>
        <v>104.76190476190477</v>
      </c>
      <c r="V80" s="59">
        <f t="shared" si="11"/>
        <v>0</v>
      </c>
    </row>
    <row r="81" spans="1:22" ht="21.75" customHeight="1">
      <c r="A81" s="87"/>
      <c r="B81" s="7" t="s">
        <v>14</v>
      </c>
      <c r="C81" s="3">
        <v>10</v>
      </c>
      <c r="D81" s="3">
        <v>2</v>
      </c>
      <c r="E81" s="4">
        <f t="shared" si="7"/>
        <v>2.4642857142857144</v>
      </c>
      <c r="F81" s="3">
        <v>3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5">
        <f t="shared" si="8"/>
        <v>0.53571428571428559</v>
      </c>
      <c r="N81" s="28">
        <f t="shared" si="9"/>
        <v>82.142857142857139</v>
      </c>
      <c r="O81" s="7">
        <v>0</v>
      </c>
      <c r="P81" s="7">
        <v>0</v>
      </c>
      <c r="Q81" s="7">
        <v>10</v>
      </c>
      <c r="R81" s="7">
        <v>0</v>
      </c>
      <c r="S81" s="7">
        <v>2</v>
      </c>
      <c r="T81" s="37">
        <f t="shared" si="6"/>
        <v>12</v>
      </c>
      <c r="U81" s="28">
        <f t="shared" si="10"/>
        <v>125.39682539682539</v>
      </c>
      <c r="V81" s="59">
        <f t="shared" si="11"/>
        <v>0</v>
      </c>
    </row>
    <row r="82" spans="1:22" ht="21.75" customHeight="1">
      <c r="A82" s="87">
        <v>25</v>
      </c>
      <c r="B82" s="7" t="s">
        <v>12</v>
      </c>
      <c r="C82" s="3">
        <v>10</v>
      </c>
      <c r="D82" s="3">
        <v>2</v>
      </c>
      <c r="E82" s="4">
        <f t="shared" si="7"/>
        <v>2.4642857142857144</v>
      </c>
      <c r="F82" s="3">
        <v>3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5">
        <f t="shared" si="8"/>
        <v>0.53571428571428559</v>
      </c>
      <c r="N82" s="28">
        <f t="shared" si="9"/>
        <v>82.142857142857139</v>
      </c>
      <c r="O82" s="7">
        <v>0</v>
      </c>
      <c r="P82" s="7">
        <v>0</v>
      </c>
      <c r="Q82" s="7">
        <v>10</v>
      </c>
      <c r="R82" s="7">
        <v>0</v>
      </c>
      <c r="S82" s="7">
        <v>2</v>
      </c>
      <c r="T82" s="37">
        <f>SUM(O82:S82)</f>
        <v>12</v>
      </c>
      <c r="U82" s="28">
        <f t="shared" si="10"/>
        <v>125.39682539682539</v>
      </c>
      <c r="V82" s="59">
        <f t="shared" si="11"/>
        <v>0</v>
      </c>
    </row>
    <row r="83" spans="1:22" ht="21.75" customHeight="1">
      <c r="A83" s="87"/>
      <c r="B83" s="7" t="s">
        <v>13</v>
      </c>
      <c r="C83" s="3">
        <v>12</v>
      </c>
      <c r="D83" s="3">
        <v>3</v>
      </c>
      <c r="E83" s="4">
        <f t="shared" si="7"/>
        <v>3.2142857142857144</v>
      </c>
      <c r="F83" s="3">
        <v>3</v>
      </c>
      <c r="G83" s="3">
        <v>0</v>
      </c>
      <c r="H83" s="3">
        <v>0</v>
      </c>
      <c r="I83" s="3">
        <v>1</v>
      </c>
      <c r="J83" s="3">
        <v>0</v>
      </c>
      <c r="K83" s="3">
        <v>0</v>
      </c>
      <c r="L83" s="3">
        <v>0</v>
      </c>
      <c r="M83" s="5">
        <f t="shared" si="8"/>
        <v>-0.21428571428571441</v>
      </c>
      <c r="N83" s="28">
        <f t="shared" si="9"/>
        <v>80.357142857142861</v>
      </c>
      <c r="O83" s="7">
        <v>0</v>
      </c>
      <c r="P83" s="7">
        <v>1</v>
      </c>
      <c r="Q83" s="7">
        <v>10</v>
      </c>
      <c r="R83" s="7">
        <v>2</v>
      </c>
      <c r="S83" s="7">
        <v>3</v>
      </c>
      <c r="T83" s="37">
        <f t="shared" ref="T83:T105" si="12">SUM(O83:S83)</f>
        <v>16</v>
      </c>
      <c r="U83" s="28">
        <f t="shared" si="10"/>
        <v>130.35714285714286</v>
      </c>
      <c r="V83" s="59">
        <f t="shared" si="11"/>
        <v>-1</v>
      </c>
    </row>
    <row r="84" spans="1:22" ht="21.75" customHeight="1">
      <c r="A84" s="87"/>
      <c r="B84" s="7" t="s">
        <v>14</v>
      </c>
      <c r="C84" s="3">
        <v>9</v>
      </c>
      <c r="D84" s="3">
        <v>3</v>
      </c>
      <c r="E84" s="4">
        <f t="shared" si="7"/>
        <v>2.7321428571428572</v>
      </c>
      <c r="F84" s="3">
        <v>3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5">
        <f t="shared" si="8"/>
        <v>0.26785714285714279</v>
      </c>
      <c r="N84" s="28">
        <f t="shared" si="9"/>
        <v>91.071428571428569</v>
      </c>
      <c r="O84" s="7">
        <v>0</v>
      </c>
      <c r="P84" s="7">
        <v>0</v>
      </c>
      <c r="Q84" s="7">
        <v>9</v>
      </c>
      <c r="R84" s="7">
        <v>0</v>
      </c>
      <c r="S84" s="7">
        <v>3</v>
      </c>
      <c r="T84" s="37">
        <f t="shared" si="12"/>
        <v>12</v>
      </c>
      <c r="U84" s="28">
        <f t="shared" si="10"/>
        <v>135.71428571428572</v>
      </c>
      <c r="V84" s="59">
        <f t="shared" si="11"/>
        <v>0</v>
      </c>
    </row>
    <row r="85" spans="1:22" ht="21.75" customHeight="1">
      <c r="A85" s="87">
        <v>26</v>
      </c>
      <c r="B85" s="7" t="s">
        <v>12</v>
      </c>
      <c r="C85" s="3">
        <v>9</v>
      </c>
      <c r="D85" s="3">
        <v>3</v>
      </c>
      <c r="E85" s="4">
        <f t="shared" si="7"/>
        <v>2.7321428571428572</v>
      </c>
      <c r="F85" s="3">
        <v>3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5">
        <f t="shared" si="8"/>
        <v>0.26785714285714279</v>
      </c>
      <c r="N85" s="28">
        <f t="shared" si="9"/>
        <v>91.071428571428569</v>
      </c>
      <c r="O85" s="7">
        <v>0</v>
      </c>
      <c r="P85" s="7">
        <v>0</v>
      </c>
      <c r="Q85" s="7">
        <v>9</v>
      </c>
      <c r="R85" s="7">
        <v>0</v>
      </c>
      <c r="S85" s="7">
        <v>3</v>
      </c>
      <c r="T85" s="37">
        <f t="shared" si="12"/>
        <v>12</v>
      </c>
      <c r="U85" s="28">
        <f t="shared" si="10"/>
        <v>135.71428571428572</v>
      </c>
      <c r="V85" s="59">
        <f t="shared" si="11"/>
        <v>0</v>
      </c>
    </row>
    <row r="86" spans="1:22" ht="21.75" customHeight="1">
      <c r="A86" s="87"/>
      <c r="B86" s="7" t="s">
        <v>13</v>
      </c>
      <c r="C86" s="3">
        <v>9</v>
      </c>
      <c r="D86" s="3">
        <v>4</v>
      </c>
      <c r="E86" s="4">
        <f t="shared" si="7"/>
        <v>3.1607142857142856</v>
      </c>
      <c r="F86" s="3">
        <v>1</v>
      </c>
      <c r="G86" s="3">
        <v>0</v>
      </c>
      <c r="H86" s="3">
        <v>0</v>
      </c>
      <c r="I86" s="3">
        <v>2</v>
      </c>
      <c r="J86" s="3">
        <v>0</v>
      </c>
      <c r="K86" s="3">
        <v>0</v>
      </c>
      <c r="L86" s="3">
        <v>0</v>
      </c>
      <c r="M86" s="5">
        <f t="shared" si="8"/>
        <v>-2.1607142857142856</v>
      </c>
      <c r="N86" s="28">
        <f t="shared" si="9"/>
        <v>105.35714285714286</v>
      </c>
      <c r="O86" s="7">
        <v>0</v>
      </c>
      <c r="P86" s="7">
        <v>2</v>
      </c>
      <c r="Q86" s="7">
        <v>7</v>
      </c>
      <c r="R86" s="7">
        <v>0</v>
      </c>
      <c r="S86" s="7">
        <v>4</v>
      </c>
      <c r="T86" s="37">
        <f t="shared" si="12"/>
        <v>13</v>
      </c>
      <c r="U86" s="28">
        <f t="shared" si="10"/>
        <v>148.41269841269843</v>
      </c>
      <c r="V86" s="59">
        <f t="shared" si="11"/>
        <v>0</v>
      </c>
    </row>
    <row r="87" spans="1:22" ht="21.75" customHeight="1">
      <c r="A87" s="87"/>
      <c r="B87" s="7" t="s">
        <v>14</v>
      </c>
      <c r="C87" s="3">
        <v>8</v>
      </c>
      <c r="D87" s="3">
        <v>4</v>
      </c>
      <c r="E87" s="4">
        <f t="shared" si="7"/>
        <v>3</v>
      </c>
      <c r="F87" s="3">
        <v>3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5">
        <f t="shared" si="8"/>
        <v>0</v>
      </c>
      <c r="N87" s="28">
        <f t="shared" si="9"/>
        <v>100</v>
      </c>
      <c r="O87" s="7">
        <v>0</v>
      </c>
      <c r="P87" s="7">
        <v>0</v>
      </c>
      <c r="Q87" s="7">
        <v>7</v>
      </c>
      <c r="R87" s="7">
        <v>1</v>
      </c>
      <c r="S87" s="7">
        <v>4</v>
      </c>
      <c r="T87" s="37">
        <f t="shared" si="12"/>
        <v>12</v>
      </c>
      <c r="U87" s="28">
        <f t="shared" si="10"/>
        <v>149.20634920634922</v>
      </c>
      <c r="V87" s="59">
        <f t="shared" si="11"/>
        <v>0</v>
      </c>
    </row>
    <row r="88" spans="1:22" ht="21.75" customHeight="1">
      <c r="A88" s="87">
        <v>27</v>
      </c>
      <c r="B88" s="7" t="s">
        <v>12</v>
      </c>
      <c r="C88" s="3">
        <v>7</v>
      </c>
      <c r="D88" s="3">
        <v>4</v>
      </c>
      <c r="E88" s="4">
        <f t="shared" si="7"/>
        <v>2.8392857142857144</v>
      </c>
      <c r="F88" s="3">
        <v>2</v>
      </c>
      <c r="G88" s="3">
        <v>0</v>
      </c>
      <c r="H88" s="3">
        <v>0</v>
      </c>
      <c r="I88" s="3">
        <v>1</v>
      </c>
      <c r="J88" s="3">
        <v>0</v>
      </c>
      <c r="K88" s="3">
        <v>0</v>
      </c>
      <c r="L88" s="3">
        <v>0</v>
      </c>
      <c r="M88" s="5">
        <f t="shared" si="8"/>
        <v>-0.83928571428571441</v>
      </c>
      <c r="N88" s="28">
        <f t="shared" si="9"/>
        <v>94.642857142857139</v>
      </c>
      <c r="O88" s="7">
        <v>0</v>
      </c>
      <c r="P88" s="7">
        <v>0</v>
      </c>
      <c r="Q88" s="7">
        <v>7</v>
      </c>
      <c r="R88" s="7">
        <v>0</v>
      </c>
      <c r="S88" s="7">
        <v>4</v>
      </c>
      <c r="T88" s="37">
        <f t="shared" si="12"/>
        <v>11</v>
      </c>
      <c r="U88" s="28">
        <f t="shared" si="10"/>
        <v>137.30158730158729</v>
      </c>
      <c r="V88" s="59">
        <f t="shared" si="11"/>
        <v>0</v>
      </c>
    </row>
    <row r="89" spans="1:22" ht="21.75" customHeight="1">
      <c r="A89" s="87"/>
      <c r="B89" s="7" t="s">
        <v>13</v>
      </c>
      <c r="C89" s="3">
        <v>9</v>
      </c>
      <c r="D89" s="3">
        <v>4</v>
      </c>
      <c r="E89" s="4">
        <f t="shared" si="7"/>
        <v>3.1607142857142856</v>
      </c>
      <c r="F89" s="3">
        <v>3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5">
        <f t="shared" si="8"/>
        <v>-0.16071428571428559</v>
      </c>
      <c r="N89" s="28">
        <f t="shared" si="9"/>
        <v>105.35714285714286</v>
      </c>
      <c r="O89" s="7">
        <v>0</v>
      </c>
      <c r="P89" s="7">
        <v>1</v>
      </c>
      <c r="Q89" s="7">
        <v>8</v>
      </c>
      <c r="R89" s="7">
        <v>0</v>
      </c>
      <c r="S89" s="7">
        <v>4</v>
      </c>
      <c r="T89" s="37">
        <f t="shared" si="12"/>
        <v>13</v>
      </c>
      <c r="U89" s="28">
        <f t="shared" si="10"/>
        <v>151.58730158730157</v>
      </c>
      <c r="V89" s="59">
        <f t="shared" si="11"/>
        <v>0</v>
      </c>
    </row>
    <row r="90" spans="1:22" ht="21.75" customHeight="1">
      <c r="A90" s="87"/>
      <c r="B90" s="7" t="s">
        <v>14</v>
      </c>
      <c r="C90" s="3">
        <v>7</v>
      </c>
      <c r="D90" s="3">
        <v>4</v>
      </c>
      <c r="E90" s="4">
        <f t="shared" si="7"/>
        <v>2.8392857142857144</v>
      </c>
      <c r="F90" s="3">
        <v>3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5">
        <f t="shared" si="8"/>
        <v>0.16071428571428559</v>
      </c>
      <c r="N90" s="28">
        <f t="shared" si="9"/>
        <v>94.642857142857139</v>
      </c>
      <c r="O90" s="7">
        <v>0</v>
      </c>
      <c r="P90" s="7">
        <v>0</v>
      </c>
      <c r="Q90" s="7">
        <v>7</v>
      </c>
      <c r="R90" s="7">
        <v>0</v>
      </c>
      <c r="S90" s="7">
        <v>4</v>
      </c>
      <c r="T90" s="37">
        <f t="shared" si="12"/>
        <v>11</v>
      </c>
      <c r="U90" s="28">
        <f t="shared" si="10"/>
        <v>137.30158730158729</v>
      </c>
      <c r="V90" s="59">
        <f t="shared" si="11"/>
        <v>0</v>
      </c>
    </row>
    <row r="91" spans="1:22" ht="21.75" customHeight="1">
      <c r="A91" s="87">
        <v>28</v>
      </c>
      <c r="B91" s="7" t="s">
        <v>12</v>
      </c>
      <c r="C91" s="3">
        <v>8</v>
      </c>
      <c r="D91" s="3">
        <v>5</v>
      </c>
      <c r="E91" s="4">
        <f t="shared" si="7"/>
        <v>3.4285714285714284</v>
      </c>
      <c r="F91" s="3">
        <v>3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5">
        <f t="shared" si="8"/>
        <v>-0.42857142857142838</v>
      </c>
      <c r="N91" s="28">
        <f t="shared" si="9"/>
        <v>114.28571428571428</v>
      </c>
      <c r="O91" s="7">
        <v>0</v>
      </c>
      <c r="P91" s="7">
        <v>0</v>
      </c>
      <c r="Q91" s="7">
        <v>8</v>
      </c>
      <c r="R91" s="7">
        <v>0</v>
      </c>
      <c r="S91" s="7">
        <v>5</v>
      </c>
      <c r="T91" s="37">
        <f t="shared" si="12"/>
        <v>13</v>
      </c>
      <c r="U91" s="28">
        <f t="shared" si="10"/>
        <v>165.07936507936506</v>
      </c>
      <c r="V91" s="59">
        <f t="shared" si="11"/>
        <v>0</v>
      </c>
    </row>
    <row r="92" spans="1:22" ht="21.75" customHeight="1">
      <c r="A92" s="87"/>
      <c r="B92" s="7" t="s">
        <v>13</v>
      </c>
      <c r="C92" s="3">
        <v>10</v>
      </c>
      <c r="D92" s="3">
        <v>5</v>
      </c>
      <c r="E92" s="4">
        <f t="shared" si="7"/>
        <v>3.75</v>
      </c>
      <c r="F92" s="3">
        <v>3</v>
      </c>
      <c r="G92" s="3"/>
      <c r="H92" s="3"/>
      <c r="I92" s="3"/>
      <c r="J92" s="3"/>
      <c r="K92" s="3">
        <v>1</v>
      </c>
      <c r="L92" s="3"/>
      <c r="M92" s="5">
        <f t="shared" si="8"/>
        <v>-0.75</v>
      </c>
      <c r="N92" s="28">
        <f t="shared" si="9"/>
        <v>93.75</v>
      </c>
      <c r="O92" s="7">
        <v>0</v>
      </c>
      <c r="P92" s="7">
        <v>1</v>
      </c>
      <c r="Q92" s="7">
        <v>9</v>
      </c>
      <c r="R92" s="7">
        <v>0</v>
      </c>
      <c r="S92" s="7">
        <v>5</v>
      </c>
      <c r="T92" s="37">
        <f t="shared" si="12"/>
        <v>15</v>
      </c>
      <c r="U92" s="28">
        <f t="shared" si="10"/>
        <v>134.52380952380952</v>
      </c>
      <c r="V92" s="59">
        <f t="shared" si="11"/>
        <v>0</v>
      </c>
    </row>
    <row r="93" spans="1:22" ht="21.75" customHeight="1">
      <c r="A93" s="87"/>
      <c r="B93" s="7" t="s">
        <v>14</v>
      </c>
      <c r="C93" s="3">
        <v>6</v>
      </c>
      <c r="D93" s="3">
        <v>6</v>
      </c>
      <c r="E93" s="4">
        <f t="shared" si="7"/>
        <v>3.5357142857142856</v>
      </c>
      <c r="F93" s="3">
        <v>3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5">
        <f t="shared" si="8"/>
        <v>-0.53571428571428559</v>
      </c>
      <c r="N93" s="28">
        <f t="shared" si="9"/>
        <v>117.85714285714286</v>
      </c>
      <c r="O93" s="7">
        <v>0</v>
      </c>
      <c r="P93" s="7">
        <v>0</v>
      </c>
      <c r="Q93" s="7">
        <v>6</v>
      </c>
      <c r="R93" s="7">
        <v>1</v>
      </c>
      <c r="S93" s="7">
        <v>5</v>
      </c>
      <c r="T93" s="37">
        <f t="shared" si="12"/>
        <v>12</v>
      </c>
      <c r="U93" s="28">
        <f t="shared" si="10"/>
        <v>159.52380952380955</v>
      </c>
      <c r="V93" s="59">
        <f t="shared" si="11"/>
        <v>0</v>
      </c>
    </row>
    <row r="94" spans="1:22" ht="21.75" customHeight="1">
      <c r="A94" s="87">
        <v>29</v>
      </c>
      <c r="B94" s="7" t="s">
        <v>12</v>
      </c>
      <c r="C94" s="3">
        <v>6</v>
      </c>
      <c r="D94" s="3">
        <v>6</v>
      </c>
      <c r="E94" s="4">
        <f t="shared" si="7"/>
        <v>3.5357142857142856</v>
      </c>
      <c r="F94" s="3">
        <v>3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5">
        <f t="shared" si="8"/>
        <v>-0.53571428571428559</v>
      </c>
      <c r="N94" s="28">
        <f t="shared" si="9"/>
        <v>117.85714285714286</v>
      </c>
      <c r="O94" s="7">
        <v>0</v>
      </c>
      <c r="P94" s="7">
        <v>0</v>
      </c>
      <c r="Q94" s="7">
        <v>6</v>
      </c>
      <c r="R94" s="7">
        <v>1</v>
      </c>
      <c r="S94" s="7">
        <v>5</v>
      </c>
      <c r="T94" s="37">
        <f t="shared" si="12"/>
        <v>12</v>
      </c>
      <c r="U94" s="28">
        <f t="shared" si="10"/>
        <v>159.52380952380955</v>
      </c>
      <c r="V94" s="59">
        <f t="shared" si="11"/>
        <v>0</v>
      </c>
    </row>
    <row r="95" spans="1:22" ht="21.75" customHeight="1">
      <c r="A95" s="87"/>
      <c r="B95" s="7" t="s">
        <v>13</v>
      </c>
      <c r="C95" s="3">
        <v>8</v>
      </c>
      <c r="D95" s="3">
        <v>6</v>
      </c>
      <c r="E95" s="4">
        <f t="shared" si="7"/>
        <v>3.8571428571428572</v>
      </c>
      <c r="F95" s="3">
        <v>2</v>
      </c>
      <c r="G95" s="3">
        <v>0</v>
      </c>
      <c r="H95" s="3">
        <v>0</v>
      </c>
      <c r="I95" s="3">
        <v>1</v>
      </c>
      <c r="J95" s="3">
        <v>0</v>
      </c>
      <c r="K95" s="3">
        <v>0</v>
      </c>
      <c r="L95" s="3">
        <v>0</v>
      </c>
      <c r="M95" s="5">
        <f t="shared" si="8"/>
        <v>-1.8571428571428572</v>
      </c>
      <c r="N95" s="28">
        <f t="shared" si="9"/>
        <v>128.57142857142858</v>
      </c>
      <c r="O95" s="7">
        <v>0</v>
      </c>
      <c r="P95" s="7">
        <v>1</v>
      </c>
      <c r="Q95" s="7">
        <v>8</v>
      </c>
      <c r="R95" s="7">
        <v>0</v>
      </c>
      <c r="S95" s="7">
        <v>6</v>
      </c>
      <c r="T95" s="37">
        <f t="shared" si="12"/>
        <v>15</v>
      </c>
      <c r="U95" s="28">
        <f t="shared" si="10"/>
        <v>189.6825396825397</v>
      </c>
      <c r="V95" s="59">
        <f t="shared" si="11"/>
        <v>-1</v>
      </c>
    </row>
    <row r="96" spans="1:22" ht="21.75" customHeight="1">
      <c r="A96" s="87"/>
      <c r="B96" s="7" t="s">
        <v>14</v>
      </c>
      <c r="C96" s="3">
        <v>9</v>
      </c>
      <c r="D96" s="3">
        <v>6</v>
      </c>
      <c r="E96" s="4">
        <f t="shared" si="7"/>
        <v>4.0178571428571432</v>
      </c>
      <c r="F96" s="3">
        <v>3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5">
        <f t="shared" si="8"/>
        <v>-1.0178571428571432</v>
      </c>
      <c r="N96" s="28">
        <f t="shared" si="9"/>
        <v>133.92857142857142</v>
      </c>
      <c r="O96" s="7">
        <v>0</v>
      </c>
      <c r="P96" s="7">
        <v>0</v>
      </c>
      <c r="Q96" s="7">
        <v>9</v>
      </c>
      <c r="R96" s="7">
        <v>1</v>
      </c>
      <c r="S96" s="7">
        <v>5</v>
      </c>
      <c r="T96" s="37">
        <f t="shared" si="12"/>
        <v>15</v>
      </c>
      <c r="U96" s="28">
        <f t="shared" si="10"/>
        <v>185.71428571428572</v>
      </c>
      <c r="V96" s="59">
        <f t="shared" si="11"/>
        <v>0</v>
      </c>
    </row>
    <row r="97" spans="1:22" ht="21.75" customHeight="1">
      <c r="A97" s="87">
        <v>30</v>
      </c>
      <c r="B97" s="7" t="s">
        <v>12</v>
      </c>
      <c r="C97" s="3">
        <v>8</v>
      </c>
      <c r="D97" s="3">
        <v>6</v>
      </c>
      <c r="E97" s="4">
        <f t="shared" si="7"/>
        <v>3.8571428571428572</v>
      </c>
      <c r="F97" s="3">
        <v>3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5">
        <f t="shared" si="8"/>
        <v>-0.85714285714285721</v>
      </c>
      <c r="N97" s="28">
        <f t="shared" si="9"/>
        <v>128.57142857142858</v>
      </c>
      <c r="O97" s="7">
        <v>0</v>
      </c>
      <c r="P97" s="7">
        <v>0</v>
      </c>
      <c r="Q97" s="7">
        <v>8</v>
      </c>
      <c r="R97" s="7">
        <v>1</v>
      </c>
      <c r="S97" s="7">
        <v>5</v>
      </c>
      <c r="T97" s="37">
        <f t="shared" si="12"/>
        <v>14</v>
      </c>
      <c r="U97" s="28">
        <f t="shared" si="10"/>
        <v>176.98412698412699</v>
      </c>
      <c r="V97" s="59">
        <f t="shared" si="11"/>
        <v>0</v>
      </c>
    </row>
    <row r="98" spans="1:22" ht="21.75" customHeight="1">
      <c r="A98" s="87"/>
      <c r="B98" s="7" t="s">
        <v>13</v>
      </c>
      <c r="C98" s="3">
        <v>7</v>
      </c>
      <c r="D98" s="3">
        <v>6</v>
      </c>
      <c r="E98" s="4">
        <f t="shared" si="7"/>
        <v>3.6964285714285716</v>
      </c>
      <c r="F98" s="3">
        <v>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5">
        <f t="shared" si="8"/>
        <v>0.30357142857142838</v>
      </c>
      <c r="N98" s="28">
        <f t="shared" si="9"/>
        <v>92.410714285714292</v>
      </c>
      <c r="O98" s="7">
        <v>0</v>
      </c>
      <c r="P98" s="7">
        <v>1</v>
      </c>
      <c r="Q98" s="7">
        <v>6</v>
      </c>
      <c r="R98" s="7">
        <v>1</v>
      </c>
      <c r="S98" s="7">
        <v>5</v>
      </c>
      <c r="T98" s="37">
        <f t="shared" si="12"/>
        <v>13</v>
      </c>
      <c r="U98" s="28">
        <f t="shared" si="10"/>
        <v>123.8095238095238</v>
      </c>
      <c r="V98" s="59">
        <f t="shared" si="11"/>
        <v>0</v>
      </c>
    </row>
    <row r="99" spans="1:22" ht="21.75" customHeight="1">
      <c r="A99" s="87"/>
      <c r="B99" s="7" t="s">
        <v>14</v>
      </c>
      <c r="C99" s="3">
        <v>7</v>
      </c>
      <c r="D99" s="3">
        <v>6</v>
      </c>
      <c r="E99" s="4">
        <f t="shared" si="7"/>
        <v>3.6964285714285716</v>
      </c>
      <c r="F99" s="3">
        <v>3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5">
        <f t="shared" si="8"/>
        <v>-0.69642857142857162</v>
      </c>
      <c r="N99" s="28">
        <f t="shared" si="9"/>
        <v>123.21428571428572</v>
      </c>
      <c r="O99" s="7">
        <v>0</v>
      </c>
      <c r="P99" s="7">
        <v>0</v>
      </c>
      <c r="Q99" s="7">
        <v>9</v>
      </c>
      <c r="R99" s="7">
        <v>2</v>
      </c>
      <c r="S99" s="7">
        <v>2</v>
      </c>
      <c r="T99" s="37">
        <f t="shared" si="12"/>
        <v>13</v>
      </c>
      <c r="U99" s="28">
        <f t="shared" si="10"/>
        <v>140.47619047619045</v>
      </c>
      <c r="V99" s="59">
        <f t="shared" si="11"/>
        <v>0</v>
      </c>
    </row>
    <row r="100" spans="1:22" ht="21.75" customHeight="1">
      <c r="A100" s="87">
        <v>31</v>
      </c>
      <c r="B100" s="7" t="s">
        <v>12</v>
      </c>
      <c r="C100" s="3">
        <v>8</v>
      </c>
      <c r="D100" s="3">
        <v>6</v>
      </c>
      <c r="E100" s="4">
        <f t="shared" si="7"/>
        <v>3.8571428571428572</v>
      </c>
      <c r="F100" s="3">
        <v>3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5">
        <f t="shared" si="8"/>
        <v>-0.85714285714285721</v>
      </c>
      <c r="N100" s="28">
        <f t="shared" si="9"/>
        <v>128.57142857142858</v>
      </c>
      <c r="O100" s="7">
        <v>0</v>
      </c>
      <c r="P100" s="7">
        <v>0</v>
      </c>
      <c r="Q100" s="7">
        <v>10</v>
      </c>
      <c r="R100" s="7">
        <v>2</v>
      </c>
      <c r="S100" s="7">
        <v>2</v>
      </c>
      <c r="T100" s="37">
        <f t="shared" si="12"/>
        <v>14</v>
      </c>
      <c r="U100" s="28">
        <f t="shared" si="10"/>
        <v>149.20634920634922</v>
      </c>
      <c r="V100" s="59">
        <f t="shared" si="11"/>
        <v>0</v>
      </c>
    </row>
    <row r="101" spans="1:22" ht="21.75" customHeight="1">
      <c r="A101" s="87"/>
      <c r="B101" s="7" t="s">
        <v>13</v>
      </c>
      <c r="C101" s="3">
        <v>8</v>
      </c>
      <c r="D101" s="3">
        <v>6</v>
      </c>
      <c r="E101" s="4">
        <f t="shared" si="7"/>
        <v>3.8571428571428572</v>
      </c>
      <c r="F101" s="3">
        <v>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1</v>
      </c>
      <c r="M101" s="5">
        <f t="shared" si="8"/>
        <v>1.1428571428571428</v>
      </c>
      <c r="N101" s="28">
        <f t="shared" si="9"/>
        <v>77.142857142857153</v>
      </c>
      <c r="O101" s="7">
        <v>0</v>
      </c>
      <c r="P101" s="7">
        <v>1</v>
      </c>
      <c r="Q101" s="7">
        <v>8</v>
      </c>
      <c r="R101" s="7">
        <v>3</v>
      </c>
      <c r="S101" s="7">
        <v>2</v>
      </c>
      <c r="T101" s="37">
        <f t="shared" si="12"/>
        <v>14</v>
      </c>
      <c r="U101" s="28">
        <f t="shared" si="10"/>
        <v>89.523809523809518</v>
      </c>
      <c r="V101" s="59">
        <f t="shared" si="11"/>
        <v>0</v>
      </c>
    </row>
    <row r="102" spans="1:22" ht="21.75" customHeight="1">
      <c r="A102" s="87"/>
      <c r="B102" s="7" t="s">
        <v>14</v>
      </c>
      <c r="C102" s="3">
        <v>9</v>
      </c>
      <c r="D102" s="3">
        <v>4</v>
      </c>
      <c r="E102" s="4">
        <f t="shared" si="7"/>
        <v>3.1607142857142856</v>
      </c>
      <c r="F102" s="3">
        <v>3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  <c r="M102" s="5">
        <f t="shared" si="8"/>
        <v>-0.16071428571428559</v>
      </c>
      <c r="N102" s="28">
        <f t="shared" si="9"/>
        <v>105.35714285714286</v>
      </c>
      <c r="O102" s="7">
        <v>0</v>
      </c>
      <c r="P102" s="7">
        <v>0</v>
      </c>
      <c r="Q102" s="7">
        <v>10</v>
      </c>
      <c r="R102" s="7">
        <v>1</v>
      </c>
      <c r="S102" s="7">
        <v>2</v>
      </c>
      <c r="T102" s="37">
        <f t="shared" si="12"/>
        <v>13</v>
      </c>
      <c r="U102" s="28">
        <f t="shared" si="10"/>
        <v>137.30158730158729</v>
      </c>
      <c r="V102" s="59">
        <f t="shared" si="11"/>
        <v>0</v>
      </c>
    </row>
    <row r="103" spans="1:22" ht="21.75" customHeight="1">
      <c r="A103" s="87" t="s">
        <v>41</v>
      </c>
      <c r="B103" s="1" t="s">
        <v>12</v>
      </c>
      <c r="C103" s="37">
        <f>C10+C13+C16+C19+C22+C25+C28+C31+C34+C37+C40+C43+C46+C49+C52+C55+C58+C61+C64+C67+C70+C73+C76+C79+C82+C85+C88+C91+C94+C97+C100</f>
        <v>260</v>
      </c>
      <c r="D103" s="37">
        <f>D10+D13+D16+D19+D22+D25+D28+D31+D34+D37+D40+D43+D46+D49+D52+D55+D58+D61+D64+D67+D70+D73+D76+D79+D82+D85+D88+D91+D94+D97+D100</f>
        <v>168</v>
      </c>
      <c r="E103" s="4">
        <f>((($B$3*C103)+(12*D103))*$M$4)/7</f>
        <v>159.29999999999998</v>
      </c>
      <c r="F103" s="1">
        <f t="shared" ref="F103" si="13">F10+F13+F16+F19+F22+F25+F28+F31+F34+F37+F40+F43+F46+F49+F52+F55+F58+F61+F64+F67+F70+F73+F76+F79+F82+F85+F88+F91+F94+F97+F100</f>
        <v>86</v>
      </c>
      <c r="G103" s="1">
        <f t="shared" ref="G103:L105" si="14">G10+G13+G16+G19+G22+G25+G28+G31+G34+G37+G40+G43+G46+G49+G52+G55+G58+G61+G64+G67+G70+G73+G76+G79+G82+G85+G88+G91+G94+G97+G100</f>
        <v>0</v>
      </c>
      <c r="H103" s="1">
        <f t="shared" si="14"/>
        <v>1</v>
      </c>
      <c r="I103" s="1">
        <f t="shared" si="14"/>
        <v>5</v>
      </c>
      <c r="J103" s="1">
        <f t="shared" si="14"/>
        <v>0</v>
      </c>
      <c r="K103" s="1">
        <f t="shared" si="14"/>
        <v>0</v>
      </c>
      <c r="L103" s="1">
        <f t="shared" si="14"/>
        <v>2</v>
      </c>
      <c r="M103" s="5">
        <f t="shared" si="8"/>
        <v>-70.299999999999983</v>
      </c>
      <c r="N103" s="28">
        <f t="shared" si="9"/>
        <v>121.04863221884499</v>
      </c>
      <c r="O103" s="1">
        <f t="shared" ref="O103:S105" si="15">O10+O13+O16+O19+O22+O25+O28+O31+O34+O37+O40+O43+O46+O49+O52+O55+O58+O61+O64+O67+O70+O73+O76+O79+O82+O85+O88+O91+O94+O97+O100</f>
        <v>0</v>
      </c>
      <c r="P103" s="1">
        <f t="shared" si="15"/>
        <v>0</v>
      </c>
      <c r="Q103" s="1">
        <f t="shared" si="15"/>
        <v>259</v>
      </c>
      <c r="R103" s="1">
        <f t="shared" si="15"/>
        <v>45</v>
      </c>
      <c r="S103" s="1">
        <f>S10+S13+S16+S19+S22+S25+S28+S31+S34+S37+S40+S43+S46+S49+S52+S55+S58+S61+S64+S67+S70+S73+S76+S79+S82+S85+S88+S91+S94+S97+S100</f>
        <v>124</v>
      </c>
      <c r="T103" s="37">
        <f t="shared" si="12"/>
        <v>428</v>
      </c>
      <c r="U103" s="28">
        <f t="shared" si="10"/>
        <v>164.64032421479229</v>
      </c>
      <c r="V103" s="59">
        <f t="shared" si="11"/>
        <v>0</v>
      </c>
    </row>
    <row r="104" spans="1:22" ht="21.75" customHeight="1">
      <c r="A104" s="87"/>
      <c r="B104" s="1" t="s">
        <v>13</v>
      </c>
      <c r="C104" s="37">
        <f t="shared" ref="C104:D105" si="16">C11+C14+C17+C20+C23+C26+C29+C32+C35+C38+C41+C44+C47+C50+C53+C56+C59+C62+C65+C68+C71+C74+C77+C80+C83+C86+C89+C92+C95+C98+C101</f>
        <v>278</v>
      </c>
      <c r="D104" s="37">
        <f t="shared" si="16"/>
        <v>165</v>
      </c>
      <c r="E104" s="4">
        <f t="shared" ref="E104:E105" si="17">((($B$3*C104)+(12*D104))*$M$4)/7</f>
        <v>161.54999999999998</v>
      </c>
      <c r="F104" s="1">
        <f t="shared" ref="F104" si="18">F11+F14+F17+F20+F23+F26+F29+F32+F35+F38+F41+F44+F47+F50+F53+F56+F59+F62+F65+F68+F71+F74+F77+F80+F83+F86+F89+F92+F95+F98+F101</f>
        <v>89</v>
      </c>
      <c r="G104" s="1">
        <f t="shared" si="14"/>
        <v>0</v>
      </c>
      <c r="H104" s="1">
        <f t="shared" ref="H104" si="19">H11+H14+H17+H20+H23+H26+H29+H32+H35+H38+H41+H44+H47+H50+H53+H56+H59+H62+H65+H68+H71+H74+H77+H80+H83+H86+H89+H92+H95+H98+H101</f>
        <v>5</v>
      </c>
      <c r="I104" s="1">
        <f t="shared" si="14"/>
        <v>16</v>
      </c>
      <c r="J104" s="1">
        <f t="shared" si="14"/>
        <v>0</v>
      </c>
      <c r="K104" s="1">
        <f t="shared" ref="K104" si="20">K11+K14+K17+K20+K23+K26+K29+K32+K35+K38+K41+K44+K47+K50+K53+K56+K59+K62+K65+K68+K71+K74+K77+K80+K83+K86+K89+K92+K95+K98+K101</f>
        <v>10</v>
      </c>
      <c r="L104" s="1">
        <f t="shared" si="14"/>
        <v>1</v>
      </c>
      <c r="M104" s="5">
        <f t="shared" si="8"/>
        <v>-66.549999999999983</v>
      </c>
      <c r="N104" s="28">
        <f t="shared" si="9"/>
        <v>95.365997638724906</v>
      </c>
      <c r="O104" s="1">
        <f t="shared" si="15"/>
        <v>0</v>
      </c>
      <c r="P104" s="1">
        <f t="shared" si="15"/>
        <v>40</v>
      </c>
      <c r="Q104" s="1">
        <f t="shared" si="15"/>
        <v>239</v>
      </c>
      <c r="R104" s="1">
        <f t="shared" si="15"/>
        <v>36</v>
      </c>
      <c r="S104" s="1">
        <f t="shared" si="15"/>
        <v>132</v>
      </c>
      <c r="T104" s="37">
        <f t="shared" si="12"/>
        <v>447</v>
      </c>
      <c r="U104" s="28">
        <f t="shared" si="10"/>
        <v>130.20464384100748</v>
      </c>
      <c r="V104" s="59">
        <f t="shared" si="11"/>
        <v>-4</v>
      </c>
    </row>
    <row r="105" spans="1:22" ht="21.75" customHeight="1">
      <c r="A105" s="87"/>
      <c r="B105" s="1" t="s">
        <v>14</v>
      </c>
      <c r="C105" s="37">
        <f t="shared" si="16"/>
        <v>256</v>
      </c>
      <c r="D105" s="37">
        <f t="shared" si="16"/>
        <v>162</v>
      </c>
      <c r="E105" s="4">
        <f t="shared" si="17"/>
        <v>154.79999999999998</v>
      </c>
      <c r="F105" s="1">
        <f t="shared" ref="F105" si="21">F12+F15+F18+F21+F24+F27+F30+F33+F36+F39+F42+F45+F48+F51+F54+F57+F60+F63+F66+F69+F72+F75+F78+F81+F84+F87+F90+F93+F96+F99+F102</f>
        <v>88</v>
      </c>
      <c r="G105" s="1">
        <f t="shared" si="14"/>
        <v>0</v>
      </c>
      <c r="H105" s="1">
        <f t="shared" ref="H105" si="22">H12+H15+H18+H21+H24+H27+H30+H33+H36+H39+H42+H45+H48+H51+H54+H57+H60+H63+H66+H69+H72+H75+H78+H81+H84+H87+H90+H93+H96+H99+H102</f>
        <v>7</v>
      </c>
      <c r="I105" s="1">
        <f t="shared" si="14"/>
        <v>4</v>
      </c>
      <c r="J105" s="1">
        <f t="shared" si="14"/>
        <v>0</v>
      </c>
      <c r="K105" s="1">
        <f t="shared" ref="K105" si="23">K12+K15+K18+K21+K24+K27+K30+K33+K36+K39+K42+K45+K48+K51+K54+K57+K60+K63+K66+K69+K72+K75+K78+K81+K84+K87+K90+K93+K96+K99+K102</f>
        <v>4</v>
      </c>
      <c r="L105" s="1">
        <f t="shared" si="14"/>
        <v>1</v>
      </c>
      <c r="M105" s="5">
        <f t="shared" si="8"/>
        <v>-58.799999999999983</v>
      </c>
      <c r="N105" s="28">
        <f t="shared" si="9"/>
        <v>106.31868131868131</v>
      </c>
      <c r="O105" s="1">
        <f t="shared" si="15"/>
        <v>0</v>
      </c>
      <c r="P105" s="1">
        <f t="shared" si="15"/>
        <v>0</v>
      </c>
      <c r="Q105" s="1">
        <f t="shared" si="15"/>
        <v>259</v>
      </c>
      <c r="R105" s="1">
        <f t="shared" si="15"/>
        <v>43</v>
      </c>
      <c r="S105" s="1">
        <f t="shared" si="15"/>
        <v>116</v>
      </c>
      <c r="T105" s="37">
        <f t="shared" si="12"/>
        <v>418</v>
      </c>
      <c r="U105" s="28">
        <f t="shared" si="10"/>
        <v>143.72710622710622</v>
      </c>
      <c r="V105" s="59">
        <f t="shared" si="11"/>
        <v>0</v>
      </c>
    </row>
    <row r="106" spans="1:22" ht="21.75" customHeight="1">
      <c r="A106" s="7" t="s">
        <v>42</v>
      </c>
      <c r="B106" s="7"/>
      <c r="C106" s="60">
        <f>SUM(C103:C105)/3</f>
        <v>264.66666666666669</v>
      </c>
      <c r="D106" s="60">
        <f>SUM(D103:D105)/3</f>
        <v>165</v>
      </c>
      <c r="E106" s="25"/>
      <c r="F106" s="42">
        <f>SUM(F103:F105)</f>
        <v>263</v>
      </c>
      <c r="G106" s="42">
        <f t="shared" ref="G106:L106" si="24">SUM(G103:G105)</f>
        <v>0</v>
      </c>
      <c r="H106" s="42">
        <f t="shared" si="24"/>
        <v>13</v>
      </c>
      <c r="I106" s="42">
        <f t="shared" si="24"/>
        <v>25</v>
      </c>
      <c r="J106" s="42">
        <f t="shared" si="24"/>
        <v>0</v>
      </c>
      <c r="K106" s="42">
        <f t="shared" si="24"/>
        <v>14</v>
      </c>
      <c r="L106" s="42">
        <f t="shared" si="24"/>
        <v>4</v>
      </c>
      <c r="M106" s="5">
        <f t="shared" si="8"/>
        <v>280</v>
      </c>
      <c r="N106" s="25"/>
      <c r="O106" s="25">
        <f>SUM(O103:O105)/3</f>
        <v>0</v>
      </c>
      <c r="P106" s="25">
        <f>SUM(P103:P105)/3</f>
        <v>13.333333333333334</v>
      </c>
      <c r="Q106" s="25">
        <f t="shared" ref="Q106:T106" si="25">SUM(Q103:Q105)/3</f>
        <v>252.33333333333334</v>
      </c>
      <c r="R106" s="25">
        <f t="shared" si="25"/>
        <v>41.333333333333336</v>
      </c>
      <c r="S106" s="25">
        <f t="shared" si="25"/>
        <v>124</v>
      </c>
      <c r="T106" s="29">
        <f t="shared" si="25"/>
        <v>431</v>
      </c>
      <c r="U106" s="28">
        <f t="shared" si="10"/>
        <v>48.25347066726377</v>
      </c>
      <c r="V106" s="59">
        <f t="shared" si="11"/>
        <v>-1.3333333333333144</v>
      </c>
    </row>
  </sheetData>
  <mergeCells count="77">
    <mergeCell ref="O3:P3"/>
    <mergeCell ref="O4:P4"/>
    <mergeCell ref="O5:P5"/>
    <mergeCell ref="F5:L5"/>
    <mergeCell ref="Q3:R3"/>
    <mergeCell ref="Q4:R4"/>
    <mergeCell ref="Q5:R5"/>
    <mergeCell ref="E3:H3"/>
    <mergeCell ref="E4:H4"/>
    <mergeCell ref="A94:A96"/>
    <mergeCell ref="A97:A99"/>
    <mergeCell ref="A100:A102"/>
    <mergeCell ref="A103:A105"/>
    <mergeCell ref="A76:A78"/>
    <mergeCell ref="A79:A81"/>
    <mergeCell ref="A82:A84"/>
    <mergeCell ref="A85:A87"/>
    <mergeCell ref="A88:A90"/>
    <mergeCell ref="A91:A93"/>
    <mergeCell ref="A73:A75"/>
    <mergeCell ref="A40:A42"/>
    <mergeCell ref="A43:A45"/>
    <mergeCell ref="A46:A48"/>
    <mergeCell ref="A49:A51"/>
    <mergeCell ref="A52:A54"/>
    <mergeCell ref="A55:A57"/>
    <mergeCell ref="A58:A60"/>
    <mergeCell ref="A61:A63"/>
    <mergeCell ref="A64:A66"/>
    <mergeCell ref="A67:A69"/>
    <mergeCell ref="A70:A72"/>
    <mergeCell ref="A37:A3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B7:B9"/>
    <mergeCell ref="L7:L9"/>
    <mergeCell ref="A5:B5"/>
    <mergeCell ref="A6:B6"/>
    <mergeCell ref="A7:A9"/>
    <mergeCell ref="C7:C9"/>
    <mergeCell ref="E7:E9"/>
    <mergeCell ref="D7:D9"/>
    <mergeCell ref="C5:D5"/>
    <mergeCell ref="C6:D6"/>
    <mergeCell ref="F8:H8"/>
    <mergeCell ref="I8:K8"/>
    <mergeCell ref="A1:N1"/>
    <mergeCell ref="A2:N2"/>
    <mergeCell ref="A3:A4"/>
    <mergeCell ref="B3:B4"/>
    <mergeCell ref="C3:C4"/>
    <mergeCell ref="I3:L3"/>
    <mergeCell ref="I4:L4"/>
    <mergeCell ref="M3:N3"/>
    <mergeCell ref="M4:N4"/>
    <mergeCell ref="T7:T9"/>
    <mergeCell ref="U7:U9"/>
    <mergeCell ref="O7:S7"/>
    <mergeCell ref="O8:O9"/>
    <mergeCell ref="P8:P9"/>
    <mergeCell ref="Q8:Q9"/>
    <mergeCell ref="R8:R9"/>
    <mergeCell ref="S8:S9"/>
    <mergeCell ref="M7:M9"/>
    <mergeCell ref="N7:N9"/>
    <mergeCell ref="O6:Q6"/>
    <mergeCell ref="R6:S6"/>
    <mergeCell ref="F7:K7"/>
    <mergeCell ref="I6:K6"/>
    <mergeCell ref="F6:H6"/>
  </mergeCells>
  <pageMargins left="0.25" right="0.25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6"/>
  <sheetViews>
    <sheetView zoomScale="76" zoomScaleNormal="76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T12" sqref="T12"/>
    </sheetView>
  </sheetViews>
  <sheetFormatPr defaultColWidth="9" defaultRowHeight="21.75" customHeight="1"/>
  <cols>
    <col min="1" max="1" width="10.33203125" style="2" customWidth="1"/>
    <col min="2" max="2" width="4.109375" style="2" customWidth="1"/>
    <col min="3" max="3" width="7.88671875" style="2" customWidth="1"/>
    <col min="4" max="4" width="8.33203125" style="2" customWidth="1"/>
    <col min="5" max="5" width="10.109375" style="2" customWidth="1"/>
    <col min="6" max="6" width="7.77734375" style="2" customWidth="1"/>
    <col min="7" max="8" width="6" style="2" customWidth="1"/>
    <col min="9" max="9" width="5.33203125" style="2" bestFit="1" customWidth="1"/>
    <col min="10" max="11" width="6.33203125" style="2" customWidth="1"/>
    <col min="12" max="12" width="6" style="2" customWidth="1"/>
    <col min="13" max="13" width="6.88671875" style="2" bestFit="1" customWidth="1"/>
    <col min="14" max="14" width="7.88671875" style="2" bestFit="1" customWidth="1"/>
    <col min="15" max="15" width="5.33203125" style="2" bestFit="1" customWidth="1"/>
    <col min="16" max="17" width="6.33203125" style="2" bestFit="1" customWidth="1"/>
    <col min="18" max="18" width="5" style="2" customWidth="1"/>
    <col min="19" max="19" width="8" style="2" customWidth="1"/>
    <col min="20" max="20" width="8.6640625" style="2" customWidth="1"/>
    <col min="21" max="21" width="11.6640625" style="2" customWidth="1"/>
    <col min="22" max="22" width="7.77734375" style="2" customWidth="1"/>
    <col min="23" max="16384" width="9" style="2"/>
  </cols>
  <sheetData>
    <row r="1" spans="1:24" ht="21.75" customHeight="1">
      <c r="A1" s="90" t="s">
        <v>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</row>
    <row r="2" spans="1:24" ht="21.75" customHeight="1">
      <c r="A2" s="90" t="s">
        <v>65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</row>
    <row r="3" spans="1:24" ht="21.75" customHeight="1">
      <c r="A3" s="91" t="s">
        <v>10</v>
      </c>
      <c r="B3" s="92">
        <v>4.5</v>
      </c>
      <c r="C3" s="93" t="s">
        <v>11</v>
      </c>
      <c r="D3" s="38"/>
      <c r="E3" s="116" t="s">
        <v>12</v>
      </c>
      <c r="F3" s="95"/>
      <c r="G3" s="95"/>
      <c r="H3" s="96"/>
      <c r="I3" s="93" t="s">
        <v>13</v>
      </c>
      <c r="J3" s="93"/>
      <c r="K3" s="93"/>
      <c r="L3" s="93"/>
      <c r="M3" s="95" t="s">
        <v>14</v>
      </c>
      <c r="N3" s="96"/>
      <c r="O3" s="113" t="s">
        <v>15</v>
      </c>
      <c r="P3" s="113"/>
      <c r="Q3" s="115">
        <f>((F103+F105)*240)+((G103+G105)*180)</f>
        <v>0</v>
      </c>
      <c r="R3" s="115"/>
      <c r="S3" s="7" t="s">
        <v>16</v>
      </c>
    </row>
    <row r="4" spans="1:24" ht="21.75" customHeight="1">
      <c r="A4" s="91"/>
      <c r="B4" s="92"/>
      <c r="C4" s="93"/>
      <c r="D4" s="38"/>
      <c r="E4" s="114">
        <v>0.25</v>
      </c>
      <c r="F4" s="97"/>
      <c r="G4" s="97"/>
      <c r="H4" s="98"/>
      <c r="I4" s="94">
        <v>0.4</v>
      </c>
      <c r="J4" s="94"/>
      <c r="K4" s="94"/>
      <c r="L4" s="94"/>
      <c r="M4" s="97">
        <v>0.35</v>
      </c>
      <c r="N4" s="98"/>
      <c r="O4" s="113" t="s">
        <v>17</v>
      </c>
      <c r="P4" s="113"/>
      <c r="Q4" s="115">
        <f>((I103+L103+I104+L104+I105+L105)*660)+((J103+J105+J104)*530)</f>
        <v>0</v>
      </c>
      <c r="R4" s="115"/>
      <c r="S4" s="7" t="s">
        <v>16</v>
      </c>
    </row>
    <row r="5" spans="1:24" ht="21.75" customHeight="1">
      <c r="A5" s="99" t="s">
        <v>18</v>
      </c>
      <c r="B5" s="99"/>
      <c r="C5" s="103"/>
      <c r="D5" s="104"/>
      <c r="E5" s="35" t="s">
        <v>19</v>
      </c>
      <c r="F5" s="114" t="s">
        <v>20</v>
      </c>
      <c r="G5" s="97"/>
      <c r="H5" s="97"/>
      <c r="I5" s="97"/>
      <c r="J5" s="97"/>
      <c r="K5" s="97"/>
      <c r="L5" s="97"/>
      <c r="M5" s="6"/>
      <c r="N5" s="34" t="s">
        <v>21</v>
      </c>
      <c r="O5" s="113"/>
      <c r="P5" s="113"/>
      <c r="Q5" s="115"/>
      <c r="R5" s="115"/>
      <c r="S5" s="7"/>
    </row>
    <row r="6" spans="1:24" ht="21.75" customHeight="1">
      <c r="A6" s="99" t="s">
        <v>23</v>
      </c>
      <c r="B6" s="99"/>
      <c r="C6" s="105" t="e">
        <f>((C106*12)/(M5*7)+((D106*12)/(M5*7)))</f>
        <v>#DIV/0!</v>
      </c>
      <c r="D6" s="106"/>
      <c r="E6" s="35" t="s">
        <v>19</v>
      </c>
      <c r="F6" s="80" t="s">
        <v>24</v>
      </c>
      <c r="G6" s="81"/>
      <c r="H6" s="82"/>
      <c r="I6" s="77" t="e">
        <f>C5-C6</f>
        <v>#DIV/0!</v>
      </c>
      <c r="J6" s="78"/>
      <c r="K6" s="79"/>
      <c r="L6" s="39" t="s">
        <v>19</v>
      </c>
      <c r="M6" s="36" t="s">
        <v>25</v>
      </c>
      <c r="N6" s="27" t="e">
        <f>((((C106*4.5)+(D106*12))/((F106+G106+H106+I106+J106+K106+L106)*7)))*100</f>
        <v>#DIV/0!</v>
      </c>
      <c r="O6" s="71" t="s">
        <v>26</v>
      </c>
      <c r="P6" s="71"/>
      <c r="Q6" s="71"/>
      <c r="R6" s="72" t="e">
        <f>U106</f>
        <v>#DIV/0!</v>
      </c>
      <c r="S6" s="73"/>
    </row>
    <row r="7" spans="1:24" ht="21.75" customHeight="1">
      <c r="A7" s="65" t="s">
        <v>27</v>
      </c>
      <c r="B7" s="65" t="s">
        <v>28</v>
      </c>
      <c r="C7" s="100" t="s">
        <v>77</v>
      </c>
      <c r="D7" s="100" t="s">
        <v>78</v>
      </c>
      <c r="E7" s="65" t="s">
        <v>30</v>
      </c>
      <c r="F7" s="74" t="s">
        <v>31</v>
      </c>
      <c r="G7" s="75"/>
      <c r="H7" s="75"/>
      <c r="I7" s="75"/>
      <c r="J7" s="75"/>
      <c r="K7" s="76"/>
      <c r="L7" s="65" t="s">
        <v>32</v>
      </c>
      <c r="M7" s="65" t="s">
        <v>33</v>
      </c>
      <c r="N7" s="68" t="s">
        <v>25</v>
      </c>
      <c r="O7" s="87" t="s">
        <v>34</v>
      </c>
      <c r="P7" s="87"/>
      <c r="Q7" s="87"/>
      <c r="R7" s="87"/>
      <c r="S7" s="87"/>
      <c r="T7" s="83" t="s">
        <v>35</v>
      </c>
      <c r="U7" s="85" t="s">
        <v>26</v>
      </c>
    </row>
    <row r="8" spans="1:24" ht="21.75" customHeight="1">
      <c r="A8" s="66"/>
      <c r="B8" s="66"/>
      <c r="C8" s="101"/>
      <c r="D8" s="101"/>
      <c r="E8" s="66"/>
      <c r="F8" s="107" t="s">
        <v>37</v>
      </c>
      <c r="G8" s="108"/>
      <c r="H8" s="109"/>
      <c r="I8" s="110" t="s">
        <v>38</v>
      </c>
      <c r="J8" s="111"/>
      <c r="K8" s="112"/>
      <c r="L8" s="66"/>
      <c r="M8" s="66"/>
      <c r="N8" s="69"/>
      <c r="O8" s="88">
        <v>1</v>
      </c>
      <c r="P8" s="88">
        <v>2</v>
      </c>
      <c r="Q8" s="88">
        <v>3</v>
      </c>
      <c r="R8" s="88">
        <v>4</v>
      </c>
      <c r="S8" s="88">
        <v>5</v>
      </c>
      <c r="T8" s="83"/>
      <c r="U8" s="85"/>
      <c r="X8" s="2" t="s">
        <v>70</v>
      </c>
    </row>
    <row r="9" spans="1:24" ht="21.75" customHeight="1">
      <c r="A9" s="67"/>
      <c r="B9" s="67"/>
      <c r="C9" s="102"/>
      <c r="D9" s="102"/>
      <c r="E9" s="67"/>
      <c r="F9" s="24" t="s">
        <v>39</v>
      </c>
      <c r="G9" s="24" t="s">
        <v>40</v>
      </c>
      <c r="H9" s="24" t="s">
        <v>76</v>
      </c>
      <c r="I9" s="57" t="s">
        <v>39</v>
      </c>
      <c r="J9" s="57" t="s">
        <v>40</v>
      </c>
      <c r="K9" s="57" t="s">
        <v>76</v>
      </c>
      <c r="L9" s="67"/>
      <c r="M9" s="67"/>
      <c r="N9" s="70"/>
      <c r="O9" s="89"/>
      <c r="P9" s="89"/>
      <c r="Q9" s="89"/>
      <c r="R9" s="89"/>
      <c r="S9" s="89"/>
      <c r="T9" s="84"/>
      <c r="U9" s="86"/>
      <c r="V9" s="2" t="s">
        <v>69</v>
      </c>
    </row>
    <row r="10" spans="1:24" ht="21.75" customHeight="1">
      <c r="A10" s="87">
        <v>1</v>
      </c>
      <c r="B10" s="7" t="s">
        <v>12</v>
      </c>
      <c r="C10" s="3"/>
      <c r="D10" s="3"/>
      <c r="E10" s="4">
        <f>((($B$3*C10)+(12*D10))*$E$4)/7</f>
        <v>0</v>
      </c>
      <c r="F10" s="3"/>
      <c r="G10" s="3"/>
      <c r="H10" s="3"/>
      <c r="I10" s="3"/>
      <c r="J10" s="3"/>
      <c r="K10" s="3"/>
      <c r="L10" s="3"/>
      <c r="M10" s="5">
        <f>(F10+G10+H10+L10)-E10</f>
        <v>0</v>
      </c>
      <c r="N10" s="28" t="e">
        <f>(((C10*12)+(12*D10))*$E$4)/((F10+G10+H10+I10+J10+K10+L10)*7)*100</f>
        <v>#DIV/0!</v>
      </c>
      <c r="O10" s="7"/>
      <c r="P10" s="7"/>
      <c r="Q10" s="7"/>
      <c r="R10" s="7"/>
      <c r="S10" s="3"/>
      <c r="T10" s="37">
        <f t="shared" ref="T10:T73" si="0">SUM(O10:S10)</f>
        <v>0</v>
      </c>
      <c r="U10" s="28" t="e">
        <f>((((O10*1.5+(P10*3.5)+(Q10*5.5)+(R10*7.5)+(S10*12)))/3)/((F10+G10+H10+I10+J10+K10+L10)*7))*100</f>
        <v>#DIV/0!</v>
      </c>
      <c r="V10" s="59">
        <f>C10+D10-T10</f>
        <v>0</v>
      </c>
    </row>
    <row r="11" spans="1:24" ht="21.75" customHeight="1">
      <c r="A11" s="87"/>
      <c r="B11" s="7" t="s">
        <v>13</v>
      </c>
      <c r="C11" s="3"/>
      <c r="D11" s="3"/>
      <c r="E11" s="4">
        <f t="shared" ref="E11:E74" si="1">((($B$3*C11)+(12*D11))*$E$4)/7</f>
        <v>0</v>
      </c>
      <c r="F11" s="3"/>
      <c r="G11" s="7"/>
      <c r="H11" s="58"/>
      <c r="I11" s="55"/>
      <c r="J11" s="3"/>
      <c r="K11" s="3"/>
      <c r="L11" s="3"/>
      <c r="M11" s="5">
        <f t="shared" ref="M11:M74" si="2">(F11+G11+H11+L11)-E11</f>
        <v>0</v>
      </c>
      <c r="N11" s="28" t="e">
        <f t="shared" ref="N11:N74" si="3">(((C11*12)+(12*D11))*$E$4)/((F11+G11+H11+I11+J11+K11+L11)*7)*100</f>
        <v>#DIV/0!</v>
      </c>
      <c r="O11" s="7"/>
      <c r="P11" s="7"/>
      <c r="Q11" s="7"/>
      <c r="R11" s="7"/>
      <c r="S11" s="3"/>
      <c r="T11" s="37">
        <f t="shared" si="0"/>
        <v>0</v>
      </c>
      <c r="U11" s="28" t="e">
        <f t="shared" ref="U11:U74" si="4">((((O11*1.5+(P11*3.5)+(Q11*5.5)+(R11*7.5)+(S11*12)))/3)/((F11+G11+H11+I11+J11+K11+L11)*7))*100</f>
        <v>#DIV/0!</v>
      </c>
      <c r="V11" s="59">
        <f t="shared" ref="V11:V74" si="5">C11+D11-T11</f>
        <v>0</v>
      </c>
    </row>
    <row r="12" spans="1:24" ht="21.75" customHeight="1">
      <c r="A12" s="87"/>
      <c r="B12" s="7" t="s">
        <v>14</v>
      </c>
      <c r="C12" s="3"/>
      <c r="D12" s="3"/>
      <c r="E12" s="4">
        <f t="shared" si="1"/>
        <v>0</v>
      </c>
      <c r="F12" s="3"/>
      <c r="G12" s="7"/>
      <c r="H12" s="58"/>
      <c r="I12" s="55"/>
      <c r="J12" s="3"/>
      <c r="K12" s="3"/>
      <c r="L12" s="3"/>
      <c r="M12" s="5">
        <f t="shared" si="2"/>
        <v>0</v>
      </c>
      <c r="N12" s="28" t="e">
        <f t="shared" si="3"/>
        <v>#DIV/0!</v>
      </c>
      <c r="O12" s="7"/>
      <c r="P12" s="7"/>
      <c r="Q12" s="7"/>
      <c r="R12" s="7"/>
      <c r="S12" s="3"/>
      <c r="T12" s="37">
        <f t="shared" si="0"/>
        <v>0</v>
      </c>
      <c r="U12" s="28" t="e">
        <f t="shared" si="4"/>
        <v>#DIV/0!</v>
      </c>
      <c r="V12" s="59">
        <f t="shared" si="5"/>
        <v>0</v>
      </c>
    </row>
    <row r="13" spans="1:24" ht="21.75" customHeight="1">
      <c r="A13" s="87">
        <v>2</v>
      </c>
      <c r="B13" s="7" t="s">
        <v>12</v>
      </c>
      <c r="C13" s="3"/>
      <c r="D13" s="3"/>
      <c r="E13" s="4">
        <f t="shared" si="1"/>
        <v>0</v>
      </c>
      <c r="F13" s="3"/>
      <c r="G13" s="7"/>
      <c r="H13" s="7"/>
      <c r="I13" s="3"/>
      <c r="J13" s="3"/>
      <c r="K13" s="3"/>
      <c r="L13" s="3"/>
      <c r="M13" s="5">
        <f t="shared" si="2"/>
        <v>0</v>
      </c>
      <c r="N13" s="28" t="e">
        <f t="shared" si="3"/>
        <v>#DIV/0!</v>
      </c>
      <c r="O13" s="7"/>
      <c r="P13" s="7"/>
      <c r="Q13" s="7"/>
      <c r="R13" s="7"/>
      <c r="S13" s="3"/>
      <c r="T13" s="37">
        <f t="shared" si="0"/>
        <v>0</v>
      </c>
      <c r="U13" s="28" t="e">
        <f t="shared" si="4"/>
        <v>#DIV/0!</v>
      </c>
      <c r="V13" s="59">
        <f t="shared" si="5"/>
        <v>0</v>
      </c>
    </row>
    <row r="14" spans="1:24" ht="21.75" customHeight="1">
      <c r="A14" s="87"/>
      <c r="B14" s="7" t="s">
        <v>13</v>
      </c>
      <c r="C14" s="3"/>
      <c r="D14" s="3"/>
      <c r="E14" s="4">
        <f t="shared" si="1"/>
        <v>0</v>
      </c>
      <c r="F14" s="3"/>
      <c r="G14" s="7"/>
      <c r="H14" s="58"/>
      <c r="I14" s="55"/>
      <c r="J14" s="3"/>
      <c r="K14" s="3"/>
      <c r="L14" s="3"/>
      <c r="M14" s="5">
        <f t="shared" si="2"/>
        <v>0</v>
      </c>
      <c r="N14" s="28" t="e">
        <f t="shared" si="3"/>
        <v>#DIV/0!</v>
      </c>
      <c r="O14" s="7"/>
      <c r="P14" s="7"/>
      <c r="Q14" s="7"/>
      <c r="R14" s="7"/>
      <c r="S14" s="3"/>
      <c r="T14" s="37">
        <f t="shared" si="0"/>
        <v>0</v>
      </c>
      <c r="U14" s="28" t="e">
        <f t="shared" si="4"/>
        <v>#DIV/0!</v>
      </c>
      <c r="V14" s="59">
        <f t="shared" si="5"/>
        <v>0</v>
      </c>
    </row>
    <row r="15" spans="1:24" ht="21.75" customHeight="1">
      <c r="A15" s="87"/>
      <c r="B15" s="7" t="s">
        <v>14</v>
      </c>
      <c r="C15" s="3"/>
      <c r="D15" s="3"/>
      <c r="E15" s="4">
        <f t="shared" si="1"/>
        <v>0</v>
      </c>
      <c r="F15" s="3"/>
      <c r="G15" s="7"/>
      <c r="H15" s="7"/>
      <c r="I15" s="3"/>
      <c r="J15" s="3"/>
      <c r="K15" s="3"/>
      <c r="L15" s="3"/>
      <c r="M15" s="5">
        <f t="shared" si="2"/>
        <v>0</v>
      </c>
      <c r="N15" s="28" t="e">
        <f t="shared" si="3"/>
        <v>#DIV/0!</v>
      </c>
      <c r="O15" s="7"/>
      <c r="P15" s="7"/>
      <c r="Q15" s="7"/>
      <c r="R15" s="7"/>
      <c r="S15" s="3"/>
      <c r="T15" s="37">
        <f t="shared" si="0"/>
        <v>0</v>
      </c>
      <c r="U15" s="28" t="e">
        <f t="shared" si="4"/>
        <v>#DIV/0!</v>
      </c>
      <c r="V15" s="59">
        <f t="shared" si="5"/>
        <v>0</v>
      </c>
    </row>
    <row r="16" spans="1:24" ht="21.75" customHeight="1">
      <c r="A16" s="87">
        <v>3</v>
      </c>
      <c r="B16" s="7" t="s">
        <v>12</v>
      </c>
      <c r="C16" s="3"/>
      <c r="D16" s="3"/>
      <c r="E16" s="4">
        <f t="shared" si="1"/>
        <v>0</v>
      </c>
      <c r="F16" s="3"/>
      <c r="G16" s="7"/>
      <c r="H16" s="7"/>
      <c r="I16" s="3"/>
      <c r="J16" s="3"/>
      <c r="K16" s="3"/>
      <c r="L16" s="3"/>
      <c r="M16" s="5">
        <f t="shared" si="2"/>
        <v>0</v>
      </c>
      <c r="N16" s="28" t="e">
        <f t="shared" si="3"/>
        <v>#DIV/0!</v>
      </c>
      <c r="O16" s="7"/>
      <c r="P16" s="7"/>
      <c r="Q16" s="7"/>
      <c r="R16" s="7"/>
      <c r="S16" s="3"/>
      <c r="T16" s="37">
        <f t="shared" si="0"/>
        <v>0</v>
      </c>
      <c r="U16" s="28" t="e">
        <f t="shared" si="4"/>
        <v>#DIV/0!</v>
      </c>
      <c r="V16" s="59">
        <f t="shared" si="5"/>
        <v>0</v>
      </c>
    </row>
    <row r="17" spans="1:26" ht="21.75" customHeight="1">
      <c r="A17" s="87"/>
      <c r="B17" s="7" t="s">
        <v>13</v>
      </c>
      <c r="C17" s="3"/>
      <c r="D17" s="3"/>
      <c r="E17" s="4">
        <f t="shared" si="1"/>
        <v>0</v>
      </c>
      <c r="F17" s="3"/>
      <c r="G17" s="7"/>
      <c r="H17" s="58"/>
      <c r="I17" s="55"/>
      <c r="J17" s="3"/>
      <c r="K17" s="3"/>
      <c r="L17" s="3"/>
      <c r="M17" s="5">
        <f t="shared" si="2"/>
        <v>0</v>
      </c>
      <c r="N17" s="28" t="e">
        <f t="shared" si="3"/>
        <v>#DIV/0!</v>
      </c>
      <c r="O17" s="7"/>
      <c r="P17" s="7"/>
      <c r="Q17" s="7"/>
      <c r="R17" s="7"/>
      <c r="S17" s="3"/>
      <c r="T17" s="37">
        <f t="shared" si="0"/>
        <v>0</v>
      </c>
      <c r="U17" s="28" t="e">
        <f t="shared" si="4"/>
        <v>#DIV/0!</v>
      </c>
      <c r="V17" s="59">
        <f t="shared" si="5"/>
        <v>0</v>
      </c>
    </row>
    <row r="18" spans="1:26" ht="21.75" customHeight="1">
      <c r="A18" s="87"/>
      <c r="B18" s="7" t="s">
        <v>14</v>
      </c>
      <c r="C18" s="3"/>
      <c r="D18" s="3"/>
      <c r="E18" s="4">
        <f t="shared" si="1"/>
        <v>0</v>
      </c>
      <c r="F18" s="3"/>
      <c r="G18" s="7"/>
      <c r="H18" s="7"/>
      <c r="I18" s="3"/>
      <c r="J18" s="3"/>
      <c r="K18" s="3"/>
      <c r="L18" s="3"/>
      <c r="M18" s="5">
        <f t="shared" si="2"/>
        <v>0</v>
      </c>
      <c r="N18" s="28" t="e">
        <f t="shared" si="3"/>
        <v>#DIV/0!</v>
      </c>
      <c r="O18" s="7"/>
      <c r="P18" s="7"/>
      <c r="Q18" s="7"/>
      <c r="R18" s="7"/>
      <c r="S18" s="3"/>
      <c r="T18" s="37">
        <f t="shared" si="0"/>
        <v>0</v>
      </c>
      <c r="U18" s="28" t="e">
        <f t="shared" si="4"/>
        <v>#DIV/0!</v>
      </c>
      <c r="V18" s="59">
        <f t="shared" si="5"/>
        <v>0</v>
      </c>
      <c r="Z18" s="2" t="s">
        <v>71</v>
      </c>
    </row>
    <row r="19" spans="1:26" ht="21.75" customHeight="1">
      <c r="A19" s="87">
        <v>4</v>
      </c>
      <c r="B19" s="7" t="s">
        <v>12</v>
      </c>
      <c r="C19" s="3"/>
      <c r="D19" s="3"/>
      <c r="E19" s="4">
        <f t="shared" si="1"/>
        <v>0</v>
      </c>
      <c r="F19" s="3"/>
      <c r="G19" s="7"/>
      <c r="H19" s="58"/>
      <c r="I19" s="55"/>
      <c r="J19" s="3"/>
      <c r="K19" s="3"/>
      <c r="L19" s="3"/>
      <c r="M19" s="5">
        <f t="shared" si="2"/>
        <v>0</v>
      </c>
      <c r="N19" s="28" t="e">
        <f t="shared" si="3"/>
        <v>#DIV/0!</v>
      </c>
      <c r="O19" s="7"/>
      <c r="P19" s="7"/>
      <c r="Q19" s="7"/>
      <c r="R19" s="7"/>
      <c r="S19" s="3"/>
      <c r="T19" s="37">
        <f t="shared" si="0"/>
        <v>0</v>
      </c>
      <c r="U19" s="28" t="e">
        <f t="shared" si="4"/>
        <v>#DIV/0!</v>
      </c>
      <c r="V19" s="59">
        <f t="shared" si="5"/>
        <v>0</v>
      </c>
    </row>
    <row r="20" spans="1:26" ht="21.75" customHeight="1">
      <c r="A20" s="87"/>
      <c r="B20" s="7" t="s">
        <v>13</v>
      </c>
      <c r="C20" s="3"/>
      <c r="D20" s="3"/>
      <c r="E20" s="4">
        <f t="shared" si="1"/>
        <v>0</v>
      </c>
      <c r="F20" s="3"/>
      <c r="G20" s="7"/>
      <c r="H20" s="58"/>
      <c r="I20" s="55"/>
      <c r="J20" s="3"/>
      <c r="K20" s="3"/>
      <c r="L20" s="3"/>
      <c r="M20" s="5">
        <f t="shared" si="2"/>
        <v>0</v>
      </c>
      <c r="N20" s="28" t="e">
        <f t="shared" si="3"/>
        <v>#DIV/0!</v>
      </c>
      <c r="O20" s="7"/>
      <c r="P20" s="7"/>
      <c r="Q20" s="7"/>
      <c r="R20" s="7"/>
      <c r="S20" s="3"/>
      <c r="T20" s="37">
        <f t="shared" si="0"/>
        <v>0</v>
      </c>
      <c r="U20" s="28" t="e">
        <f t="shared" si="4"/>
        <v>#DIV/0!</v>
      </c>
      <c r="V20" s="59">
        <f t="shared" si="5"/>
        <v>0</v>
      </c>
    </row>
    <row r="21" spans="1:26" ht="21.75" customHeight="1">
      <c r="A21" s="87"/>
      <c r="B21" s="7" t="s">
        <v>14</v>
      </c>
      <c r="C21" s="3"/>
      <c r="D21" s="3"/>
      <c r="E21" s="4">
        <f t="shared" si="1"/>
        <v>0</v>
      </c>
      <c r="F21" s="3"/>
      <c r="G21" s="7"/>
      <c r="H21" s="58"/>
      <c r="I21" s="55"/>
      <c r="J21" s="3"/>
      <c r="K21" s="3"/>
      <c r="L21" s="3"/>
      <c r="M21" s="5">
        <f t="shared" si="2"/>
        <v>0</v>
      </c>
      <c r="N21" s="28" t="e">
        <f t="shared" si="3"/>
        <v>#DIV/0!</v>
      </c>
      <c r="O21" s="7"/>
      <c r="P21" s="7"/>
      <c r="Q21" s="7"/>
      <c r="R21" s="7"/>
      <c r="S21" s="3"/>
      <c r="T21" s="37">
        <f t="shared" si="0"/>
        <v>0</v>
      </c>
      <c r="U21" s="28" t="e">
        <f t="shared" si="4"/>
        <v>#DIV/0!</v>
      </c>
      <c r="V21" s="59">
        <f t="shared" si="5"/>
        <v>0</v>
      </c>
    </row>
    <row r="22" spans="1:26" ht="21.75" customHeight="1">
      <c r="A22" s="87">
        <v>5</v>
      </c>
      <c r="B22" s="7" t="s">
        <v>12</v>
      </c>
      <c r="C22" s="3"/>
      <c r="D22" s="3"/>
      <c r="E22" s="4">
        <f t="shared" si="1"/>
        <v>0</v>
      </c>
      <c r="F22" s="3"/>
      <c r="G22" s="7"/>
      <c r="H22" s="58"/>
      <c r="I22" s="55"/>
      <c r="J22" s="3"/>
      <c r="K22" s="3"/>
      <c r="L22" s="3"/>
      <c r="M22" s="5">
        <f t="shared" si="2"/>
        <v>0</v>
      </c>
      <c r="N22" s="28" t="e">
        <f t="shared" si="3"/>
        <v>#DIV/0!</v>
      </c>
      <c r="O22" s="7"/>
      <c r="P22" s="7"/>
      <c r="Q22" s="7"/>
      <c r="R22" s="7"/>
      <c r="S22" s="3"/>
      <c r="T22" s="37">
        <f t="shared" si="0"/>
        <v>0</v>
      </c>
      <c r="U22" s="28" t="e">
        <f t="shared" si="4"/>
        <v>#DIV/0!</v>
      </c>
      <c r="V22" s="59">
        <f t="shared" si="5"/>
        <v>0</v>
      </c>
    </row>
    <row r="23" spans="1:26" ht="21.75" customHeight="1">
      <c r="A23" s="87"/>
      <c r="B23" s="7" t="s">
        <v>13</v>
      </c>
      <c r="C23" s="3"/>
      <c r="D23" s="3"/>
      <c r="E23" s="4">
        <f t="shared" si="1"/>
        <v>0</v>
      </c>
      <c r="F23" s="3"/>
      <c r="G23" s="7"/>
      <c r="H23" s="58"/>
      <c r="I23" s="55"/>
      <c r="J23" s="3"/>
      <c r="K23" s="3"/>
      <c r="L23" s="3"/>
      <c r="M23" s="5">
        <f t="shared" si="2"/>
        <v>0</v>
      </c>
      <c r="N23" s="28" t="e">
        <f t="shared" si="3"/>
        <v>#DIV/0!</v>
      </c>
      <c r="O23" s="7"/>
      <c r="P23" s="7"/>
      <c r="Q23" s="7"/>
      <c r="R23" s="7"/>
      <c r="S23" s="3"/>
      <c r="T23" s="37">
        <f t="shared" si="0"/>
        <v>0</v>
      </c>
      <c r="U23" s="28" t="e">
        <f t="shared" si="4"/>
        <v>#DIV/0!</v>
      </c>
      <c r="V23" s="59">
        <f t="shared" si="5"/>
        <v>0</v>
      </c>
      <c r="X23" s="2" t="s">
        <v>72</v>
      </c>
    </row>
    <row r="24" spans="1:26" ht="21.75" customHeight="1">
      <c r="A24" s="87"/>
      <c r="B24" s="7" t="s">
        <v>14</v>
      </c>
      <c r="C24" s="3"/>
      <c r="D24" s="3"/>
      <c r="E24" s="4">
        <f t="shared" si="1"/>
        <v>0</v>
      </c>
      <c r="F24" s="3"/>
      <c r="G24" s="7"/>
      <c r="H24" s="7"/>
      <c r="I24" s="3"/>
      <c r="J24" s="3"/>
      <c r="K24" s="3"/>
      <c r="L24" s="3"/>
      <c r="M24" s="5">
        <f t="shared" si="2"/>
        <v>0</v>
      </c>
      <c r="N24" s="28" t="e">
        <f t="shared" si="3"/>
        <v>#DIV/0!</v>
      </c>
      <c r="O24" s="7"/>
      <c r="P24" s="7"/>
      <c r="Q24" s="7"/>
      <c r="R24" s="7"/>
      <c r="S24" s="3"/>
      <c r="T24" s="37">
        <f t="shared" si="0"/>
        <v>0</v>
      </c>
      <c r="U24" s="28" t="e">
        <f t="shared" si="4"/>
        <v>#DIV/0!</v>
      </c>
      <c r="V24" s="59">
        <f t="shared" si="5"/>
        <v>0</v>
      </c>
    </row>
    <row r="25" spans="1:26" ht="21.75" customHeight="1">
      <c r="A25" s="87">
        <v>6</v>
      </c>
      <c r="B25" s="7" t="s">
        <v>12</v>
      </c>
      <c r="C25" s="3"/>
      <c r="D25" s="3"/>
      <c r="E25" s="4">
        <f t="shared" si="1"/>
        <v>0</v>
      </c>
      <c r="F25" s="3"/>
      <c r="G25" s="7"/>
      <c r="H25" s="7"/>
      <c r="I25" s="3"/>
      <c r="J25" s="3"/>
      <c r="K25" s="3"/>
      <c r="L25" s="3"/>
      <c r="M25" s="5">
        <f t="shared" si="2"/>
        <v>0</v>
      </c>
      <c r="N25" s="28" t="e">
        <f t="shared" si="3"/>
        <v>#DIV/0!</v>
      </c>
      <c r="O25" s="7"/>
      <c r="P25" s="7"/>
      <c r="Q25" s="7"/>
      <c r="R25" s="7"/>
      <c r="S25" s="3"/>
      <c r="T25" s="37">
        <f t="shared" si="0"/>
        <v>0</v>
      </c>
      <c r="U25" s="28" t="e">
        <f t="shared" si="4"/>
        <v>#DIV/0!</v>
      </c>
      <c r="V25" s="59">
        <f t="shared" si="5"/>
        <v>0</v>
      </c>
    </row>
    <row r="26" spans="1:26" ht="21.75" customHeight="1">
      <c r="A26" s="87"/>
      <c r="B26" s="7" t="s">
        <v>13</v>
      </c>
      <c r="C26" s="3"/>
      <c r="D26" s="3"/>
      <c r="E26" s="4">
        <f t="shared" si="1"/>
        <v>0</v>
      </c>
      <c r="F26" s="3"/>
      <c r="G26" s="7"/>
      <c r="H26" s="7"/>
      <c r="I26" s="3"/>
      <c r="J26" s="3"/>
      <c r="K26" s="3"/>
      <c r="L26" s="3"/>
      <c r="M26" s="5">
        <f t="shared" si="2"/>
        <v>0</v>
      </c>
      <c r="N26" s="28" t="e">
        <f t="shared" si="3"/>
        <v>#DIV/0!</v>
      </c>
      <c r="O26" s="7"/>
      <c r="P26" s="7"/>
      <c r="Q26" s="7"/>
      <c r="R26" s="7"/>
      <c r="S26" s="3"/>
      <c r="T26" s="37">
        <f t="shared" si="0"/>
        <v>0</v>
      </c>
      <c r="U26" s="28" t="e">
        <f t="shared" si="4"/>
        <v>#DIV/0!</v>
      </c>
      <c r="V26" s="59">
        <f t="shared" si="5"/>
        <v>0</v>
      </c>
    </row>
    <row r="27" spans="1:26" ht="21.75" customHeight="1">
      <c r="A27" s="87"/>
      <c r="B27" s="7" t="s">
        <v>14</v>
      </c>
      <c r="C27" s="3"/>
      <c r="D27" s="3"/>
      <c r="E27" s="4">
        <f t="shared" si="1"/>
        <v>0</v>
      </c>
      <c r="F27" s="3"/>
      <c r="G27" s="7"/>
      <c r="H27" s="7"/>
      <c r="I27" s="3"/>
      <c r="J27" s="3"/>
      <c r="K27" s="3"/>
      <c r="L27" s="3"/>
      <c r="M27" s="5">
        <f t="shared" si="2"/>
        <v>0</v>
      </c>
      <c r="N27" s="28" t="e">
        <f t="shared" si="3"/>
        <v>#DIV/0!</v>
      </c>
      <c r="O27" s="7"/>
      <c r="P27" s="7"/>
      <c r="Q27" s="7"/>
      <c r="R27" s="7"/>
      <c r="S27" s="3"/>
      <c r="T27" s="37">
        <f t="shared" si="0"/>
        <v>0</v>
      </c>
      <c r="U27" s="28" t="e">
        <f t="shared" si="4"/>
        <v>#DIV/0!</v>
      </c>
      <c r="V27" s="59">
        <f t="shared" si="5"/>
        <v>0</v>
      </c>
    </row>
    <row r="28" spans="1:26" ht="21.75" customHeight="1">
      <c r="A28" s="87">
        <v>7</v>
      </c>
      <c r="B28" s="7" t="s">
        <v>12</v>
      </c>
      <c r="C28" s="3"/>
      <c r="D28" s="3"/>
      <c r="E28" s="4">
        <f t="shared" si="1"/>
        <v>0</v>
      </c>
      <c r="F28" s="3"/>
      <c r="G28" s="7"/>
      <c r="H28" s="7"/>
      <c r="I28" s="3"/>
      <c r="J28" s="3"/>
      <c r="K28" s="3"/>
      <c r="L28" s="3"/>
      <c r="M28" s="5">
        <f t="shared" si="2"/>
        <v>0</v>
      </c>
      <c r="N28" s="28" t="e">
        <f t="shared" si="3"/>
        <v>#DIV/0!</v>
      </c>
      <c r="O28" s="7"/>
      <c r="P28" s="7"/>
      <c r="Q28" s="7"/>
      <c r="R28" s="7"/>
      <c r="S28" s="3"/>
      <c r="T28" s="37">
        <f t="shared" si="0"/>
        <v>0</v>
      </c>
      <c r="U28" s="28" t="e">
        <f t="shared" si="4"/>
        <v>#DIV/0!</v>
      </c>
      <c r="V28" s="59">
        <f t="shared" si="5"/>
        <v>0</v>
      </c>
    </row>
    <row r="29" spans="1:26" ht="21.75" customHeight="1">
      <c r="A29" s="87"/>
      <c r="B29" s="7" t="s">
        <v>13</v>
      </c>
      <c r="C29" s="3"/>
      <c r="D29" s="3"/>
      <c r="E29" s="4">
        <f t="shared" si="1"/>
        <v>0</v>
      </c>
      <c r="F29" s="3"/>
      <c r="G29" s="7"/>
      <c r="H29" s="58"/>
      <c r="I29" s="55"/>
      <c r="J29" s="3"/>
      <c r="K29" s="3"/>
      <c r="L29" s="3"/>
      <c r="M29" s="5">
        <f t="shared" si="2"/>
        <v>0</v>
      </c>
      <c r="N29" s="28" t="e">
        <f t="shared" si="3"/>
        <v>#DIV/0!</v>
      </c>
      <c r="O29" s="7"/>
      <c r="P29" s="7"/>
      <c r="Q29" s="7"/>
      <c r="R29" s="7"/>
      <c r="S29" s="3"/>
      <c r="T29" s="37">
        <f t="shared" si="0"/>
        <v>0</v>
      </c>
      <c r="U29" s="28" t="e">
        <f t="shared" si="4"/>
        <v>#DIV/0!</v>
      </c>
      <c r="V29" s="59">
        <f t="shared" si="5"/>
        <v>0</v>
      </c>
    </row>
    <row r="30" spans="1:26" ht="21.75" customHeight="1">
      <c r="A30" s="87"/>
      <c r="B30" s="7" t="s">
        <v>14</v>
      </c>
      <c r="C30" s="3"/>
      <c r="D30" s="3"/>
      <c r="E30" s="4">
        <f t="shared" si="1"/>
        <v>0</v>
      </c>
      <c r="F30" s="3"/>
      <c r="G30" s="7"/>
      <c r="H30" s="7"/>
      <c r="I30" s="3"/>
      <c r="J30" s="3"/>
      <c r="K30" s="3"/>
      <c r="L30" s="3"/>
      <c r="M30" s="5">
        <f t="shared" si="2"/>
        <v>0</v>
      </c>
      <c r="N30" s="28" t="e">
        <f t="shared" si="3"/>
        <v>#DIV/0!</v>
      </c>
      <c r="O30" s="7"/>
      <c r="P30" s="7"/>
      <c r="Q30" s="7"/>
      <c r="R30" s="7"/>
      <c r="S30" s="3"/>
      <c r="T30" s="37">
        <f t="shared" si="0"/>
        <v>0</v>
      </c>
      <c r="U30" s="28" t="e">
        <f t="shared" si="4"/>
        <v>#DIV/0!</v>
      </c>
      <c r="V30" s="59">
        <f t="shared" si="5"/>
        <v>0</v>
      </c>
    </row>
    <row r="31" spans="1:26" ht="21.75" customHeight="1">
      <c r="A31" s="87">
        <v>8</v>
      </c>
      <c r="B31" s="7" t="s">
        <v>12</v>
      </c>
      <c r="C31" s="3"/>
      <c r="D31" s="3"/>
      <c r="E31" s="4">
        <f t="shared" si="1"/>
        <v>0</v>
      </c>
      <c r="F31" s="3"/>
      <c r="G31" s="7"/>
      <c r="H31" s="7"/>
      <c r="I31" s="3"/>
      <c r="J31" s="3"/>
      <c r="K31" s="3"/>
      <c r="L31" s="3"/>
      <c r="M31" s="5">
        <f t="shared" si="2"/>
        <v>0</v>
      </c>
      <c r="N31" s="28" t="e">
        <f t="shared" si="3"/>
        <v>#DIV/0!</v>
      </c>
      <c r="O31" s="7"/>
      <c r="P31" s="7"/>
      <c r="Q31" s="7"/>
      <c r="R31" s="7"/>
      <c r="S31" s="3"/>
      <c r="T31" s="37">
        <f t="shared" si="0"/>
        <v>0</v>
      </c>
      <c r="U31" s="28" t="e">
        <f t="shared" si="4"/>
        <v>#DIV/0!</v>
      </c>
      <c r="V31" s="59">
        <f t="shared" si="5"/>
        <v>0</v>
      </c>
    </row>
    <row r="32" spans="1:26" ht="21.75" customHeight="1">
      <c r="A32" s="87"/>
      <c r="B32" s="7" t="s">
        <v>13</v>
      </c>
      <c r="C32" s="3"/>
      <c r="D32" s="3"/>
      <c r="E32" s="4">
        <f t="shared" si="1"/>
        <v>0</v>
      </c>
      <c r="F32" s="3"/>
      <c r="G32" s="7"/>
      <c r="H32" s="7"/>
      <c r="I32" s="3"/>
      <c r="J32" s="3"/>
      <c r="K32" s="3"/>
      <c r="L32" s="3"/>
      <c r="M32" s="5">
        <f t="shared" si="2"/>
        <v>0</v>
      </c>
      <c r="N32" s="28" t="e">
        <f t="shared" si="3"/>
        <v>#DIV/0!</v>
      </c>
      <c r="O32" s="7"/>
      <c r="P32" s="7"/>
      <c r="Q32" s="7"/>
      <c r="R32" s="7"/>
      <c r="S32" s="3"/>
      <c r="T32" s="37">
        <f t="shared" si="0"/>
        <v>0</v>
      </c>
      <c r="U32" s="28" t="e">
        <f t="shared" si="4"/>
        <v>#DIV/0!</v>
      </c>
      <c r="V32" s="59">
        <f t="shared" si="5"/>
        <v>0</v>
      </c>
    </row>
    <row r="33" spans="1:22" ht="21.75" customHeight="1">
      <c r="A33" s="87"/>
      <c r="B33" s="7" t="s">
        <v>14</v>
      </c>
      <c r="C33" s="3"/>
      <c r="D33" s="3"/>
      <c r="E33" s="4">
        <f t="shared" si="1"/>
        <v>0</v>
      </c>
      <c r="F33" s="3"/>
      <c r="G33" s="7"/>
      <c r="H33" s="7"/>
      <c r="I33" s="3"/>
      <c r="J33" s="3"/>
      <c r="K33" s="3"/>
      <c r="L33" s="3"/>
      <c r="M33" s="5">
        <f t="shared" si="2"/>
        <v>0</v>
      </c>
      <c r="N33" s="28" t="e">
        <f t="shared" si="3"/>
        <v>#DIV/0!</v>
      </c>
      <c r="O33" s="7"/>
      <c r="P33" s="7"/>
      <c r="Q33" s="7"/>
      <c r="R33" s="7"/>
      <c r="S33" s="3"/>
      <c r="T33" s="37">
        <f t="shared" si="0"/>
        <v>0</v>
      </c>
      <c r="U33" s="28" t="e">
        <f t="shared" si="4"/>
        <v>#DIV/0!</v>
      </c>
      <c r="V33" s="59">
        <f t="shared" si="5"/>
        <v>0</v>
      </c>
    </row>
    <row r="34" spans="1:22" ht="21.75" customHeight="1">
      <c r="A34" s="87">
        <v>9</v>
      </c>
      <c r="B34" s="7" t="s">
        <v>12</v>
      </c>
      <c r="C34" s="3"/>
      <c r="D34" s="3"/>
      <c r="E34" s="4">
        <f t="shared" si="1"/>
        <v>0</v>
      </c>
      <c r="F34" s="3"/>
      <c r="G34" s="7"/>
      <c r="H34" s="7"/>
      <c r="I34" s="3"/>
      <c r="J34" s="3"/>
      <c r="K34" s="3"/>
      <c r="L34" s="3"/>
      <c r="M34" s="5">
        <f t="shared" si="2"/>
        <v>0</v>
      </c>
      <c r="N34" s="28" t="e">
        <f t="shared" si="3"/>
        <v>#DIV/0!</v>
      </c>
      <c r="O34" s="7"/>
      <c r="P34" s="7"/>
      <c r="Q34" s="7"/>
      <c r="R34" s="7"/>
      <c r="S34" s="3"/>
      <c r="T34" s="37">
        <f t="shared" si="0"/>
        <v>0</v>
      </c>
      <c r="U34" s="28" t="e">
        <f t="shared" si="4"/>
        <v>#DIV/0!</v>
      </c>
      <c r="V34" s="59">
        <f t="shared" si="5"/>
        <v>0</v>
      </c>
    </row>
    <row r="35" spans="1:22" ht="21.75" customHeight="1">
      <c r="A35" s="87"/>
      <c r="B35" s="7" t="s">
        <v>13</v>
      </c>
      <c r="C35" s="3"/>
      <c r="D35" s="3"/>
      <c r="E35" s="4">
        <f t="shared" si="1"/>
        <v>0</v>
      </c>
      <c r="F35" s="3"/>
      <c r="G35" s="7"/>
      <c r="H35" s="58"/>
      <c r="I35" s="55"/>
      <c r="J35" s="3"/>
      <c r="K35" s="3"/>
      <c r="L35" s="3"/>
      <c r="M35" s="5">
        <f t="shared" si="2"/>
        <v>0</v>
      </c>
      <c r="N35" s="28" t="e">
        <f t="shared" si="3"/>
        <v>#DIV/0!</v>
      </c>
      <c r="O35" s="7"/>
      <c r="P35" s="7"/>
      <c r="Q35" s="7"/>
      <c r="R35" s="7"/>
      <c r="S35" s="3"/>
      <c r="T35" s="37">
        <f t="shared" si="0"/>
        <v>0</v>
      </c>
      <c r="U35" s="28" t="e">
        <f t="shared" si="4"/>
        <v>#DIV/0!</v>
      </c>
      <c r="V35" s="59">
        <f t="shared" si="5"/>
        <v>0</v>
      </c>
    </row>
    <row r="36" spans="1:22" ht="21.75" customHeight="1">
      <c r="A36" s="87"/>
      <c r="B36" s="7" t="s">
        <v>14</v>
      </c>
      <c r="C36" s="3"/>
      <c r="D36" s="3"/>
      <c r="E36" s="4">
        <f t="shared" si="1"/>
        <v>0</v>
      </c>
      <c r="F36" s="3"/>
      <c r="G36" s="7"/>
      <c r="H36" s="58"/>
      <c r="I36" s="55"/>
      <c r="J36" s="3"/>
      <c r="K36" s="3"/>
      <c r="L36" s="3"/>
      <c r="M36" s="5">
        <f t="shared" si="2"/>
        <v>0</v>
      </c>
      <c r="N36" s="28" t="e">
        <f t="shared" si="3"/>
        <v>#DIV/0!</v>
      </c>
      <c r="O36" s="7"/>
      <c r="P36" s="7"/>
      <c r="Q36" s="7"/>
      <c r="R36" s="7"/>
      <c r="S36" s="3"/>
      <c r="T36" s="37">
        <f t="shared" si="0"/>
        <v>0</v>
      </c>
      <c r="U36" s="28" t="e">
        <f t="shared" si="4"/>
        <v>#DIV/0!</v>
      </c>
      <c r="V36" s="59">
        <f t="shared" si="5"/>
        <v>0</v>
      </c>
    </row>
    <row r="37" spans="1:22" ht="21.75" customHeight="1">
      <c r="A37" s="87">
        <v>10</v>
      </c>
      <c r="B37" s="7" t="s">
        <v>12</v>
      </c>
      <c r="C37" s="3"/>
      <c r="D37" s="3"/>
      <c r="E37" s="4">
        <f t="shared" si="1"/>
        <v>0</v>
      </c>
      <c r="F37" s="3"/>
      <c r="G37" s="7"/>
      <c r="H37" s="58"/>
      <c r="I37" s="55"/>
      <c r="J37" s="3"/>
      <c r="K37" s="3"/>
      <c r="L37" s="3"/>
      <c r="M37" s="5">
        <f t="shared" si="2"/>
        <v>0</v>
      </c>
      <c r="N37" s="28" t="e">
        <f t="shared" si="3"/>
        <v>#DIV/0!</v>
      </c>
      <c r="O37" s="7"/>
      <c r="P37" s="7"/>
      <c r="Q37" s="7"/>
      <c r="R37" s="7"/>
      <c r="S37" s="3"/>
      <c r="T37" s="37">
        <f t="shared" si="0"/>
        <v>0</v>
      </c>
      <c r="U37" s="28" t="e">
        <f t="shared" si="4"/>
        <v>#DIV/0!</v>
      </c>
      <c r="V37" s="59">
        <f t="shared" si="5"/>
        <v>0</v>
      </c>
    </row>
    <row r="38" spans="1:22" ht="21.75" customHeight="1">
      <c r="A38" s="87"/>
      <c r="B38" s="7" t="s">
        <v>13</v>
      </c>
      <c r="C38" s="3"/>
      <c r="D38" s="3"/>
      <c r="E38" s="4">
        <f t="shared" si="1"/>
        <v>0</v>
      </c>
      <c r="F38" s="3"/>
      <c r="G38" s="7"/>
      <c r="H38" s="58"/>
      <c r="I38" s="55"/>
      <c r="J38" s="3"/>
      <c r="K38" s="3"/>
      <c r="L38" s="3"/>
      <c r="M38" s="5">
        <f t="shared" si="2"/>
        <v>0</v>
      </c>
      <c r="N38" s="28" t="e">
        <f t="shared" si="3"/>
        <v>#DIV/0!</v>
      </c>
      <c r="O38" s="7"/>
      <c r="P38" s="7"/>
      <c r="Q38" s="7"/>
      <c r="R38" s="7"/>
      <c r="S38" s="3"/>
      <c r="T38" s="37">
        <f t="shared" si="0"/>
        <v>0</v>
      </c>
      <c r="U38" s="28" t="e">
        <f t="shared" si="4"/>
        <v>#DIV/0!</v>
      </c>
      <c r="V38" s="59">
        <f t="shared" si="5"/>
        <v>0</v>
      </c>
    </row>
    <row r="39" spans="1:22" ht="21.75" customHeight="1">
      <c r="A39" s="87"/>
      <c r="B39" s="7" t="s">
        <v>14</v>
      </c>
      <c r="C39" s="3"/>
      <c r="D39" s="3"/>
      <c r="E39" s="4">
        <f t="shared" si="1"/>
        <v>0</v>
      </c>
      <c r="F39" s="3"/>
      <c r="G39" s="7"/>
      <c r="H39" s="58"/>
      <c r="I39" s="55"/>
      <c r="J39" s="3"/>
      <c r="K39" s="3"/>
      <c r="L39" s="3"/>
      <c r="M39" s="5">
        <f t="shared" si="2"/>
        <v>0</v>
      </c>
      <c r="N39" s="28" t="e">
        <f t="shared" si="3"/>
        <v>#DIV/0!</v>
      </c>
      <c r="O39" s="7"/>
      <c r="P39" s="7"/>
      <c r="Q39" s="7"/>
      <c r="R39" s="7"/>
      <c r="S39" s="3"/>
      <c r="T39" s="37">
        <f t="shared" si="0"/>
        <v>0</v>
      </c>
      <c r="U39" s="28" t="e">
        <f t="shared" si="4"/>
        <v>#DIV/0!</v>
      </c>
      <c r="V39" s="59">
        <f t="shared" si="5"/>
        <v>0</v>
      </c>
    </row>
    <row r="40" spans="1:22" ht="21.75" customHeight="1">
      <c r="A40" s="87">
        <v>11</v>
      </c>
      <c r="B40" s="7" t="s">
        <v>12</v>
      </c>
      <c r="C40" s="3"/>
      <c r="D40" s="3"/>
      <c r="E40" s="4">
        <f t="shared" si="1"/>
        <v>0</v>
      </c>
      <c r="F40" s="3"/>
      <c r="G40" s="7"/>
      <c r="H40" s="7"/>
      <c r="I40" s="3"/>
      <c r="J40" s="3"/>
      <c r="K40" s="3"/>
      <c r="L40" s="3"/>
      <c r="M40" s="5">
        <f t="shared" si="2"/>
        <v>0</v>
      </c>
      <c r="N40" s="28" t="e">
        <f t="shared" si="3"/>
        <v>#DIV/0!</v>
      </c>
      <c r="O40" s="7"/>
      <c r="P40" s="7"/>
      <c r="Q40" s="7"/>
      <c r="R40" s="7"/>
      <c r="S40" s="3"/>
      <c r="T40" s="37">
        <f t="shared" si="0"/>
        <v>0</v>
      </c>
      <c r="U40" s="28" t="e">
        <f t="shared" si="4"/>
        <v>#DIV/0!</v>
      </c>
      <c r="V40" s="59">
        <f t="shared" si="5"/>
        <v>0</v>
      </c>
    </row>
    <row r="41" spans="1:22" ht="21.75" customHeight="1">
      <c r="A41" s="87"/>
      <c r="B41" s="7" t="s">
        <v>13</v>
      </c>
      <c r="C41" s="3"/>
      <c r="D41" s="3"/>
      <c r="E41" s="4">
        <f t="shared" si="1"/>
        <v>0</v>
      </c>
      <c r="F41" s="3"/>
      <c r="G41" s="7"/>
      <c r="H41" s="58"/>
      <c r="I41" s="55"/>
      <c r="J41" s="3"/>
      <c r="K41" s="3"/>
      <c r="L41" s="3"/>
      <c r="M41" s="5">
        <f t="shared" si="2"/>
        <v>0</v>
      </c>
      <c r="N41" s="28" t="e">
        <f t="shared" si="3"/>
        <v>#DIV/0!</v>
      </c>
      <c r="O41" s="7"/>
      <c r="P41" s="7"/>
      <c r="Q41" s="7"/>
      <c r="R41" s="7"/>
      <c r="S41" s="3"/>
      <c r="T41" s="37">
        <f t="shared" si="0"/>
        <v>0</v>
      </c>
      <c r="U41" s="28" t="e">
        <f t="shared" si="4"/>
        <v>#DIV/0!</v>
      </c>
      <c r="V41" s="59">
        <f t="shared" si="5"/>
        <v>0</v>
      </c>
    </row>
    <row r="42" spans="1:22" ht="21.75" customHeight="1">
      <c r="A42" s="87"/>
      <c r="B42" s="7" t="s">
        <v>14</v>
      </c>
      <c r="C42" s="3"/>
      <c r="D42" s="3"/>
      <c r="E42" s="4">
        <f t="shared" si="1"/>
        <v>0</v>
      </c>
      <c r="F42" s="3"/>
      <c r="G42" s="7"/>
      <c r="H42" s="7"/>
      <c r="I42" s="3"/>
      <c r="J42" s="3"/>
      <c r="K42" s="3"/>
      <c r="L42" s="3"/>
      <c r="M42" s="5">
        <f t="shared" si="2"/>
        <v>0</v>
      </c>
      <c r="N42" s="28" t="e">
        <f t="shared" si="3"/>
        <v>#DIV/0!</v>
      </c>
      <c r="O42" s="7"/>
      <c r="P42" s="7"/>
      <c r="Q42" s="7"/>
      <c r="R42" s="7"/>
      <c r="S42" s="3"/>
      <c r="T42" s="37">
        <f t="shared" si="0"/>
        <v>0</v>
      </c>
      <c r="U42" s="28" t="e">
        <f t="shared" si="4"/>
        <v>#DIV/0!</v>
      </c>
      <c r="V42" s="59">
        <f t="shared" si="5"/>
        <v>0</v>
      </c>
    </row>
    <row r="43" spans="1:22" ht="21.75" customHeight="1">
      <c r="A43" s="87">
        <v>12</v>
      </c>
      <c r="B43" s="7" t="s">
        <v>12</v>
      </c>
      <c r="C43" s="3"/>
      <c r="D43" s="3"/>
      <c r="E43" s="4">
        <f t="shared" si="1"/>
        <v>0</v>
      </c>
      <c r="F43" s="3"/>
      <c r="G43" s="7"/>
      <c r="H43" s="58"/>
      <c r="I43" s="55"/>
      <c r="J43" s="3"/>
      <c r="K43" s="3"/>
      <c r="L43" s="3"/>
      <c r="M43" s="5">
        <f t="shared" si="2"/>
        <v>0</v>
      </c>
      <c r="N43" s="28" t="e">
        <f t="shared" si="3"/>
        <v>#DIV/0!</v>
      </c>
      <c r="O43" s="7"/>
      <c r="P43" s="7"/>
      <c r="Q43" s="7"/>
      <c r="R43" s="7"/>
      <c r="S43" s="3"/>
      <c r="T43" s="37">
        <f t="shared" si="0"/>
        <v>0</v>
      </c>
      <c r="U43" s="28" t="e">
        <f t="shared" si="4"/>
        <v>#DIV/0!</v>
      </c>
      <c r="V43" s="59">
        <f t="shared" si="5"/>
        <v>0</v>
      </c>
    </row>
    <row r="44" spans="1:22" ht="21.75" customHeight="1">
      <c r="A44" s="87"/>
      <c r="B44" s="7" t="s">
        <v>13</v>
      </c>
      <c r="C44" s="3"/>
      <c r="D44" s="3"/>
      <c r="E44" s="4">
        <f t="shared" si="1"/>
        <v>0</v>
      </c>
      <c r="F44" s="3"/>
      <c r="G44" s="7"/>
      <c r="H44" s="58"/>
      <c r="I44" s="55"/>
      <c r="J44" s="3"/>
      <c r="K44" s="3"/>
      <c r="L44" s="3"/>
      <c r="M44" s="5">
        <f t="shared" si="2"/>
        <v>0</v>
      </c>
      <c r="N44" s="28" t="e">
        <f t="shared" si="3"/>
        <v>#DIV/0!</v>
      </c>
      <c r="O44" s="7"/>
      <c r="P44" s="7"/>
      <c r="Q44" s="7"/>
      <c r="R44" s="7"/>
      <c r="S44" s="3"/>
      <c r="T44" s="37">
        <f t="shared" si="0"/>
        <v>0</v>
      </c>
      <c r="U44" s="28" t="e">
        <f t="shared" si="4"/>
        <v>#DIV/0!</v>
      </c>
      <c r="V44" s="59">
        <f t="shared" si="5"/>
        <v>0</v>
      </c>
    </row>
    <row r="45" spans="1:22" ht="21.75" customHeight="1">
      <c r="A45" s="87"/>
      <c r="B45" s="7" t="s">
        <v>14</v>
      </c>
      <c r="C45" s="3"/>
      <c r="D45" s="3"/>
      <c r="E45" s="4">
        <f t="shared" si="1"/>
        <v>0</v>
      </c>
      <c r="F45" s="3"/>
      <c r="G45" s="7"/>
      <c r="H45" s="7"/>
      <c r="I45" s="3"/>
      <c r="J45" s="3"/>
      <c r="K45" s="3"/>
      <c r="L45" s="3"/>
      <c r="M45" s="5">
        <f t="shared" si="2"/>
        <v>0</v>
      </c>
      <c r="N45" s="28" t="e">
        <f t="shared" si="3"/>
        <v>#DIV/0!</v>
      </c>
      <c r="O45" s="7"/>
      <c r="P45" s="7"/>
      <c r="Q45" s="7"/>
      <c r="R45" s="7"/>
      <c r="S45" s="3"/>
      <c r="T45" s="37">
        <f t="shared" si="0"/>
        <v>0</v>
      </c>
      <c r="U45" s="28" t="e">
        <f t="shared" si="4"/>
        <v>#DIV/0!</v>
      </c>
      <c r="V45" s="59">
        <f t="shared" si="5"/>
        <v>0</v>
      </c>
    </row>
    <row r="46" spans="1:22" ht="21.75" customHeight="1">
      <c r="A46" s="87">
        <v>13</v>
      </c>
      <c r="B46" s="7" t="s">
        <v>12</v>
      </c>
      <c r="C46" s="3"/>
      <c r="D46" s="3"/>
      <c r="E46" s="4">
        <f t="shared" si="1"/>
        <v>0</v>
      </c>
      <c r="F46" s="3"/>
      <c r="G46" s="7"/>
      <c r="H46" s="7"/>
      <c r="I46" s="3"/>
      <c r="J46" s="3"/>
      <c r="K46" s="3"/>
      <c r="L46" s="3"/>
      <c r="M46" s="5">
        <f t="shared" si="2"/>
        <v>0</v>
      </c>
      <c r="N46" s="28" t="e">
        <f t="shared" si="3"/>
        <v>#DIV/0!</v>
      </c>
      <c r="O46" s="7"/>
      <c r="P46" s="7"/>
      <c r="Q46" s="7"/>
      <c r="R46" s="7"/>
      <c r="S46" s="3"/>
      <c r="T46" s="37">
        <f t="shared" si="0"/>
        <v>0</v>
      </c>
      <c r="U46" s="28" t="e">
        <f t="shared" si="4"/>
        <v>#DIV/0!</v>
      </c>
      <c r="V46" s="59">
        <f t="shared" si="5"/>
        <v>0</v>
      </c>
    </row>
    <row r="47" spans="1:22" ht="21.75" customHeight="1">
      <c r="A47" s="87"/>
      <c r="B47" s="7" t="s">
        <v>13</v>
      </c>
      <c r="C47" s="3"/>
      <c r="D47" s="3"/>
      <c r="E47" s="4">
        <f t="shared" si="1"/>
        <v>0</v>
      </c>
      <c r="F47" s="3"/>
      <c r="G47" s="7"/>
      <c r="H47" s="7"/>
      <c r="I47" s="3"/>
      <c r="J47" s="3"/>
      <c r="K47" s="3"/>
      <c r="L47" s="3"/>
      <c r="M47" s="5">
        <f t="shared" si="2"/>
        <v>0</v>
      </c>
      <c r="N47" s="28" t="e">
        <f t="shared" si="3"/>
        <v>#DIV/0!</v>
      </c>
      <c r="O47" s="7"/>
      <c r="P47" s="7"/>
      <c r="Q47" s="7"/>
      <c r="R47" s="7"/>
      <c r="S47" s="3"/>
      <c r="T47" s="37">
        <f t="shared" si="0"/>
        <v>0</v>
      </c>
      <c r="U47" s="28" t="e">
        <f t="shared" si="4"/>
        <v>#DIV/0!</v>
      </c>
      <c r="V47" s="59">
        <f t="shared" si="5"/>
        <v>0</v>
      </c>
    </row>
    <row r="48" spans="1:22" ht="21.75" customHeight="1">
      <c r="A48" s="87"/>
      <c r="B48" s="7" t="s">
        <v>14</v>
      </c>
      <c r="C48" s="3"/>
      <c r="D48" s="3"/>
      <c r="E48" s="4">
        <f t="shared" si="1"/>
        <v>0</v>
      </c>
      <c r="F48" s="3"/>
      <c r="G48" s="7"/>
      <c r="H48" s="7"/>
      <c r="I48" s="3"/>
      <c r="J48" s="3"/>
      <c r="K48" s="3"/>
      <c r="L48" s="3"/>
      <c r="M48" s="5">
        <f t="shared" si="2"/>
        <v>0</v>
      </c>
      <c r="N48" s="28" t="e">
        <f t="shared" si="3"/>
        <v>#DIV/0!</v>
      </c>
      <c r="O48" s="7"/>
      <c r="P48" s="7"/>
      <c r="Q48" s="7"/>
      <c r="R48" s="7"/>
      <c r="S48" s="3"/>
      <c r="T48" s="37">
        <f t="shared" si="0"/>
        <v>0</v>
      </c>
      <c r="U48" s="28" t="e">
        <f t="shared" si="4"/>
        <v>#DIV/0!</v>
      </c>
      <c r="V48" s="59">
        <f t="shared" si="5"/>
        <v>0</v>
      </c>
    </row>
    <row r="49" spans="1:22" ht="21.75" customHeight="1">
      <c r="A49" s="87">
        <v>14</v>
      </c>
      <c r="B49" s="7" t="s">
        <v>12</v>
      </c>
      <c r="C49" s="3"/>
      <c r="D49" s="3"/>
      <c r="E49" s="4">
        <f t="shared" si="1"/>
        <v>0</v>
      </c>
      <c r="F49" s="3"/>
      <c r="G49" s="7"/>
      <c r="H49" s="58"/>
      <c r="I49" s="55"/>
      <c r="J49" s="3"/>
      <c r="K49" s="3"/>
      <c r="L49" s="3"/>
      <c r="M49" s="5">
        <f t="shared" si="2"/>
        <v>0</v>
      </c>
      <c r="N49" s="28" t="e">
        <f t="shared" si="3"/>
        <v>#DIV/0!</v>
      </c>
      <c r="O49" s="7"/>
      <c r="P49" s="7"/>
      <c r="Q49" s="7"/>
      <c r="R49" s="7"/>
      <c r="S49" s="3"/>
      <c r="T49" s="37">
        <f t="shared" si="0"/>
        <v>0</v>
      </c>
      <c r="U49" s="28" t="e">
        <f t="shared" si="4"/>
        <v>#DIV/0!</v>
      </c>
      <c r="V49" s="59">
        <f t="shared" si="5"/>
        <v>0</v>
      </c>
    </row>
    <row r="50" spans="1:22" ht="21.75" customHeight="1">
      <c r="A50" s="87"/>
      <c r="B50" s="7" t="s">
        <v>13</v>
      </c>
      <c r="C50" s="3"/>
      <c r="D50" s="3"/>
      <c r="E50" s="4">
        <f t="shared" si="1"/>
        <v>0</v>
      </c>
      <c r="F50" s="3"/>
      <c r="G50" s="7"/>
      <c r="H50" s="58"/>
      <c r="I50" s="55"/>
      <c r="J50" s="3"/>
      <c r="K50" s="3"/>
      <c r="L50" s="3"/>
      <c r="M50" s="5">
        <f t="shared" si="2"/>
        <v>0</v>
      </c>
      <c r="N50" s="28" t="e">
        <f t="shared" si="3"/>
        <v>#DIV/0!</v>
      </c>
      <c r="O50" s="7"/>
      <c r="P50" s="7"/>
      <c r="Q50" s="7"/>
      <c r="R50" s="7"/>
      <c r="S50" s="3"/>
      <c r="T50" s="37">
        <f t="shared" si="0"/>
        <v>0</v>
      </c>
      <c r="U50" s="28" t="e">
        <f t="shared" si="4"/>
        <v>#DIV/0!</v>
      </c>
      <c r="V50" s="59">
        <f t="shared" si="5"/>
        <v>0</v>
      </c>
    </row>
    <row r="51" spans="1:22" ht="21.75" customHeight="1">
      <c r="A51" s="87"/>
      <c r="B51" s="7" t="s">
        <v>14</v>
      </c>
      <c r="C51" s="3"/>
      <c r="D51" s="3"/>
      <c r="E51" s="4">
        <f t="shared" si="1"/>
        <v>0</v>
      </c>
      <c r="F51" s="3"/>
      <c r="G51" s="7"/>
      <c r="H51" s="58"/>
      <c r="I51" s="55"/>
      <c r="J51" s="3"/>
      <c r="K51" s="3"/>
      <c r="L51" s="3"/>
      <c r="M51" s="5">
        <f t="shared" si="2"/>
        <v>0</v>
      </c>
      <c r="N51" s="28" t="e">
        <f t="shared" si="3"/>
        <v>#DIV/0!</v>
      </c>
      <c r="O51" s="7"/>
      <c r="P51" s="7"/>
      <c r="Q51" s="7"/>
      <c r="R51" s="7"/>
      <c r="S51" s="3"/>
      <c r="T51" s="37">
        <f t="shared" si="0"/>
        <v>0</v>
      </c>
      <c r="U51" s="28" t="e">
        <f t="shared" si="4"/>
        <v>#DIV/0!</v>
      </c>
      <c r="V51" s="59">
        <f t="shared" si="5"/>
        <v>0</v>
      </c>
    </row>
    <row r="52" spans="1:22" ht="21.75" customHeight="1">
      <c r="A52" s="87">
        <v>15</v>
      </c>
      <c r="B52" s="7" t="s">
        <v>12</v>
      </c>
      <c r="C52" s="3"/>
      <c r="D52" s="3"/>
      <c r="E52" s="4">
        <f t="shared" si="1"/>
        <v>0</v>
      </c>
      <c r="F52" s="3"/>
      <c r="G52" s="7"/>
      <c r="H52" s="7"/>
      <c r="I52" s="3"/>
      <c r="J52" s="3"/>
      <c r="K52" s="3"/>
      <c r="L52" s="3"/>
      <c r="M52" s="5">
        <f t="shared" si="2"/>
        <v>0</v>
      </c>
      <c r="N52" s="28" t="e">
        <f t="shared" si="3"/>
        <v>#DIV/0!</v>
      </c>
      <c r="O52" s="7"/>
      <c r="P52" s="7"/>
      <c r="Q52" s="7"/>
      <c r="R52" s="7"/>
      <c r="S52" s="3"/>
      <c r="T52" s="37">
        <f t="shared" si="0"/>
        <v>0</v>
      </c>
      <c r="U52" s="28" t="e">
        <f t="shared" si="4"/>
        <v>#DIV/0!</v>
      </c>
      <c r="V52" s="59">
        <f t="shared" si="5"/>
        <v>0</v>
      </c>
    </row>
    <row r="53" spans="1:22" ht="21.75" customHeight="1">
      <c r="A53" s="87"/>
      <c r="B53" s="7" t="s">
        <v>13</v>
      </c>
      <c r="C53" s="3"/>
      <c r="D53" s="3"/>
      <c r="E53" s="4">
        <f t="shared" si="1"/>
        <v>0</v>
      </c>
      <c r="F53" s="3"/>
      <c r="G53" s="7"/>
      <c r="H53" s="58"/>
      <c r="I53" s="55"/>
      <c r="J53" s="3"/>
      <c r="K53" s="3"/>
      <c r="L53" s="3"/>
      <c r="M53" s="5">
        <f t="shared" si="2"/>
        <v>0</v>
      </c>
      <c r="N53" s="28" t="e">
        <f t="shared" si="3"/>
        <v>#DIV/0!</v>
      </c>
      <c r="O53" s="7"/>
      <c r="P53" s="7"/>
      <c r="Q53" s="7"/>
      <c r="R53" s="7"/>
      <c r="S53" s="3"/>
      <c r="T53" s="37">
        <f t="shared" si="0"/>
        <v>0</v>
      </c>
      <c r="U53" s="28" t="e">
        <f t="shared" si="4"/>
        <v>#DIV/0!</v>
      </c>
      <c r="V53" s="59">
        <f t="shared" si="5"/>
        <v>0</v>
      </c>
    </row>
    <row r="54" spans="1:22" ht="21.75" customHeight="1">
      <c r="A54" s="87"/>
      <c r="B54" s="7" t="s">
        <v>14</v>
      </c>
      <c r="C54" s="3"/>
      <c r="D54" s="3"/>
      <c r="E54" s="4">
        <f t="shared" si="1"/>
        <v>0</v>
      </c>
      <c r="F54" s="3"/>
      <c r="G54" s="7"/>
      <c r="H54" s="58"/>
      <c r="I54" s="55"/>
      <c r="J54" s="3"/>
      <c r="K54" s="3"/>
      <c r="L54" s="3"/>
      <c r="M54" s="5">
        <f t="shared" si="2"/>
        <v>0</v>
      </c>
      <c r="N54" s="28" t="e">
        <f t="shared" si="3"/>
        <v>#DIV/0!</v>
      </c>
      <c r="O54" s="7"/>
      <c r="P54" s="7"/>
      <c r="Q54" s="7"/>
      <c r="R54" s="7"/>
      <c r="S54" s="3"/>
      <c r="T54" s="37">
        <f t="shared" si="0"/>
        <v>0</v>
      </c>
      <c r="U54" s="28" t="e">
        <f t="shared" si="4"/>
        <v>#DIV/0!</v>
      </c>
      <c r="V54" s="59">
        <f t="shared" si="5"/>
        <v>0</v>
      </c>
    </row>
    <row r="55" spans="1:22" ht="21.75" customHeight="1">
      <c r="A55" s="87">
        <v>16</v>
      </c>
      <c r="B55" s="7" t="s">
        <v>12</v>
      </c>
      <c r="C55" s="3"/>
      <c r="D55" s="3"/>
      <c r="E55" s="4">
        <f t="shared" si="1"/>
        <v>0</v>
      </c>
      <c r="F55" s="3"/>
      <c r="G55" s="7"/>
      <c r="H55" s="7"/>
      <c r="I55" s="3"/>
      <c r="J55" s="3"/>
      <c r="K55" s="3"/>
      <c r="L55" s="3"/>
      <c r="M55" s="5">
        <f t="shared" si="2"/>
        <v>0</v>
      </c>
      <c r="N55" s="28" t="e">
        <f t="shared" si="3"/>
        <v>#DIV/0!</v>
      </c>
      <c r="O55" s="7"/>
      <c r="P55" s="7"/>
      <c r="Q55" s="7"/>
      <c r="R55" s="7"/>
      <c r="S55" s="3"/>
      <c r="T55" s="37">
        <f t="shared" si="0"/>
        <v>0</v>
      </c>
      <c r="U55" s="28" t="e">
        <f t="shared" si="4"/>
        <v>#DIV/0!</v>
      </c>
      <c r="V55" s="59">
        <f t="shared" si="5"/>
        <v>0</v>
      </c>
    </row>
    <row r="56" spans="1:22" ht="21.75" customHeight="1">
      <c r="A56" s="87"/>
      <c r="B56" s="7" t="s">
        <v>13</v>
      </c>
      <c r="C56" s="3"/>
      <c r="D56" s="3"/>
      <c r="E56" s="4">
        <f t="shared" si="1"/>
        <v>0</v>
      </c>
      <c r="F56" s="3"/>
      <c r="G56" s="7"/>
      <c r="H56" s="58"/>
      <c r="I56" s="55"/>
      <c r="J56" s="3"/>
      <c r="K56" s="3"/>
      <c r="L56" s="3"/>
      <c r="M56" s="5">
        <f t="shared" si="2"/>
        <v>0</v>
      </c>
      <c r="N56" s="28" t="e">
        <f t="shared" si="3"/>
        <v>#DIV/0!</v>
      </c>
      <c r="O56" s="7"/>
      <c r="P56" s="7"/>
      <c r="Q56" s="7"/>
      <c r="R56" s="7"/>
      <c r="S56" s="3"/>
      <c r="T56" s="37">
        <f t="shared" si="0"/>
        <v>0</v>
      </c>
      <c r="U56" s="28" t="e">
        <f t="shared" si="4"/>
        <v>#DIV/0!</v>
      </c>
      <c r="V56" s="59">
        <f t="shared" si="5"/>
        <v>0</v>
      </c>
    </row>
    <row r="57" spans="1:22" ht="21.75" customHeight="1">
      <c r="A57" s="87"/>
      <c r="B57" s="7" t="s">
        <v>14</v>
      </c>
      <c r="C57" s="3"/>
      <c r="D57" s="3"/>
      <c r="E57" s="4">
        <f t="shared" si="1"/>
        <v>0</v>
      </c>
      <c r="F57" s="3"/>
      <c r="G57" s="7"/>
      <c r="H57" s="58"/>
      <c r="I57" s="55"/>
      <c r="J57" s="3"/>
      <c r="K57" s="3"/>
      <c r="L57" s="3"/>
      <c r="M57" s="5">
        <f t="shared" si="2"/>
        <v>0</v>
      </c>
      <c r="N57" s="28" t="e">
        <f t="shared" si="3"/>
        <v>#DIV/0!</v>
      </c>
      <c r="O57" s="7"/>
      <c r="P57" s="7"/>
      <c r="Q57" s="7"/>
      <c r="R57" s="7"/>
      <c r="S57" s="3"/>
      <c r="T57" s="37">
        <f t="shared" si="0"/>
        <v>0</v>
      </c>
      <c r="U57" s="28" t="e">
        <f t="shared" si="4"/>
        <v>#DIV/0!</v>
      </c>
      <c r="V57" s="59">
        <f t="shared" si="5"/>
        <v>0</v>
      </c>
    </row>
    <row r="58" spans="1:22" ht="21.75" customHeight="1">
      <c r="A58" s="87">
        <v>17</v>
      </c>
      <c r="B58" s="7" t="s">
        <v>12</v>
      </c>
      <c r="C58" s="3"/>
      <c r="D58" s="3"/>
      <c r="E58" s="4">
        <f t="shared" si="1"/>
        <v>0</v>
      </c>
      <c r="F58" s="3"/>
      <c r="G58" s="7"/>
      <c r="H58" s="58"/>
      <c r="I58" s="55"/>
      <c r="J58" s="3"/>
      <c r="K58" s="3"/>
      <c r="L58" s="3"/>
      <c r="M58" s="5">
        <f t="shared" si="2"/>
        <v>0</v>
      </c>
      <c r="N58" s="28" t="e">
        <f t="shared" si="3"/>
        <v>#DIV/0!</v>
      </c>
      <c r="O58" s="7"/>
      <c r="P58" s="7"/>
      <c r="Q58" s="7"/>
      <c r="R58" s="7"/>
      <c r="S58" s="3"/>
      <c r="T58" s="37">
        <f t="shared" si="0"/>
        <v>0</v>
      </c>
      <c r="U58" s="28" t="e">
        <f t="shared" si="4"/>
        <v>#DIV/0!</v>
      </c>
      <c r="V58" s="59">
        <f t="shared" si="5"/>
        <v>0</v>
      </c>
    </row>
    <row r="59" spans="1:22" ht="21.75" customHeight="1">
      <c r="A59" s="87"/>
      <c r="B59" s="7" t="s">
        <v>13</v>
      </c>
      <c r="C59" s="3"/>
      <c r="D59" s="3"/>
      <c r="E59" s="4">
        <f t="shared" si="1"/>
        <v>0</v>
      </c>
      <c r="F59" s="3"/>
      <c r="G59" s="7"/>
      <c r="H59" s="58"/>
      <c r="I59" s="55"/>
      <c r="J59" s="3"/>
      <c r="K59" s="3"/>
      <c r="L59" s="3"/>
      <c r="M59" s="5">
        <f t="shared" si="2"/>
        <v>0</v>
      </c>
      <c r="N59" s="28" t="e">
        <f t="shared" si="3"/>
        <v>#DIV/0!</v>
      </c>
      <c r="O59" s="7"/>
      <c r="P59" s="7"/>
      <c r="Q59" s="7"/>
      <c r="R59" s="7"/>
      <c r="S59" s="3"/>
      <c r="T59" s="37">
        <f t="shared" si="0"/>
        <v>0</v>
      </c>
      <c r="U59" s="28" t="e">
        <f t="shared" si="4"/>
        <v>#DIV/0!</v>
      </c>
      <c r="V59" s="59">
        <f t="shared" si="5"/>
        <v>0</v>
      </c>
    </row>
    <row r="60" spans="1:22" ht="21.75" customHeight="1">
      <c r="A60" s="87"/>
      <c r="B60" s="7" t="s">
        <v>14</v>
      </c>
      <c r="C60" s="3"/>
      <c r="D60" s="3"/>
      <c r="E60" s="4">
        <f t="shared" si="1"/>
        <v>0</v>
      </c>
      <c r="F60" s="3"/>
      <c r="G60" s="7"/>
      <c r="H60" s="58"/>
      <c r="I60" s="55"/>
      <c r="J60" s="3"/>
      <c r="K60" s="3"/>
      <c r="L60" s="3"/>
      <c r="M60" s="5">
        <f t="shared" si="2"/>
        <v>0</v>
      </c>
      <c r="N60" s="28" t="e">
        <f t="shared" si="3"/>
        <v>#DIV/0!</v>
      </c>
      <c r="O60" s="7"/>
      <c r="P60" s="7"/>
      <c r="Q60" s="7"/>
      <c r="R60" s="7"/>
      <c r="S60" s="3"/>
      <c r="T60" s="37">
        <f t="shared" si="0"/>
        <v>0</v>
      </c>
      <c r="U60" s="28" t="e">
        <f t="shared" si="4"/>
        <v>#DIV/0!</v>
      </c>
      <c r="V60" s="59">
        <f t="shared" si="5"/>
        <v>0</v>
      </c>
    </row>
    <row r="61" spans="1:22" ht="21.75" customHeight="1">
      <c r="A61" s="87">
        <v>18</v>
      </c>
      <c r="B61" s="7" t="s">
        <v>12</v>
      </c>
      <c r="C61" s="3"/>
      <c r="D61" s="3"/>
      <c r="E61" s="4">
        <f t="shared" si="1"/>
        <v>0</v>
      </c>
      <c r="F61" s="3"/>
      <c r="G61" s="7"/>
      <c r="H61" s="58"/>
      <c r="I61" s="55"/>
      <c r="J61" s="3"/>
      <c r="K61" s="3"/>
      <c r="L61" s="3"/>
      <c r="M61" s="5">
        <f t="shared" si="2"/>
        <v>0</v>
      </c>
      <c r="N61" s="28" t="e">
        <f t="shared" si="3"/>
        <v>#DIV/0!</v>
      </c>
      <c r="O61" s="7"/>
      <c r="P61" s="7"/>
      <c r="Q61" s="7"/>
      <c r="R61" s="7"/>
      <c r="S61" s="3"/>
      <c r="T61" s="37">
        <f t="shared" si="0"/>
        <v>0</v>
      </c>
      <c r="U61" s="28" t="e">
        <f t="shared" si="4"/>
        <v>#DIV/0!</v>
      </c>
      <c r="V61" s="59">
        <f t="shared" si="5"/>
        <v>0</v>
      </c>
    </row>
    <row r="62" spans="1:22" ht="21.75" customHeight="1">
      <c r="A62" s="87"/>
      <c r="B62" s="7" t="s">
        <v>13</v>
      </c>
      <c r="C62" s="3"/>
      <c r="D62" s="3"/>
      <c r="E62" s="4">
        <f t="shared" si="1"/>
        <v>0</v>
      </c>
      <c r="F62" s="3"/>
      <c r="G62" s="7"/>
      <c r="H62" s="58"/>
      <c r="I62" s="55"/>
      <c r="J62" s="3"/>
      <c r="K62" s="3"/>
      <c r="L62" s="3"/>
      <c r="M62" s="5">
        <f t="shared" si="2"/>
        <v>0</v>
      </c>
      <c r="N62" s="28" t="e">
        <f t="shared" si="3"/>
        <v>#DIV/0!</v>
      </c>
      <c r="O62" s="7"/>
      <c r="P62" s="7"/>
      <c r="Q62" s="7"/>
      <c r="R62" s="7"/>
      <c r="S62" s="3"/>
      <c r="T62" s="37">
        <f t="shared" si="0"/>
        <v>0</v>
      </c>
      <c r="U62" s="28" t="e">
        <f t="shared" si="4"/>
        <v>#DIV/0!</v>
      </c>
      <c r="V62" s="59">
        <f t="shared" si="5"/>
        <v>0</v>
      </c>
    </row>
    <row r="63" spans="1:22" ht="21.75" customHeight="1">
      <c r="A63" s="87"/>
      <c r="B63" s="7" t="s">
        <v>14</v>
      </c>
      <c r="C63" s="3"/>
      <c r="D63" s="3"/>
      <c r="E63" s="4">
        <f t="shared" si="1"/>
        <v>0</v>
      </c>
      <c r="F63" s="3"/>
      <c r="G63" s="7"/>
      <c r="H63" s="7"/>
      <c r="I63" s="3"/>
      <c r="J63" s="3"/>
      <c r="K63" s="3"/>
      <c r="L63" s="3"/>
      <c r="M63" s="5">
        <f t="shared" si="2"/>
        <v>0</v>
      </c>
      <c r="N63" s="28" t="e">
        <f t="shared" si="3"/>
        <v>#DIV/0!</v>
      </c>
      <c r="O63" s="7"/>
      <c r="P63" s="7"/>
      <c r="Q63" s="7"/>
      <c r="R63" s="7"/>
      <c r="S63" s="3"/>
      <c r="T63" s="37">
        <f t="shared" si="0"/>
        <v>0</v>
      </c>
      <c r="U63" s="28" t="e">
        <f t="shared" si="4"/>
        <v>#DIV/0!</v>
      </c>
      <c r="V63" s="59">
        <f t="shared" si="5"/>
        <v>0</v>
      </c>
    </row>
    <row r="64" spans="1:22" ht="21.75" customHeight="1">
      <c r="A64" s="87">
        <v>19</v>
      </c>
      <c r="B64" s="7" t="s">
        <v>12</v>
      </c>
      <c r="C64" s="3"/>
      <c r="D64" s="3"/>
      <c r="E64" s="4">
        <f t="shared" si="1"/>
        <v>0</v>
      </c>
      <c r="F64" s="3"/>
      <c r="G64" s="7"/>
      <c r="H64" s="7"/>
      <c r="I64" s="3"/>
      <c r="J64" s="3"/>
      <c r="K64" s="3"/>
      <c r="L64" s="3"/>
      <c r="M64" s="5">
        <f t="shared" si="2"/>
        <v>0</v>
      </c>
      <c r="N64" s="28" t="e">
        <f t="shared" si="3"/>
        <v>#DIV/0!</v>
      </c>
      <c r="O64" s="7"/>
      <c r="P64" s="7"/>
      <c r="Q64" s="7"/>
      <c r="R64" s="7"/>
      <c r="S64" s="3"/>
      <c r="T64" s="37">
        <f t="shared" si="0"/>
        <v>0</v>
      </c>
      <c r="U64" s="28" t="e">
        <f t="shared" si="4"/>
        <v>#DIV/0!</v>
      </c>
      <c r="V64" s="59">
        <f t="shared" si="5"/>
        <v>0</v>
      </c>
    </row>
    <row r="65" spans="1:22" ht="21.75" customHeight="1">
      <c r="A65" s="87"/>
      <c r="B65" s="7" t="s">
        <v>13</v>
      </c>
      <c r="C65" s="3"/>
      <c r="D65" s="3"/>
      <c r="E65" s="4">
        <f t="shared" si="1"/>
        <v>0</v>
      </c>
      <c r="F65" s="3"/>
      <c r="G65" s="7"/>
      <c r="H65" s="58"/>
      <c r="I65" s="55"/>
      <c r="J65" s="3"/>
      <c r="K65" s="3"/>
      <c r="L65" s="3"/>
      <c r="M65" s="5">
        <f t="shared" si="2"/>
        <v>0</v>
      </c>
      <c r="N65" s="28" t="e">
        <f t="shared" si="3"/>
        <v>#DIV/0!</v>
      </c>
      <c r="O65" s="7"/>
      <c r="P65" s="7"/>
      <c r="Q65" s="7"/>
      <c r="R65" s="7"/>
      <c r="S65" s="3"/>
      <c r="T65" s="37">
        <f t="shared" si="0"/>
        <v>0</v>
      </c>
      <c r="U65" s="28" t="e">
        <f t="shared" si="4"/>
        <v>#DIV/0!</v>
      </c>
      <c r="V65" s="59">
        <f t="shared" si="5"/>
        <v>0</v>
      </c>
    </row>
    <row r="66" spans="1:22" ht="21.75" customHeight="1">
      <c r="A66" s="87"/>
      <c r="B66" s="7" t="s">
        <v>14</v>
      </c>
      <c r="C66" s="3"/>
      <c r="D66" s="3"/>
      <c r="E66" s="4">
        <f t="shared" si="1"/>
        <v>0</v>
      </c>
      <c r="F66" s="3"/>
      <c r="G66" s="7"/>
      <c r="H66" s="58"/>
      <c r="I66" s="55"/>
      <c r="J66" s="3"/>
      <c r="K66" s="3"/>
      <c r="L66" s="3"/>
      <c r="M66" s="5">
        <f t="shared" si="2"/>
        <v>0</v>
      </c>
      <c r="N66" s="28" t="e">
        <f t="shared" si="3"/>
        <v>#DIV/0!</v>
      </c>
      <c r="O66" s="7"/>
      <c r="P66" s="7"/>
      <c r="Q66" s="7"/>
      <c r="R66" s="7"/>
      <c r="S66" s="3"/>
      <c r="T66" s="37">
        <f t="shared" si="0"/>
        <v>0</v>
      </c>
      <c r="U66" s="28" t="e">
        <f t="shared" si="4"/>
        <v>#DIV/0!</v>
      </c>
      <c r="V66" s="59">
        <f t="shared" si="5"/>
        <v>0</v>
      </c>
    </row>
    <row r="67" spans="1:22" ht="21.75" customHeight="1">
      <c r="A67" s="87">
        <v>20</v>
      </c>
      <c r="B67" s="7" t="s">
        <v>12</v>
      </c>
      <c r="C67" s="3"/>
      <c r="D67" s="3"/>
      <c r="E67" s="4">
        <f t="shared" si="1"/>
        <v>0</v>
      </c>
      <c r="F67" s="3"/>
      <c r="G67" s="7"/>
      <c r="H67" s="7"/>
      <c r="I67" s="3"/>
      <c r="J67" s="3"/>
      <c r="K67" s="3"/>
      <c r="L67" s="3"/>
      <c r="M67" s="5">
        <f t="shared" si="2"/>
        <v>0</v>
      </c>
      <c r="N67" s="28" t="e">
        <f t="shared" si="3"/>
        <v>#DIV/0!</v>
      </c>
      <c r="O67" s="7"/>
      <c r="P67" s="7"/>
      <c r="Q67" s="7"/>
      <c r="R67" s="7"/>
      <c r="S67" s="3"/>
      <c r="T67" s="37">
        <f t="shared" si="0"/>
        <v>0</v>
      </c>
      <c r="U67" s="28" t="e">
        <f t="shared" si="4"/>
        <v>#DIV/0!</v>
      </c>
      <c r="V67" s="59">
        <f t="shared" si="5"/>
        <v>0</v>
      </c>
    </row>
    <row r="68" spans="1:22" ht="21.75" customHeight="1">
      <c r="A68" s="87"/>
      <c r="B68" s="7" t="s">
        <v>13</v>
      </c>
      <c r="C68" s="3"/>
      <c r="D68" s="3"/>
      <c r="E68" s="4">
        <f t="shared" si="1"/>
        <v>0</v>
      </c>
      <c r="F68" s="3"/>
      <c r="G68" s="7"/>
      <c r="H68" s="58"/>
      <c r="I68" s="55"/>
      <c r="J68" s="3"/>
      <c r="K68" s="3"/>
      <c r="L68" s="3"/>
      <c r="M68" s="5">
        <f t="shared" si="2"/>
        <v>0</v>
      </c>
      <c r="N68" s="28" t="e">
        <f t="shared" si="3"/>
        <v>#DIV/0!</v>
      </c>
      <c r="O68" s="7"/>
      <c r="P68" s="7"/>
      <c r="Q68" s="7"/>
      <c r="R68" s="7"/>
      <c r="S68" s="3"/>
      <c r="T68" s="37">
        <f t="shared" si="0"/>
        <v>0</v>
      </c>
      <c r="U68" s="28" t="e">
        <f t="shared" si="4"/>
        <v>#DIV/0!</v>
      </c>
      <c r="V68" s="59">
        <f t="shared" si="5"/>
        <v>0</v>
      </c>
    </row>
    <row r="69" spans="1:22" ht="21.75" customHeight="1">
      <c r="A69" s="87"/>
      <c r="B69" s="7" t="s">
        <v>14</v>
      </c>
      <c r="C69" s="3"/>
      <c r="D69" s="3"/>
      <c r="E69" s="4">
        <f t="shared" si="1"/>
        <v>0</v>
      </c>
      <c r="F69" s="3"/>
      <c r="G69" s="7"/>
      <c r="H69" s="58"/>
      <c r="I69" s="55"/>
      <c r="J69" s="3"/>
      <c r="K69" s="3"/>
      <c r="L69" s="3"/>
      <c r="M69" s="5">
        <f t="shared" si="2"/>
        <v>0</v>
      </c>
      <c r="N69" s="28" t="e">
        <f t="shared" si="3"/>
        <v>#DIV/0!</v>
      </c>
      <c r="O69" s="7"/>
      <c r="P69" s="7"/>
      <c r="Q69" s="7"/>
      <c r="R69" s="7"/>
      <c r="S69" s="3"/>
      <c r="T69" s="37">
        <f t="shared" si="0"/>
        <v>0</v>
      </c>
      <c r="U69" s="28" t="e">
        <f t="shared" si="4"/>
        <v>#DIV/0!</v>
      </c>
      <c r="V69" s="59">
        <f t="shared" si="5"/>
        <v>0</v>
      </c>
    </row>
    <row r="70" spans="1:22" ht="21.75" customHeight="1">
      <c r="A70" s="87">
        <v>21</v>
      </c>
      <c r="B70" s="7" t="s">
        <v>12</v>
      </c>
      <c r="C70" s="3"/>
      <c r="D70" s="3"/>
      <c r="E70" s="4">
        <f t="shared" si="1"/>
        <v>0</v>
      </c>
      <c r="F70" s="3"/>
      <c r="G70" s="7"/>
      <c r="H70" s="58"/>
      <c r="I70" s="55"/>
      <c r="J70" s="3"/>
      <c r="K70" s="3"/>
      <c r="L70" s="3"/>
      <c r="M70" s="5">
        <f t="shared" si="2"/>
        <v>0</v>
      </c>
      <c r="N70" s="28" t="e">
        <f t="shared" si="3"/>
        <v>#DIV/0!</v>
      </c>
      <c r="O70" s="7"/>
      <c r="P70" s="7"/>
      <c r="Q70" s="7"/>
      <c r="R70" s="7"/>
      <c r="S70" s="3"/>
      <c r="T70" s="37">
        <f t="shared" si="0"/>
        <v>0</v>
      </c>
      <c r="U70" s="28" t="e">
        <f t="shared" si="4"/>
        <v>#DIV/0!</v>
      </c>
      <c r="V70" s="59">
        <f t="shared" si="5"/>
        <v>0</v>
      </c>
    </row>
    <row r="71" spans="1:22" ht="21.75" customHeight="1">
      <c r="A71" s="87"/>
      <c r="B71" s="7" t="s">
        <v>13</v>
      </c>
      <c r="C71" s="3"/>
      <c r="D71" s="3"/>
      <c r="E71" s="4">
        <f t="shared" si="1"/>
        <v>0</v>
      </c>
      <c r="F71" s="3"/>
      <c r="G71" s="7"/>
      <c r="H71" s="58"/>
      <c r="I71" s="55"/>
      <c r="J71" s="3"/>
      <c r="K71" s="3"/>
      <c r="L71" s="3"/>
      <c r="M71" s="5">
        <f t="shared" si="2"/>
        <v>0</v>
      </c>
      <c r="N71" s="28" t="e">
        <f t="shared" si="3"/>
        <v>#DIV/0!</v>
      </c>
      <c r="O71" s="7"/>
      <c r="P71" s="7"/>
      <c r="Q71" s="7"/>
      <c r="R71" s="7"/>
      <c r="S71" s="3"/>
      <c r="T71" s="37">
        <f t="shared" si="0"/>
        <v>0</v>
      </c>
      <c r="U71" s="28" t="e">
        <f t="shared" si="4"/>
        <v>#DIV/0!</v>
      </c>
      <c r="V71" s="59">
        <f t="shared" si="5"/>
        <v>0</v>
      </c>
    </row>
    <row r="72" spans="1:22" ht="21.75" customHeight="1">
      <c r="A72" s="87"/>
      <c r="B72" s="7" t="s">
        <v>14</v>
      </c>
      <c r="C72" s="3"/>
      <c r="D72" s="3"/>
      <c r="E72" s="4">
        <f t="shared" si="1"/>
        <v>0</v>
      </c>
      <c r="F72" s="3"/>
      <c r="G72" s="7"/>
      <c r="H72" s="58"/>
      <c r="I72" s="55"/>
      <c r="J72" s="3"/>
      <c r="K72" s="3"/>
      <c r="L72" s="3"/>
      <c r="M72" s="5">
        <f t="shared" si="2"/>
        <v>0</v>
      </c>
      <c r="N72" s="28" t="e">
        <f t="shared" si="3"/>
        <v>#DIV/0!</v>
      </c>
      <c r="O72" s="7"/>
      <c r="P72" s="7"/>
      <c r="Q72" s="7"/>
      <c r="R72" s="7"/>
      <c r="S72" s="3"/>
      <c r="T72" s="37">
        <f t="shared" si="0"/>
        <v>0</v>
      </c>
      <c r="U72" s="28" t="e">
        <f t="shared" si="4"/>
        <v>#DIV/0!</v>
      </c>
      <c r="V72" s="59">
        <f t="shared" si="5"/>
        <v>0</v>
      </c>
    </row>
    <row r="73" spans="1:22" ht="21.75" customHeight="1">
      <c r="A73" s="87">
        <v>22</v>
      </c>
      <c r="B73" s="7" t="s">
        <v>12</v>
      </c>
      <c r="C73" s="3"/>
      <c r="D73" s="3"/>
      <c r="E73" s="4">
        <f t="shared" si="1"/>
        <v>0</v>
      </c>
      <c r="F73" s="3"/>
      <c r="G73" s="7"/>
      <c r="H73" s="58"/>
      <c r="I73" s="55"/>
      <c r="J73" s="3"/>
      <c r="K73" s="3"/>
      <c r="L73" s="3"/>
      <c r="M73" s="5">
        <f t="shared" si="2"/>
        <v>0</v>
      </c>
      <c r="N73" s="28" t="e">
        <f t="shared" si="3"/>
        <v>#DIV/0!</v>
      </c>
      <c r="O73" s="7"/>
      <c r="P73" s="7"/>
      <c r="Q73" s="7"/>
      <c r="R73" s="7"/>
      <c r="S73" s="3"/>
      <c r="T73" s="37">
        <f t="shared" si="0"/>
        <v>0</v>
      </c>
      <c r="U73" s="28" t="e">
        <f t="shared" si="4"/>
        <v>#DIV/0!</v>
      </c>
      <c r="V73" s="59">
        <f t="shared" si="5"/>
        <v>0</v>
      </c>
    </row>
    <row r="74" spans="1:22" ht="21.75" customHeight="1">
      <c r="A74" s="87"/>
      <c r="B74" s="7" t="s">
        <v>13</v>
      </c>
      <c r="C74" s="3"/>
      <c r="D74" s="3"/>
      <c r="E74" s="4">
        <f t="shared" si="1"/>
        <v>0</v>
      </c>
      <c r="F74" s="3"/>
      <c r="G74" s="7"/>
      <c r="H74" s="7"/>
      <c r="I74" s="3"/>
      <c r="J74" s="3"/>
      <c r="K74" s="3"/>
      <c r="L74" s="3"/>
      <c r="M74" s="5">
        <f t="shared" si="2"/>
        <v>0</v>
      </c>
      <c r="N74" s="28" t="e">
        <f t="shared" si="3"/>
        <v>#DIV/0!</v>
      </c>
      <c r="O74" s="7"/>
      <c r="P74" s="7"/>
      <c r="Q74" s="7"/>
      <c r="R74" s="7"/>
      <c r="S74" s="3"/>
      <c r="T74" s="37">
        <f t="shared" ref="T74:T106" si="6">SUM(O74:S74)</f>
        <v>0</v>
      </c>
      <c r="U74" s="28" t="e">
        <f t="shared" si="4"/>
        <v>#DIV/0!</v>
      </c>
      <c r="V74" s="59">
        <f t="shared" si="5"/>
        <v>0</v>
      </c>
    </row>
    <row r="75" spans="1:22" ht="21.75" customHeight="1">
      <c r="A75" s="87"/>
      <c r="B75" s="7" t="s">
        <v>14</v>
      </c>
      <c r="C75" s="3"/>
      <c r="D75" s="3"/>
      <c r="E75" s="4">
        <f t="shared" ref="E75:E102" si="7">((($B$3*C75)+(12*D75))*$E$4)/7</f>
        <v>0</v>
      </c>
      <c r="F75" s="3"/>
      <c r="G75" s="7"/>
      <c r="H75" s="58"/>
      <c r="I75" s="55"/>
      <c r="J75" s="3"/>
      <c r="K75" s="3"/>
      <c r="L75" s="3"/>
      <c r="M75" s="5">
        <f t="shared" ref="M75:M106" si="8">(F75+G75+H75+L75)-E75</f>
        <v>0</v>
      </c>
      <c r="N75" s="28" t="e">
        <f t="shared" ref="N75:N105" si="9">(((C75*12)+(12*D75))*$E$4)/((F75+G75+H75+I75+J75+K75+L75)*7)*100</f>
        <v>#DIV/0!</v>
      </c>
      <c r="O75" s="7"/>
      <c r="P75" s="7"/>
      <c r="Q75" s="7"/>
      <c r="R75" s="7"/>
      <c r="S75" s="3"/>
      <c r="T75" s="37">
        <f t="shared" si="6"/>
        <v>0</v>
      </c>
      <c r="U75" s="28" t="e">
        <f t="shared" ref="U75:U106" si="10">((((O75*1.5+(P75*3.5)+(Q75*5.5)+(R75*7.5)+(S75*12)))/3)/((F75+G75+H75+I75+J75+K75+L75)*7))*100</f>
        <v>#DIV/0!</v>
      </c>
      <c r="V75" s="59">
        <f t="shared" ref="V75:V106" si="11">C75+D75-T75</f>
        <v>0</v>
      </c>
    </row>
    <row r="76" spans="1:22" ht="21.75" customHeight="1">
      <c r="A76" s="87">
        <v>23</v>
      </c>
      <c r="B76" s="7" t="s">
        <v>12</v>
      </c>
      <c r="C76" s="3"/>
      <c r="D76" s="3"/>
      <c r="E76" s="4">
        <f t="shared" si="7"/>
        <v>0</v>
      </c>
      <c r="F76" s="3"/>
      <c r="G76" s="7"/>
      <c r="H76" s="7"/>
      <c r="I76" s="3"/>
      <c r="J76" s="3"/>
      <c r="K76" s="3"/>
      <c r="L76" s="3"/>
      <c r="M76" s="5">
        <f t="shared" si="8"/>
        <v>0</v>
      </c>
      <c r="N76" s="28" t="e">
        <f t="shared" si="9"/>
        <v>#DIV/0!</v>
      </c>
      <c r="O76" s="7"/>
      <c r="P76" s="7"/>
      <c r="Q76" s="7"/>
      <c r="R76" s="7"/>
      <c r="S76" s="3"/>
      <c r="T76" s="37">
        <f t="shared" si="6"/>
        <v>0</v>
      </c>
      <c r="U76" s="28" t="e">
        <f t="shared" si="10"/>
        <v>#DIV/0!</v>
      </c>
      <c r="V76" s="59">
        <f t="shared" si="11"/>
        <v>0</v>
      </c>
    </row>
    <row r="77" spans="1:22" ht="21.75" customHeight="1">
      <c r="A77" s="87"/>
      <c r="B77" s="7" t="s">
        <v>13</v>
      </c>
      <c r="C77" s="3"/>
      <c r="D77" s="3"/>
      <c r="E77" s="4">
        <f t="shared" si="7"/>
        <v>0</v>
      </c>
      <c r="F77" s="3"/>
      <c r="G77" s="7"/>
      <c r="H77" s="58"/>
      <c r="I77" s="55"/>
      <c r="J77" s="3"/>
      <c r="K77" s="3"/>
      <c r="L77" s="3"/>
      <c r="M77" s="5">
        <f t="shared" si="8"/>
        <v>0</v>
      </c>
      <c r="N77" s="28" t="e">
        <f t="shared" si="9"/>
        <v>#DIV/0!</v>
      </c>
      <c r="O77" s="7"/>
      <c r="P77" s="7"/>
      <c r="Q77" s="7"/>
      <c r="R77" s="7"/>
      <c r="S77" s="3"/>
      <c r="T77" s="37">
        <f t="shared" si="6"/>
        <v>0</v>
      </c>
      <c r="U77" s="28" t="e">
        <f t="shared" si="10"/>
        <v>#DIV/0!</v>
      </c>
      <c r="V77" s="59">
        <f t="shared" si="11"/>
        <v>0</v>
      </c>
    </row>
    <row r="78" spans="1:22" ht="21.75" customHeight="1">
      <c r="A78" s="87"/>
      <c r="B78" s="7" t="s">
        <v>14</v>
      </c>
      <c r="C78" s="3"/>
      <c r="D78" s="3"/>
      <c r="E78" s="4">
        <f t="shared" si="7"/>
        <v>0</v>
      </c>
      <c r="F78" s="3"/>
      <c r="G78" s="7"/>
      <c r="H78" s="7"/>
      <c r="I78" s="3"/>
      <c r="J78" s="3"/>
      <c r="K78" s="3"/>
      <c r="L78" s="3"/>
      <c r="M78" s="5">
        <f t="shared" si="8"/>
        <v>0</v>
      </c>
      <c r="N78" s="28" t="e">
        <f t="shared" si="9"/>
        <v>#DIV/0!</v>
      </c>
      <c r="O78" s="7"/>
      <c r="P78" s="7"/>
      <c r="Q78" s="7"/>
      <c r="R78" s="7"/>
      <c r="S78" s="3"/>
      <c r="T78" s="37">
        <f t="shared" si="6"/>
        <v>0</v>
      </c>
      <c r="U78" s="28" t="e">
        <f t="shared" si="10"/>
        <v>#DIV/0!</v>
      </c>
      <c r="V78" s="59">
        <f t="shared" si="11"/>
        <v>0</v>
      </c>
    </row>
    <row r="79" spans="1:22" ht="21.75" customHeight="1">
      <c r="A79" s="87">
        <v>24</v>
      </c>
      <c r="B79" s="7" t="s">
        <v>12</v>
      </c>
      <c r="C79" s="3"/>
      <c r="D79" s="3"/>
      <c r="E79" s="4">
        <f t="shared" si="7"/>
        <v>0</v>
      </c>
      <c r="F79" s="3"/>
      <c r="G79" s="7"/>
      <c r="H79" s="7"/>
      <c r="I79" s="3"/>
      <c r="J79" s="3"/>
      <c r="K79" s="3"/>
      <c r="L79" s="3"/>
      <c r="M79" s="5">
        <f t="shared" si="8"/>
        <v>0</v>
      </c>
      <c r="N79" s="28" t="e">
        <f t="shared" si="9"/>
        <v>#DIV/0!</v>
      </c>
      <c r="O79" s="7"/>
      <c r="P79" s="7"/>
      <c r="Q79" s="7"/>
      <c r="R79" s="7"/>
      <c r="S79" s="3"/>
      <c r="T79" s="37">
        <f t="shared" si="6"/>
        <v>0</v>
      </c>
      <c r="U79" s="28" t="e">
        <f t="shared" si="10"/>
        <v>#DIV/0!</v>
      </c>
      <c r="V79" s="59">
        <f t="shared" si="11"/>
        <v>0</v>
      </c>
    </row>
    <row r="80" spans="1:22" ht="21.75" customHeight="1">
      <c r="A80" s="87"/>
      <c r="B80" s="7" t="s">
        <v>13</v>
      </c>
      <c r="C80" s="3"/>
      <c r="D80" s="3"/>
      <c r="E80" s="4">
        <f t="shared" si="7"/>
        <v>0</v>
      </c>
      <c r="F80" s="3"/>
      <c r="G80" s="7"/>
      <c r="H80" s="58"/>
      <c r="I80" s="55"/>
      <c r="J80" s="3"/>
      <c r="K80" s="3"/>
      <c r="L80" s="3"/>
      <c r="M80" s="5">
        <f t="shared" si="8"/>
        <v>0</v>
      </c>
      <c r="N80" s="28" t="e">
        <f t="shared" si="9"/>
        <v>#DIV/0!</v>
      </c>
      <c r="O80" s="7"/>
      <c r="P80" s="7"/>
      <c r="Q80" s="7"/>
      <c r="R80" s="7"/>
      <c r="S80" s="3"/>
      <c r="T80" s="37">
        <f t="shared" si="6"/>
        <v>0</v>
      </c>
      <c r="U80" s="28" t="e">
        <f t="shared" si="10"/>
        <v>#DIV/0!</v>
      </c>
      <c r="V80" s="59">
        <f t="shared" si="11"/>
        <v>0</v>
      </c>
    </row>
    <row r="81" spans="1:22" ht="21.75" customHeight="1">
      <c r="A81" s="87"/>
      <c r="B81" s="7" t="s">
        <v>14</v>
      </c>
      <c r="C81" s="3"/>
      <c r="D81" s="3"/>
      <c r="E81" s="4">
        <f t="shared" si="7"/>
        <v>0</v>
      </c>
      <c r="F81" s="3"/>
      <c r="G81" s="7"/>
      <c r="H81" s="7"/>
      <c r="I81" s="3"/>
      <c r="J81" s="3"/>
      <c r="K81" s="3"/>
      <c r="L81" s="3"/>
      <c r="M81" s="5">
        <f t="shared" si="8"/>
        <v>0</v>
      </c>
      <c r="N81" s="28" t="e">
        <f t="shared" si="9"/>
        <v>#DIV/0!</v>
      </c>
      <c r="O81" s="7"/>
      <c r="P81" s="7"/>
      <c r="Q81" s="7"/>
      <c r="R81" s="7"/>
      <c r="S81" s="3"/>
      <c r="T81" s="37">
        <f t="shared" si="6"/>
        <v>0</v>
      </c>
      <c r="U81" s="28" t="e">
        <f t="shared" si="10"/>
        <v>#DIV/0!</v>
      </c>
      <c r="V81" s="59">
        <f t="shared" si="11"/>
        <v>0</v>
      </c>
    </row>
    <row r="82" spans="1:22" ht="21.75" customHeight="1">
      <c r="A82" s="87">
        <v>25</v>
      </c>
      <c r="B82" s="7" t="s">
        <v>12</v>
      </c>
      <c r="C82" s="3"/>
      <c r="D82" s="3"/>
      <c r="E82" s="4">
        <f t="shared" si="7"/>
        <v>0</v>
      </c>
      <c r="F82" s="3"/>
      <c r="G82" s="7"/>
      <c r="H82" s="7"/>
      <c r="I82" s="3"/>
      <c r="J82" s="3"/>
      <c r="K82" s="3"/>
      <c r="L82" s="3"/>
      <c r="M82" s="5">
        <f t="shared" si="8"/>
        <v>0</v>
      </c>
      <c r="N82" s="28" t="e">
        <f t="shared" si="9"/>
        <v>#DIV/0!</v>
      </c>
      <c r="O82" s="7"/>
      <c r="P82" s="7"/>
      <c r="Q82" s="7"/>
      <c r="R82" s="7"/>
      <c r="S82" s="3"/>
      <c r="T82" s="37">
        <f t="shared" si="6"/>
        <v>0</v>
      </c>
      <c r="U82" s="28" t="e">
        <f t="shared" si="10"/>
        <v>#DIV/0!</v>
      </c>
      <c r="V82" s="59">
        <f t="shared" si="11"/>
        <v>0</v>
      </c>
    </row>
    <row r="83" spans="1:22" ht="21.75" customHeight="1">
      <c r="A83" s="87"/>
      <c r="B83" s="7" t="s">
        <v>13</v>
      </c>
      <c r="C83" s="3"/>
      <c r="D83" s="3"/>
      <c r="E83" s="4">
        <f t="shared" si="7"/>
        <v>0</v>
      </c>
      <c r="F83" s="3"/>
      <c r="G83" s="7"/>
      <c r="H83" s="58"/>
      <c r="I83" s="55"/>
      <c r="J83" s="3"/>
      <c r="K83" s="3"/>
      <c r="L83" s="3"/>
      <c r="M83" s="5">
        <f t="shared" si="8"/>
        <v>0</v>
      </c>
      <c r="N83" s="28" t="e">
        <f t="shared" si="9"/>
        <v>#DIV/0!</v>
      </c>
      <c r="O83" s="7"/>
      <c r="P83" s="7"/>
      <c r="Q83" s="7"/>
      <c r="R83" s="7"/>
      <c r="S83" s="3"/>
      <c r="T83" s="37">
        <f t="shared" si="6"/>
        <v>0</v>
      </c>
      <c r="U83" s="28" t="e">
        <f t="shared" si="10"/>
        <v>#DIV/0!</v>
      </c>
      <c r="V83" s="59">
        <f t="shared" si="11"/>
        <v>0</v>
      </c>
    </row>
    <row r="84" spans="1:22" ht="21.75" customHeight="1">
      <c r="A84" s="87"/>
      <c r="B84" s="7" t="s">
        <v>14</v>
      </c>
      <c r="C84" s="3"/>
      <c r="D84" s="3"/>
      <c r="E84" s="4">
        <f t="shared" si="7"/>
        <v>0</v>
      </c>
      <c r="F84" s="3"/>
      <c r="G84" s="7"/>
      <c r="H84" s="7"/>
      <c r="I84" s="3"/>
      <c r="J84" s="3"/>
      <c r="K84" s="3"/>
      <c r="L84" s="3"/>
      <c r="M84" s="5">
        <f t="shared" si="8"/>
        <v>0</v>
      </c>
      <c r="N84" s="28" t="e">
        <f t="shared" si="9"/>
        <v>#DIV/0!</v>
      </c>
      <c r="O84" s="7"/>
      <c r="P84" s="7"/>
      <c r="Q84" s="7"/>
      <c r="R84" s="7"/>
      <c r="S84" s="3"/>
      <c r="T84" s="37">
        <f t="shared" si="6"/>
        <v>0</v>
      </c>
      <c r="U84" s="28" t="e">
        <f t="shared" si="10"/>
        <v>#DIV/0!</v>
      </c>
      <c r="V84" s="59">
        <f t="shared" si="11"/>
        <v>0</v>
      </c>
    </row>
    <row r="85" spans="1:22" ht="21.75" customHeight="1">
      <c r="A85" s="87">
        <v>26</v>
      </c>
      <c r="B85" s="7" t="s">
        <v>12</v>
      </c>
      <c r="C85" s="3"/>
      <c r="D85" s="3"/>
      <c r="E85" s="4">
        <f t="shared" si="7"/>
        <v>0</v>
      </c>
      <c r="F85" s="3"/>
      <c r="G85" s="7"/>
      <c r="H85" s="7"/>
      <c r="I85" s="3"/>
      <c r="J85" s="3"/>
      <c r="K85" s="3"/>
      <c r="L85" s="3"/>
      <c r="M85" s="5">
        <f t="shared" si="8"/>
        <v>0</v>
      </c>
      <c r="N85" s="28" t="e">
        <f t="shared" si="9"/>
        <v>#DIV/0!</v>
      </c>
      <c r="O85" s="7"/>
      <c r="P85" s="7"/>
      <c r="Q85" s="7"/>
      <c r="R85" s="7"/>
      <c r="S85" s="3"/>
      <c r="T85" s="37">
        <f t="shared" si="6"/>
        <v>0</v>
      </c>
      <c r="U85" s="28" t="e">
        <f t="shared" si="10"/>
        <v>#DIV/0!</v>
      </c>
      <c r="V85" s="59">
        <f t="shared" si="11"/>
        <v>0</v>
      </c>
    </row>
    <row r="86" spans="1:22" ht="21.75" customHeight="1">
      <c r="A86" s="87"/>
      <c r="B86" s="7" t="s">
        <v>13</v>
      </c>
      <c r="C86" s="3"/>
      <c r="D86" s="3"/>
      <c r="E86" s="4">
        <f t="shared" si="7"/>
        <v>0</v>
      </c>
      <c r="F86" s="3"/>
      <c r="G86" s="7"/>
      <c r="H86" s="58"/>
      <c r="I86" s="55"/>
      <c r="J86" s="3"/>
      <c r="K86" s="3"/>
      <c r="L86" s="3"/>
      <c r="M86" s="5">
        <f t="shared" si="8"/>
        <v>0</v>
      </c>
      <c r="N86" s="28" t="e">
        <f t="shared" si="9"/>
        <v>#DIV/0!</v>
      </c>
      <c r="O86" s="7"/>
      <c r="P86" s="7"/>
      <c r="Q86" s="7"/>
      <c r="R86" s="7"/>
      <c r="S86" s="3"/>
      <c r="T86" s="37">
        <f t="shared" si="6"/>
        <v>0</v>
      </c>
      <c r="U86" s="28" t="e">
        <f t="shared" si="10"/>
        <v>#DIV/0!</v>
      </c>
      <c r="V86" s="59">
        <f t="shared" si="11"/>
        <v>0</v>
      </c>
    </row>
    <row r="87" spans="1:22" ht="21.75" customHeight="1">
      <c r="A87" s="87"/>
      <c r="B87" s="7" t="s">
        <v>14</v>
      </c>
      <c r="C87" s="3"/>
      <c r="D87" s="3"/>
      <c r="E87" s="4">
        <f t="shared" si="7"/>
        <v>0</v>
      </c>
      <c r="F87" s="3"/>
      <c r="G87" s="7"/>
      <c r="H87" s="58"/>
      <c r="I87" s="55"/>
      <c r="J87" s="3"/>
      <c r="K87" s="3"/>
      <c r="L87" s="3"/>
      <c r="M87" s="5">
        <f t="shared" si="8"/>
        <v>0</v>
      </c>
      <c r="N87" s="28" t="e">
        <f t="shared" si="9"/>
        <v>#DIV/0!</v>
      </c>
      <c r="O87" s="7"/>
      <c r="P87" s="7"/>
      <c r="Q87" s="7"/>
      <c r="R87" s="7"/>
      <c r="S87" s="3"/>
      <c r="T87" s="37">
        <f t="shared" si="6"/>
        <v>0</v>
      </c>
      <c r="U87" s="28" t="e">
        <f t="shared" si="10"/>
        <v>#DIV/0!</v>
      </c>
      <c r="V87" s="59">
        <f t="shared" si="11"/>
        <v>0</v>
      </c>
    </row>
    <row r="88" spans="1:22" ht="21.75" customHeight="1">
      <c r="A88" s="87">
        <v>27</v>
      </c>
      <c r="B88" s="7" t="s">
        <v>12</v>
      </c>
      <c r="C88" s="3"/>
      <c r="D88" s="3"/>
      <c r="E88" s="4">
        <f t="shared" si="7"/>
        <v>0</v>
      </c>
      <c r="F88" s="3"/>
      <c r="G88" s="7"/>
      <c r="H88" s="58"/>
      <c r="I88" s="55"/>
      <c r="J88" s="3"/>
      <c r="K88" s="3"/>
      <c r="L88" s="3"/>
      <c r="M88" s="5">
        <f t="shared" si="8"/>
        <v>0</v>
      </c>
      <c r="N88" s="28" t="e">
        <f t="shared" si="9"/>
        <v>#DIV/0!</v>
      </c>
      <c r="O88" s="7"/>
      <c r="P88" s="7"/>
      <c r="Q88" s="7"/>
      <c r="R88" s="7"/>
      <c r="S88" s="3"/>
      <c r="T88" s="37">
        <f t="shared" si="6"/>
        <v>0</v>
      </c>
      <c r="U88" s="28" t="e">
        <f t="shared" si="10"/>
        <v>#DIV/0!</v>
      </c>
      <c r="V88" s="59">
        <f t="shared" si="11"/>
        <v>0</v>
      </c>
    </row>
    <row r="89" spans="1:22" ht="21.75" customHeight="1">
      <c r="A89" s="87"/>
      <c r="B89" s="7" t="s">
        <v>13</v>
      </c>
      <c r="C89" s="3"/>
      <c r="D89" s="3"/>
      <c r="E89" s="4">
        <f t="shared" si="7"/>
        <v>0</v>
      </c>
      <c r="F89" s="3"/>
      <c r="G89" s="7"/>
      <c r="H89" s="7"/>
      <c r="I89" s="3"/>
      <c r="J89" s="3"/>
      <c r="K89" s="3"/>
      <c r="L89" s="3"/>
      <c r="M89" s="5">
        <f t="shared" si="8"/>
        <v>0</v>
      </c>
      <c r="N89" s="28" t="e">
        <f t="shared" si="9"/>
        <v>#DIV/0!</v>
      </c>
      <c r="O89" s="7"/>
      <c r="P89" s="7"/>
      <c r="Q89" s="7"/>
      <c r="R89" s="7"/>
      <c r="S89" s="3"/>
      <c r="T89" s="37">
        <f t="shared" si="6"/>
        <v>0</v>
      </c>
      <c r="U89" s="28" t="e">
        <f t="shared" si="10"/>
        <v>#DIV/0!</v>
      </c>
      <c r="V89" s="59">
        <f t="shared" si="11"/>
        <v>0</v>
      </c>
    </row>
    <row r="90" spans="1:22" ht="21.75" customHeight="1">
      <c r="A90" s="87"/>
      <c r="B90" s="7" t="s">
        <v>14</v>
      </c>
      <c r="C90" s="3"/>
      <c r="D90" s="3"/>
      <c r="E90" s="4">
        <f t="shared" si="7"/>
        <v>0</v>
      </c>
      <c r="F90" s="3"/>
      <c r="G90" s="7"/>
      <c r="H90" s="7"/>
      <c r="I90" s="3"/>
      <c r="J90" s="3"/>
      <c r="K90" s="3"/>
      <c r="L90" s="3"/>
      <c r="M90" s="5">
        <f t="shared" si="8"/>
        <v>0</v>
      </c>
      <c r="N90" s="28" t="e">
        <f t="shared" si="9"/>
        <v>#DIV/0!</v>
      </c>
      <c r="O90" s="7"/>
      <c r="P90" s="7"/>
      <c r="Q90" s="7"/>
      <c r="R90" s="7"/>
      <c r="S90" s="3"/>
      <c r="T90" s="37">
        <f t="shared" si="6"/>
        <v>0</v>
      </c>
      <c r="U90" s="28" t="e">
        <f t="shared" si="10"/>
        <v>#DIV/0!</v>
      </c>
      <c r="V90" s="59">
        <f t="shared" si="11"/>
        <v>0</v>
      </c>
    </row>
    <row r="91" spans="1:22" ht="21.75" customHeight="1">
      <c r="A91" s="87">
        <v>28</v>
      </c>
      <c r="B91" s="7" t="s">
        <v>12</v>
      </c>
      <c r="C91" s="3"/>
      <c r="D91" s="3"/>
      <c r="E91" s="4">
        <f t="shared" si="7"/>
        <v>0</v>
      </c>
      <c r="F91" s="3"/>
      <c r="G91" s="7"/>
      <c r="H91" s="7"/>
      <c r="I91" s="3"/>
      <c r="J91" s="3"/>
      <c r="K91" s="3"/>
      <c r="L91" s="3"/>
      <c r="M91" s="5">
        <f t="shared" si="8"/>
        <v>0</v>
      </c>
      <c r="N91" s="28" t="e">
        <f t="shared" si="9"/>
        <v>#DIV/0!</v>
      </c>
      <c r="O91" s="7"/>
      <c r="P91" s="7"/>
      <c r="Q91" s="7"/>
      <c r="R91" s="7"/>
      <c r="S91" s="3"/>
      <c r="T91" s="37">
        <f t="shared" si="6"/>
        <v>0</v>
      </c>
      <c r="U91" s="28" t="e">
        <f t="shared" si="10"/>
        <v>#DIV/0!</v>
      </c>
      <c r="V91" s="59">
        <f t="shared" si="11"/>
        <v>0</v>
      </c>
    </row>
    <row r="92" spans="1:22" ht="21.75" customHeight="1">
      <c r="A92" s="87"/>
      <c r="B92" s="7" t="s">
        <v>13</v>
      </c>
      <c r="C92" s="3"/>
      <c r="D92" s="3"/>
      <c r="E92" s="4">
        <f t="shared" si="7"/>
        <v>0</v>
      </c>
      <c r="F92" s="3"/>
      <c r="G92" s="7"/>
      <c r="H92" s="7"/>
      <c r="I92" s="3"/>
      <c r="J92" s="3"/>
      <c r="K92" s="3"/>
      <c r="L92" s="3"/>
      <c r="M92" s="5">
        <f t="shared" si="8"/>
        <v>0</v>
      </c>
      <c r="N92" s="28" t="e">
        <f t="shared" si="9"/>
        <v>#DIV/0!</v>
      </c>
      <c r="O92" s="7"/>
      <c r="P92" s="7"/>
      <c r="Q92" s="7"/>
      <c r="R92" s="7"/>
      <c r="S92" s="3"/>
      <c r="T92" s="37">
        <f t="shared" si="6"/>
        <v>0</v>
      </c>
      <c r="U92" s="28" t="e">
        <f t="shared" si="10"/>
        <v>#DIV/0!</v>
      </c>
      <c r="V92" s="59">
        <f t="shared" si="11"/>
        <v>0</v>
      </c>
    </row>
    <row r="93" spans="1:22" ht="21.75" customHeight="1">
      <c r="A93" s="87"/>
      <c r="B93" s="7" t="s">
        <v>14</v>
      </c>
      <c r="C93" s="3"/>
      <c r="D93" s="3"/>
      <c r="E93" s="4">
        <f t="shared" si="7"/>
        <v>0</v>
      </c>
      <c r="F93" s="3"/>
      <c r="G93" s="7"/>
      <c r="H93" s="7"/>
      <c r="I93" s="3"/>
      <c r="J93" s="3"/>
      <c r="K93" s="3"/>
      <c r="L93" s="3"/>
      <c r="M93" s="5">
        <f t="shared" si="8"/>
        <v>0</v>
      </c>
      <c r="N93" s="28" t="e">
        <f t="shared" si="9"/>
        <v>#DIV/0!</v>
      </c>
      <c r="O93" s="7"/>
      <c r="P93" s="7"/>
      <c r="Q93" s="7"/>
      <c r="R93" s="7"/>
      <c r="S93" s="3"/>
      <c r="T93" s="37">
        <f t="shared" si="6"/>
        <v>0</v>
      </c>
      <c r="U93" s="28" t="e">
        <f t="shared" si="10"/>
        <v>#DIV/0!</v>
      </c>
      <c r="V93" s="59">
        <f t="shared" si="11"/>
        <v>0</v>
      </c>
    </row>
    <row r="94" spans="1:22" ht="21.75" customHeight="1">
      <c r="A94" s="87">
        <v>29</v>
      </c>
      <c r="B94" s="7" t="s">
        <v>12</v>
      </c>
      <c r="C94" s="3"/>
      <c r="D94" s="3"/>
      <c r="E94" s="4">
        <f t="shared" si="7"/>
        <v>0</v>
      </c>
      <c r="F94" s="3"/>
      <c r="G94" s="3"/>
      <c r="H94" s="3"/>
      <c r="I94" s="3"/>
      <c r="J94" s="3"/>
      <c r="K94" s="3"/>
      <c r="L94" s="3"/>
      <c r="M94" s="5">
        <f t="shared" si="8"/>
        <v>0</v>
      </c>
      <c r="N94" s="28" t="e">
        <f t="shared" si="9"/>
        <v>#DIV/0!</v>
      </c>
      <c r="O94" s="7"/>
      <c r="P94" s="7"/>
      <c r="Q94" s="7"/>
      <c r="R94" s="7"/>
      <c r="S94" s="3"/>
      <c r="T94" s="37">
        <f t="shared" si="6"/>
        <v>0</v>
      </c>
      <c r="U94" s="28" t="e">
        <f t="shared" si="10"/>
        <v>#DIV/0!</v>
      </c>
      <c r="V94" s="59">
        <f t="shared" si="11"/>
        <v>0</v>
      </c>
    </row>
    <row r="95" spans="1:22" ht="21.75" customHeight="1">
      <c r="A95" s="87"/>
      <c r="B95" s="7" t="s">
        <v>13</v>
      </c>
      <c r="C95" s="3"/>
      <c r="D95" s="3"/>
      <c r="E95" s="4">
        <f t="shared" si="7"/>
        <v>0</v>
      </c>
      <c r="F95" s="3"/>
      <c r="G95" s="3"/>
      <c r="H95" s="3"/>
      <c r="I95" s="3"/>
      <c r="J95" s="3"/>
      <c r="K95" s="3"/>
      <c r="L95" s="3"/>
      <c r="M95" s="5">
        <f t="shared" si="8"/>
        <v>0</v>
      </c>
      <c r="N95" s="28" t="e">
        <f t="shared" si="9"/>
        <v>#DIV/0!</v>
      </c>
      <c r="O95" s="7"/>
      <c r="P95" s="7"/>
      <c r="Q95" s="7"/>
      <c r="R95" s="7"/>
      <c r="S95" s="3"/>
      <c r="T95" s="37">
        <f t="shared" si="6"/>
        <v>0</v>
      </c>
      <c r="U95" s="28" t="e">
        <f t="shared" si="10"/>
        <v>#DIV/0!</v>
      </c>
      <c r="V95" s="59">
        <f t="shared" si="11"/>
        <v>0</v>
      </c>
    </row>
    <row r="96" spans="1:22" ht="21.75" customHeight="1">
      <c r="A96" s="87"/>
      <c r="B96" s="7" t="s">
        <v>14</v>
      </c>
      <c r="C96" s="3"/>
      <c r="D96" s="3"/>
      <c r="E96" s="4">
        <f t="shared" si="7"/>
        <v>0</v>
      </c>
      <c r="F96" s="3"/>
      <c r="G96" s="3"/>
      <c r="H96" s="3"/>
      <c r="I96" s="3"/>
      <c r="J96" s="3"/>
      <c r="K96" s="3"/>
      <c r="L96" s="3"/>
      <c r="M96" s="5">
        <f t="shared" si="8"/>
        <v>0</v>
      </c>
      <c r="N96" s="28" t="e">
        <f t="shared" si="9"/>
        <v>#DIV/0!</v>
      </c>
      <c r="O96" s="7"/>
      <c r="P96" s="7"/>
      <c r="Q96" s="7"/>
      <c r="R96" s="7"/>
      <c r="S96" s="3"/>
      <c r="T96" s="37">
        <f t="shared" si="6"/>
        <v>0</v>
      </c>
      <c r="U96" s="28" t="e">
        <f t="shared" si="10"/>
        <v>#DIV/0!</v>
      </c>
      <c r="V96" s="59">
        <f t="shared" si="11"/>
        <v>0</v>
      </c>
    </row>
    <row r="97" spans="1:22" ht="21.75" customHeight="1">
      <c r="A97" s="87">
        <v>30</v>
      </c>
      <c r="B97" s="7" t="s">
        <v>12</v>
      </c>
      <c r="C97" s="3"/>
      <c r="D97" s="3"/>
      <c r="E97" s="4">
        <f t="shared" si="7"/>
        <v>0</v>
      </c>
      <c r="F97" s="3"/>
      <c r="G97" s="3"/>
      <c r="H97" s="3"/>
      <c r="I97" s="3"/>
      <c r="J97" s="3"/>
      <c r="K97" s="3"/>
      <c r="L97" s="3"/>
      <c r="M97" s="5">
        <f t="shared" si="8"/>
        <v>0</v>
      </c>
      <c r="N97" s="28" t="e">
        <f t="shared" si="9"/>
        <v>#DIV/0!</v>
      </c>
      <c r="O97" s="7"/>
      <c r="P97" s="7"/>
      <c r="Q97" s="7"/>
      <c r="R97" s="7"/>
      <c r="S97" s="3"/>
      <c r="T97" s="37">
        <f t="shared" si="6"/>
        <v>0</v>
      </c>
      <c r="U97" s="28" t="e">
        <f t="shared" si="10"/>
        <v>#DIV/0!</v>
      </c>
      <c r="V97" s="59">
        <f t="shared" si="11"/>
        <v>0</v>
      </c>
    </row>
    <row r="98" spans="1:22" ht="21.75" customHeight="1">
      <c r="A98" s="87"/>
      <c r="B98" s="7" t="s">
        <v>13</v>
      </c>
      <c r="C98" s="3"/>
      <c r="D98" s="3"/>
      <c r="E98" s="4">
        <f t="shared" si="7"/>
        <v>0</v>
      </c>
      <c r="F98" s="3"/>
      <c r="G98" s="3"/>
      <c r="H98" s="3"/>
      <c r="I98" s="3"/>
      <c r="J98" s="3"/>
      <c r="K98" s="3"/>
      <c r="L98" s="3"/>
      <c r="M98" s="5">
        <f t="shared" si="8"/>
        <v>0</v>
      </c>
      <c r="N98" s="28" t="e">
        <f t="shared" si="9"/>
        <v>#DIV/0!</v>
      </c>
      <c r="O98" s="7"/>
      <c r="P98" s="7"/>
      <c r="Q98" s="7"/>
      <c r="R98" s="7"/>
      <c r="S98" s="3"/>
      <c r="T98" s="37">
        <f t="shared" si="6"/>
        <v>0</v>
      </c>
      <c r="U98" s="28" t="e">
        <f t="shared" si="10"/>
        <v>#DIV/0!</v>
      </c>
      <c r="V98" s="59">
        <f t="shared" si="11"/>
        <v>0</v>
      </c>
    </row>
    <row r="99" spans="1:22" ht="21.75" customHeight="1">
      <c r="A99" s="87"/>
      <c r="B99" s="7" t="s">
        <v>14</v>
      </c>
      <c r="C99" s="3"/>
      <c r="D99" s="3"/>
      <c r="E99" s="4">
        <f t="shared" si="7"/>
        <v>0</v>
      </c>
      <c r="F99" s="3"/>
      <c r="G99" s="3"/>
      <c r="H99" s="3"/>
      <c r="I99" s="3"/>
      <c r="J99" s="3"/>
      <c r="K99" s="3"/>
      <c r="L99" s="3"/>
      <c r="M99" s="5">
        <f t="shared" si="8"/>
        <v>0</v>
      </c>
      <c r="N99" s="28" t="e">
        <f t="shared" si="9"/>
        <v>#DIV/0!</v>
      </c>
      <c r="O99" s="7"/>
      <c r="P99" s="7"/>
      <c r="Q99" s="7"/>
      <c r="R99" s="7"/>
      <c r="S99" s="3"/>
      <c r="T99" s="37">
        <f t="shared" si="6"/>
        <v>0</v>
      </c>
      <c r="U99" s="28" t="e">
        <f t="shared" si="10"/>
        <v>#DIV/0!</v>
      </c>
      <c r="V99" s="59">
        <f t="shared" si="11"/>
        <v>0</v>
      </c>
    </row>
    <row r="100" spans="1:22" ht="21.75" customHeight="1">
      <c r="A100" s="87">
        <v>31</v>
      </c>
      <c r="B100" s="7" t="s">
        <v>12</v>
      </c>
      <c r="C100" s="3"/>
      <c r="D100" s="3"/>
      <c r="E100" s="4">
        <f t="shared" si="7"/>
        <v>0</v>
      </c>
      <c r="F100" s="3"/>
      <c r="G100" s="3"/>
      <c r="H100" s="3"/>
      <c r="I100" s="3"/>
      <c r="J100" s="3"/>
      <c r="K100" s="3"/>
      <c r="L100" s="3"/>
      <c r="M100" s="5">
        <f t="shared" si="8"/>
        <v>0</v>
      </c>
      <c r="N100" s="28" t="e">
        <f t="shared" si="9"/>
        <v>#DIV/0!</v>
      </c>
      <c r="O100" s="7"/>
      <c r="P100" s="7"/>
      <c r="Q100" s="7"/>
      <c r="R100" s="7"/>
      <c r="S100" s="3"/>
      <c r="T100" s="37">
        <f t="shared" si="6"/>
        <v>0</v>
      </c>
      <c r="U100" s="28" t="e">
        <f t="shared" si="10"/>
        <v>#DIV/0!</v>
      </c>
      <c r="V100" s="59">
        <f t="shared" si="11"/>
        <v>0</v>
      </c>
    </row>
    <row r="101" spans="1:22" ht="21.75" customHeight="1">
      <c r="A101" s="87"/>
      <c r="B101" s="7" t="s">
        <v>13</v>
      </c>
      <c r="C101" s="3"/>
      <c r="D101" s="3"/>
      <c r="E101" s="4">
        <f t="shared" si="7"/>
        <v>0</v>
      </c>
      <c r="F101" s="3"/>
      <c r="G101" s="3"/>
      <c r="H101" s="3"/>
      <c r="I101" s="3"/>
      <c r="J101" s="3"/>
      <c r="K101" s="3"/>
      <c r="L101" s="3"/>
      <c r="M101" s="5">
        <f t="shared" si="8"/>
        <v>0</v>
      </c>
      <c r="N101" s="28" t="e">
        <f t="shared" si="9"/>
        <v>#DIV/0!</v>
      </c>
      <c r="O101" s="7"/>
      <c r="P101" s="7"/>
      <c r="Q101" s="7"/>
      <c r="R101" s="7"/>
      <c r="S101" s="3"/>
      <c r="T101" s="37">
        <f t="shared" si="6"/>
        <v>0</v>
      </c>
      <c r="U101" s="28" t="e">
        <f t="shared" si="10"/>
        <v>#DIV/0!</v>
      </c>
      <c r="V101" s="59">
        <f t="shared" si="11"/>
        <v>0</v>
      </c>
    </row>
    <row r="102" spans="1:22" ht="21.75" customHeight="1">
      <c r="A102" s="87"/>
      <c r="B102" s="7" t="s">
        <v>14</v>
      </c>
      <c r="C102" s="3"/>
      <c r="D102" s="3"/>
      <c r="E102" s="4">
        <f t="shared" si="7"/>
        <v>0</v>
      </c>
      <c r="F102" s="3"/>
      <c r="G102" s="3"/>
      <c r="H102" s="3"/>
      <c r="I102" s="3"/>
      <c r="J102" s="3"/>
      <c r="K102" s="3"/>
      <c r="L102" s="3"/>
      <c r="M102" s="5">
        <f t="shared" si="8"/>
        <v>0</v>
      </c>
      <c r="N102" s="28" t="e">
        <f t="shared" si="9"/>
        <v>#DIV/0!</v>
      </c>
      <c r="O102" s="7"/>
      <c r="P102" s="7"/>
      <c r="Q102" s="7"/>
      <c r="R102" s="7"/>
      <c r="S102" s="3"/>
      <c r="T102" s="37">
        <f t="shared" si="6"/>
        <v>0</v>
      </c>
      <c r="U102" s="28" t="e">
        <f t="shared" si="10"/>
        <v>#DIV/0!</v>
      </c>
      <c r="V102" s="59">
        <f t="shared" si="11"/>
        <v>0</v>
      </c>
    </row>
    <row r="103" spans="1:22" ht="21.75" customHeight="1">
      <c r="A103" s="87" t="s">
        <v>41</v>
      </c>
      <c r="B103" s="1" t="s">
        <v>12</v>
      </c>
      <c r="C103" s="37">
        <f>C10+C13+C16+C19+C22+C25+C28+C31+C34+C37+C40+C43+C46+C49+C52+C55+C58+C61+C64+C67+C70+C73+C76+C79+C82+C85+C88+C91+C94+C97+C100</f>
        <v>0</v>
      </c>
      <c r="D103" s="37">
        <f>D10+D13+D16+D19+D22+D25+D28+D31+D34+D37+D40+D43+D46+D49+D52+D55+D58+D61+D64+D67+D70+D73+D76+D79+D82+D85+D88+D91+D94+D97+D100</f>
        <v>0</v>
      </c>
      <c r="E103" s="4">
        <f>((($B$3*C103)+(12*D103))*$M$4)/7</f>
        <v>0</v>
      </c>
      <c r="F103" s="1">
        <f t="shared" ref="F103:L105" si="12">F10+F13+F16+F19+F22+F25+F28+F31+F34+F37+F40+F43+F46+F49+F52+F55+F58+F61+F64+F67+F70+F73+F76+F79+F82+F85+F88+F91+F94+F97+F100</f>
        <v>0</v>
      </c>
      <c r="G103" s="1">
        <f t="shared" si="12"/>
        <v>0</v>
      </c>
      <c r="H103" s="1">
        <f t="shared" si="12"/>
        <v>0</v>
      </c>
      <c r="I103" s="1">
        <f t="shared" si="12"/>
        <v>0</v>
      </c>
      <c r="J103" s="1">
        <f t="shared" si="12"/>
        <v>0</v>
      </c>
      <c r="K103" s="1">
        <f t="shared" si="12"/>
        <v>0</v>
      </c>
      <c r="L103" s="1">
        <f t="shared" si="12"/>
        <v>0</v>
      </c>
      <c r="M103" s="5">
        <f t="shared" si="8"/>
        <v>0</v>
      </c>
      <c r="N103" s="28" t="e">
        <f t="shared" si="9"/>
        <v>#DIV/0!</v>
      </c>
      <c r="O103" s="1">
        <f t="shared" ref="O103:S105" si="13">O10+O13+O16+O19+O22+O25+O28+O31+O34+O37+O40+O43+O46+O49+O52+O55+O58+O61+O64+O67+O70+O73+O76+O79+O82+O85+O88+O91+O94+O97+O100</f>
        <v>0</v>
      </c>
      <c r="P103" s="1">
        <f t="shared" si="13"/>
        <v>0</v>
      </c>
      <c r="Q103" s="1">
        <f t="shared" si="13"/>
        <v>0</v>
      </c>
      <c r="R103" s="1">
        <f t="shared" si="13"/>
        <v>0</v>
      </c>
      <c r="S103" s="1">
        <f>S10+S13+S16+S19+S22+S25+S28+S31+S34+S37+S40+S43+S46+S49+S52+S55+S58+S61+S64+S67+S70+S73+S76+S79+S82+S85+S88+S91+S94+S97+S100</f>
        <v>0</v>
      </c>
      <c r="T103" s="37">
        <f t="shared" si="6"/>
        <v>0</v>
      </c>
      <c r="U103" s="28" t="e">
        <f t="shared" si="10"/>
        <v>#DIV/0!</v>
      </c>
      <c r="V103" s="59">
        <f t="shared" si="11"/>
        <v>0</v>
      </c>
    </row>
    <row r="104" spans="1:22" ht="21.75" customHeight="1">
      <c r="A104" s="87"/>
      <c r="B104" s="1" t="s">
        <v>13</v>
      </c>
      <c r="C104" s="37">
        <f t="shared" ref="C104:D105" si="14">C11+C14+C17+C20+C23+C26+C29+C32+C35+C38+C41+C44+C47+C50+C53+C56+C59+C62+C65+C68+C71+C74+C77+C80+C83+C86+C89+C92+C95+C98+C101</f>
        <v>0</v>
      </c>
      <c r="D104" s="37">
        <f t="shared" si="14"/>
        <v>0</v>
      </c>
      <c r="E104" s="4">
        <f t="shared" ref="E104:E105" si="15">((($B$3*C104)+(12*D104))*$M$4)/7</f>
        <v>0</v>
      </c>
      <c r="F104" s="1">
        <f t="shared" si="12"/>
        <v>0</v>
      </c>
      <c r="G104" s="1">
        <f t="shared" si="12"/>
        <v>0</v>
      </c>
      <c r="H104" s="1">
        <f t="shared" ref="H104" si="16">H11+H14+H17+H20+H23+H26+H29+H32+H35+H38+H41+H44+H47+H50+H53+H56+H59+H62+H65+H68+H71+H74+H77+H80+H83+H86+H89+H92+H95+H98+H101</f>
        <v>0</v>
      </c>
      <c r="I104" s="1">
        <f t="shared" si="12"/>
        <v>0</v>
      </c>
      <c r="J104" s="1">
        <f t="shared" si="12"/>
        <v>0</v>
      </c>
      <c r="K104" s="1">
        <f t="shared" ref="K104" si="17">K11+K14+K17+K20+K23+K26+K29+K32+K35+K38+K41+K44+K47+K50+K53+K56+K59+K62+K65+K68+K71+K74+K77+K80+K83+K86+K89+K92+K95+K98+K101</f>
        <v>0</v>
      </c>
      <c r="L104" s="1">
        <f t="shared" si="12"/>
        <v>0</v>
      </c>
      <c r="M104" s="5">
        <f t="shared" si="8"/>
        <v>0</v>
      </c>
      <c r="N104" s="28" t="e">
        <f t="shared" si="9"/>
        <v>#DIV/0!</v>
      </c>
      <c r="O104" s="1">
        <f t="shared" si="13"/>
        <v>0</v>
      </c>
      <c r="P104" s="1">
        <f t="shared" si="13"/>
        <v>0</v>
      </c>
      <c r="Q104" s="1">
        <f t="shared" si="13"/>
        <v>0</v>
      </c>
      <c r="R104" s="1">
        <f t="shared" si="13"/>
        <v>0</v>
      </c>
      <c r="S104" s="1">
        <f t="shared" si="13"/>
        <v>0</v>
      </c>
      <c r="T104" s="37">
        <f t="shared" si="6"/>
        <v>0</v>
      </c>
      <c r="U104" s="28" t="e">
        <f t="shared" si="10"/>
        <v>#DIV/0!</v>
      </c>
      <c r="V104" s="59">
        <f t="shared" si="11"/>
        <v>0</v>
      </c>
    </row>
    <row r="105" spans="1:22" ht="21.75" customHeight="1">
      <c r="A105" s="87"/>
      <c r="B105" s="1" t="s">
        <v>14</v>
      </c>
      <c r="C105" s="37">
        <f t="shared" si="14"/>
        <v>0</v>
      </c>
      <c r="D105" s="37">
        <f t="shared" si="14"/>
        <v>0</v>
      </c>
      <c r="E105" s="4">
        <f t="shared" si="15"/>
        <v>0</v>
      </c>
      <c r="F105" s="1">
        <f t="shared" si="12"/>
        <v>0</v>
      </c>
      <c r="G105" s="1">
        <f t="shared" si="12"/>
        <v>0</v>
      </c>
      <c r="H105" s="1">
        <f t="shared" ref="H105" si="18">H12+H15+H18+H21+H24+H27+H30+H33+H36+H39+H42+H45+H48+H51+H54+H57+H60+H63+H66+H69+H72+H75+H78+H81+H84+H87+H90+H93+H96+H99+H102</f>
        <v>0</v>
      </c>
      <c r="I105" s="1">
        <f t="shared" si="12"/>
        <v>0</v>
      </c>
      <c r="J105" s="1">
        <f t="shared" si="12"/>
        <v>0</v>
      </c>
      <c r="K105" s="1">
        <f t="shared" ref="K105" si="19">K12+K15+K18+K21+K24+K27+K30+K33+K36+K39+K42+K45+K48+K51+K54+K57+K60+K63+K66+K69+K72+K75+K78+K81+K84+K87+K90+K93+K96+K99+K102</f>
        <v>0</v>
      </c>
      <c r="L105" s="1">
        <f t="shared" si="12"/>
        <v>0</v>
      </c>
      <c r="M105" s="5">
        <f t="shared" si="8"/>
        <v>0</v>
      </c>
      <c r="N105" s="28" t="e">
        <f t="shared" si="9"/>
        <v>#DIV/0!</v>
      </c>
      <c r="O105" s="1">
        <f t="shared" si="13"/>
        <v>0</v>
      </c>
      <c r="P105" s="1">
        <f t="shared" si="13"/>
        <v>0</v>
      </c>
      <c r="Q105" s="1">
        <f t="shared" si="13"/>
        <v>0</v>
      </c>
      <c r="R105" s="1">
        <f t="shared" si="13"/>
        <v>0</v>
      </c>
      <c r="S105" s="1">
        <f t="shared" si="13"/>
        <v>0</v>
      </c>
      <c r="T105" s="37">
        <f t="shared" si="6"/>
        <v>0</v>
      </c>
      <c r="U105" s="28" t="e">
        <f t="shared" si="10"/>
        <v>#DIV/0!</v>
      </c>
      <c r="V105" s="59">
        <f t="shared" si="11"/>
        <v>0</v>
      </c>
    </row>
    <row r="106" spans="1:22" ht="21.75" customHeight="1">
      <c r="A106" s="7" t="s">
        <v>42</v>
      </c>
      <c r="B106" s="7"/>
      <c r="C106" s="60">
        <f>SUM(C103:C105)/3</f>
        <v>0</v>
      </c>
      <c r="D106" s="60">
        <f>SUM(D103:D105)/3</f>
        <v>0</v>
      </c>
      <c r="E106" s="25"/>
      <c r="F106" s="42">
        <f>SUM(F103:F105)</f>
        <v>0</v>
      </c>
      <c r="G106" s="42">
        <f t="shared" ref="G106:L106" si="20">SUM(G103:G105)</f>
        <v>0</v>
      </c>
      <c r="H106" s="42">
        <f t="shared" si="20"/>
        <v>0</v>
      </c>
      <c r="I106" s="42">
        <f t="shared" si="20"/>
        <v>0</v>
      </c>
      <c r="J106" s="42">
        <f t="shared" si="20"/>
        <v>0</v>
      </c>
      <c r="K106" s="42">
        <f t="shared" si="20"/>
        <v>0</v>
      </c>
      <c r="L106" s="42">
        <f t="shared" si="20"/>
        <v>0</v>
      </c>
      <c r="M106" s="5">
        <f t="shared" si="8"/>
        <v>0</v>
      </c>
      <c r="N106" s="25"/>
      <c r="O106" s="25">
        <f>SUM(O103:O105)/3</f>
        <v>0</v>
      </c>
      <c r="P106" s="25">
        <f>SUM(P103:P105)/3</f>
        <v>0</v>
      </c>
      <c r="Q106" s="25">
        <f t="shared" ref="Q106:S106" si="21">SUM(Q103:Q105)/3</f>
        <v>0</v>
      </c>
      <c r="R106" s="25">
        <f t="shared" si="21"/>
        <v>0</v>
      </c>
      <c r="S106" s="25">
        <f t="shared" si="21"/>
        <v>0</v>
      </c>
      <c r="T106" s="37">
        <f t="shared" si="6"/>
        <v>0</v>
      </c>
      <c r="U106" s="28" t="e">
        <f t="shared" si="10"/>
        <v>#DIV/0!</v>
      </c>
      <c r="V106" s="59">
        <f t="shared" si="11"/>
        <v>0</v>
      </c>
    </row>
  </sheetData>
  <mergeCells count="77">
    <mergeCell ref="O3:P3"/>
    <mergeCell ref="Q3:R3"/>
    <mergeCell ref="U7:U9"/>
    <mergeCell ref="P8:P9"/>
    <mergeCell ref="Q8:Q9"/>
    <mergeCell ref="R6:S6"/>
    <mergeCell ref="T7:T9"/>
    <mergeCell ref="O8:O9"/>
    <mergeCell ref="O6:Q6"/>
    <mergeCell ref="O7:S7"/>
    <mergeCell ref="R8:R9"/>
    <mergeCell ref="S8:S9"/>
    <mergeCell ref="I4:L4"/>
    <mergeCell ref="M4:N4"/>
    <mergeCell ref="O4:P4"/>
    <mergeCell ref="Q4:R4"/>
    <mergeCell ref="F5:L5"/>
    <mergeCell ref="O5:P5"/>
    <mergeCell ref="Q5:R5"/>
    <mergeCell ref="M7:M9"/>
    <mergeCell ref="N7:N9"/>
    <mergeCell ref="A1:N1"/>
    <mergeCell ref="A2:N2"/>
    <mergeCell ref="I3:L3"/>
    <mergeCell ref="M3:N3"/>
    <mergeCell ref="L7:L9"/>
    <mergeCell ref="F6:H6"/>
    <mergeCell ref="I6:K6"/>
    <mergeCell ref="B7:B9"/>
    <mergeCell ref="C7:C9"/>
    <mergeCell ref="D7:D9"/>
    <mergeCell ref="E7:E9"/>
    <mergeCell ref="F8:H8"/>
    <mergeCell ref="I8:K8"/>
    <mergeCell ref="F7:K7"/>
    <mergeCell ref="A25:A27"/>
    <mergeCell ref="A28:A30"/>
    <mergeCell ref="A31:A33"/>
    <mergeCell ref="A97:A99"/>
    <mergeCell ref="A49:A51"/>
    <mergeCell ref="A52:A54"/>
    <mergeCell ref="A55:A57"/>
    <mergeCell ref="A58:A60"/>
    <mergeCell ref="A61:A63"/>
    <mergeCell ref="A103:A105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91:A93"/>
    <mergeCell ref="A94:A96"/>
    <mergeCell ref="A5:B5"/>
    <mergeCell ref="A6:B6"/>
    <mergeCell ref="C5:D5"/>
    <mergeCell ref="C6:D6"/>
    <mergeCell ref="A100:A102"/>
    <mergeCell ref="A37:A39"/>
    <mergeCell ref="A40:A42"/>
    <mergeCell ref="A43:A45"/>
    <mergeCell ref="A46:A48"/>
    <mergeCell ref="A7:A9"/>
    <mergeCell ref="A10:A12"/>
    <mergeCell ref="A34:A36"/>
    <mergeCell ref="A13:A15"/>
    <mergeCell ref="A16:A18"/>
    <mergeCell ref="A19:A21"/>
    <mergeCell ref="A22:A24"/>
    <mergeCell ref="E3:H3"/>
    <mergeCell ref="E4:H4"/>
    <mergeCell ref="A3:A4"/>
    <mergeCell ref="B3:B4"/>
    <mergeCell ref="C3:C4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14"/>
  <sheetViews>
    <sheetView zoomScale="85" zoomScaleNormal="85" workbookViewId="0">
      <pane xSplit="2" ySplit="9" topLeftCell="C93" activePane="bottomRight" state="frozen"/>
      <selection pane="topRight" activeCell="C1" sqref="C1"/>
      <selection pane="bottomLeft" activeCell="A10" sqref="A10"/>
      <selection pane="bottomRight" activeCell="M5" sqref="M5"/>
    </sheetView>
  </sheetViews>
  <sheetFormatPr defaultColWidth="9" defaultRowHeight="21.75" customHeight="1"/>
  <cols>
    <col min="1" max="1" width="10.33203125" style="2" customWidth="1"/>
    <col min="2" max="2" width="4.109375" style="2" customWidth="1"/>
    <col min="3" max="3" width="9.21875" style="2" customWidth="1"/>
    <col min="4" max="4" width="8.6640625" style="2" customWidth="1"/>
    <col min="5" max="5" width="9.33203125" style="2" customWidth="1"/>
    <col min="6" max="6" width="7.77734375" style="2" customWidth="1"/>
    <col min="7" max="8" width="6" style="2" customWidth="1"/>
    <col min="9" max="9" width="5.33203125" style="2" bestFit="1" customWidth="1"/>
    <col min="10" max="11" width="6.33203125" style="2" customWidth="1"/>
    <col min="12" max="12" width="6" style="2" customWidth="1"/>
    <col min="13" max="13" width="6.88671875" style="2" bestFit="1" customWidth="1"/>
    <col min="14" max="14" width="7.88671875" style="2" bestFit="1" customWidth="1"/>
    <col min="15" max="15" width="5.33203125" style="2" bestFit="1" customWidth="1"/>
    <col min="16" max="17" width="6.33203125" style="2" bestFit="1" customWidth="1"/>
    <col min="18" max="18" width="5" style="2" customWidth="1"/>
    <col min="19" max="19" width="6.77734375" style="2" customWidth="1"/>
    <col min="20" max="20" width="9.88671875" style="2" customWidth="1"/>
    <col min="21" max="21" width="6.77734375" style="2" customWidth="1"/>
    <col min="22" max="22" width="4.109375" style="2" bestFit="1" customWidth="1"/>
    <col min="23" max="16384" width="9" style="2"/>
  </cols>
  <sheetData>
    <row r="1" spans="1:22" ht="21.75" customHeight="1">
      <c r="A1" s="90" t="s">
        <v>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</row>
    <row r="2" spans="1:22" ht="21.75" customHeight="1">
      <c r="A2" s="90" t="s">
        <v>79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</row>
    <row r="3" spans="1:22" ht="21.75" customHeight="1">
      <c r="A3" s="91" t="s">
        <v>10</v>
      </c>
      <c r="B3" s="92">
        <v>4.5</v>
      </c>
      <c r="C3" s="93" t="s">
        <v>11</v>
      </c>
      <c r="D3" s="38"/>
      <c r="E3" s="116" t="s">
        <v>12</v>
      </c>
      <c r="F3" s="95"/>
      <c r="G3" s="95"/>
      <c r="H3" s="96"/>
      <c r="I3" s="93" t="s">
        <v>13</v>
      </c>
      <c r="J3" s="93"/>
      <c r="K3" s="93"/>
      <c r="L3" s="93"/>
      <c r="M3" s="95" t="s">
        <v>14</v>
      </c>
      <c r="N3" s="96"/>
      <c r="O3" s="113" t="s">
        <v>15</v>
      </c>
      <c r="P3" s="113"/>
      <c r="Q3" s="115" t="e">
        <f>((F103+F105)*240)+((G103+G105)*180)</f>
        <v>#REF!</v>
      </c>
      <c r="R3" s="115"/>
      <c r="S3" s="7" t="s">
        <v>16</v>
      </c>
    </row>
    <row r="4" spans="1:22" ht="21.75" customHeight="1">
      <c r="A4" s="91"/>
      <c r="B4" s="92"/>
      <c r="C4" s="93"/>
      <c r="D4" s="38"/>
      <c r="E4" s="114">
        <v>0.25</v>
      </c>
      <c r="F4" s="97"/>
      <c r="G4" s="97"/>
      <c r="H4" s="98"/>
      <c r="I4" s="94">
        <v>0.4</v>
      </c>
      <c r="J4" s="94"/>
      <c r="K4" s="94"/>
      <c r="L4" s="94"/>
      <c r="M4" s="97">
        <v>0.35</v>
      </c>
      <c r="N4" s="98"/>
      <c r="O4" s="113" t="s">
        <v>17</v>
      </c>
      <c r="P4" s="113"/>
      <c r="Q4" s="115">
        <f>((I103+L103+I104+L104+I105+L105)*660)+((J103+J105+J104)*530)</f>
        <v>15180</v>
      </c>
      <c r="R4" s="115"/>
      <c r="S4" s="7" t="s">
        <v>16</v>
      </c>
    </row>
    <row r="5" spans="1:22" ht="21.75" customHeight="1">
      <c r="A5" s="99" t="s">
        <v>18</v>
      </c>
      <c r="B5" s="99"/>
      <c r="C5" s="103">
        <v>15</v>
      </c>
      <c r="D5" s="104"/>
      <c r="E5" s="35" t="s">
        <v>19</v>
      </c>
      <c r="F5" s="114" t="s">
        <v>20</v>
      </c>
      <c r="G5" s="97"/>
      <c r="H5" s="97"/>
      <c r="I5" s="97"/>
      <c r="J5" s="97"/>
      <c r="K5" s="97"/>
      <c r="L5" s="97"/>
      <c r="M5" s="6">
        <v>21</v>
      </c>
      <c r="N5" s="34" t="s">
        <v>21</v>
      </c>
      <c r="O5" s="113"/>
      <c r="P5" s="113"/>
      <c r="Q5" s="115"/>
      <c r="R5" s="115"/>
      <c r="S5" s="7"/>
    </row>
    <row r="6" spans="1:22" ht="21.75" customHeight="1">
      <c r="A6" s="99" t="s">
        <v>23</v>
      </c>
      <c r="B6" s="99"/>
      <c r="C6" s="105">
        <f>((C106*12)/(M5*7)+((D106*12)/(M5*7)))</f>
        <v>29.496598639455783</v>
      </c>
      <c r="D6" s="106"/>
      <c r="E6" s="35" t="s">
        <v>19</v>
      </c>
      <c r="F6" s="80" t="s">
        <v>24</v>
      </c>
      <c r="G6" s="81"/>
      <c r="H6" s="82"/>
      <c r="I6" s="77">
        <f>C5-C6</f>
        <v>-14.496598639455783</v>
      </c>
      <c r="J6" s="78"/>
      <c r="K6" s="79"/>
      <c r="L6" s="39" t="s">
        <v>19</v>
      </c>
      <c r="M6" s="36" t="s">
        <v>25</v>
      </c>
      <c r="N6" s="27" t="e">
        <f>((((C106*4.5)+(D106*12))/((F106+G106+H106+I106+J106+K106+L106)*7)))*100</f>
        <v>#REF!</v>
      </c>
      <c r="O6" s="71" t="s">
        <v>26</v>
      </c>
      <c r="P6" s="71"/>
      <c r="Q6" s="71"/>
      <c r="R6" s="72" t="e">
        <f>U106</f>
        <v>#REF!</v>
      </c>
      <c r="S6" s="73"/>
    </row>
    <row r="7" spans="1:22" ht="21.75" customHeight="1">
      <c r="A7" s="65" t="s">
        <v>27</v>
      </c>
      <c r="B7" s="65" t="s">
        <v>28</v>
      </c>
      <c r="C7" s="100" t="s">
        <v>77</v>
      </c>
      <c r="D7" s="100" t="s">
        <v>78</v>
      </c>
      <c r="E7" s="65" t="s">
        <v>30</v>
      </c>
      <c r="F7" s="74" t="s">
        <v>31</v>
      </c>
      <c r="G7" s="75"/>
      <c r="H7" s="75"/>
      <c r="I7" s="75"/>
      <c r="J7" s="75"/>
      <c r="K7" s="76"/>
      <c r="L7" s="65" t="s">
        <v>32</v>
      </c>
      <c r="M7" s="65" t="s">
        <v>33</v>
      </c>
      <c r="N7" s="68" t="s">
        <v>25</v>
      </c>
      <c r="O7" s="87" t="s">
        <v>34</v>
      </c>
      <c r="P7" s="87"/>
      <c r="Q7" s="87"/>
      <c r="R7" s="87"/>
      <c r="S7" s="87"/>
      <c r="T7" s="83" t="s">
        <v>35</v>
      </c>
      <c r="U7" s="85" t="s">
        <v>26</v>
      </c>
    </row>
    <row r="8" spans="1:22" ht="21.75" customHeight="1">
      <c r="A8" s="66"/>
      <c r="B8" s="66"/>
      <c r="C8" s="101"/>
      <c r="D8" s="101"/>
      <c r="E8" s="66"/>
      <c r="F8" s="120" t="s">
        <v>37</v>
      </c>
      <c r="G8" s="121"/>
      <c r="H8" s="122"/>
      <c r="I8" s="117" t="s">
        <v>38</v>
      </c>
      <c r="J8" s="118"/>
      <c r="K8" s="119"/>
      <c r="L8" s="66"/>
      <c r="M8" s="66"/>
      <c r="N8" s="69"/>
      <c r="O8" s="88">
        <v>1</v>
      </c>
      <c r="P8" s="88">
        <v>2</v>
      </c>
      <c r="Q8" s="88">
        <v>3</v>
      </c>
      <c r="R8" s="88">
        <v>4</v>
      </c>
      <c r="S8" s="88">
        <v>5</v>
      </c>
      <c r="T8" s="83"/>
      <c r="U8" s="85"/>
    </row>
    <row r="9" spans="1:22" ht="21.75" customHeight="1">
      <c r="A9" s="67"/>
      <c r="B9" s="67"/>
      <c r="C9" s="102"/>
      <c r="D9" s="102"/>
      <c r="E9" s="67"/>
      <c r="F9" s="24" t="s">
        <v>39</v>
      </c>
      <c r="G9" s="24" t="s">
        <v>40</v>
      </c>
      <c r="H9" s="24" t="s">
        <v>76</v>
      </c>
      <c r="I9" s="57" t="s">
        <v>39</v>
      </c>
      <c r="J9" s="57" t="s">
        <v>40</v>
      </c>
      <c r="K9" s="57" t="s">
        <v>76</v>
      </c>
      <c r="L9" s="67"/>
      <c r="M9" s="67"/>
      <c r="N9" s="70"/>
      <c r="O9" s="89"/>
      <c r="P9" s="89"/>
      <c r="Q9" s="89"/>
      <c r="R9" s="89"/>
      <c r="S9" s="89"/>
      <c r="T9" s="84"/>
      <c r="U9" s="86"/>
    </row>
    <row r="10" spans="1:22" ht="21.75" customHeight="1">
      <c r="A10" s="87">
        <v>1</v>
      </c>
      <c r="B10" s="7" t="s">
        <v>12</v>
      </c>
      <c r="C10" s="3">
        <v>9</v>
      </c>
      <c r="D10" s="3">
        <v>4</v>
      </c>
      <c r="E10" s="4">
        <f>((($B$3*C10)+(12*D10))*$E$4)/7</f>
        <v>3.1607142857142856</v>
      </c>
      <c r="F10" s="3">
        <v>3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/>
      <c r="M10" s="5">
        <f>(F10+G10+H10+L10)-E10</f>
        <v>-0.16071428571428559</v>
      </c>
      <c r="N10" s="28">
        <f>(((C10*4.5)+(12*D10))*$E$4)/((F10+G10+H10+I10+J10+K10+L10)*7)*100</f>
        <v>105.35714285714286</v>
      </c>
      <c r="O10" s="7">
        <v>0</v>
      </c>
      <c r="P10" s="7">
        <v>0</v>
      </c>
      <c r="Q10" s="7">
        <v>10</v>
      </c>
      <c r="R10" s="7">
        <v>1</v>
      </c>
      <c r="S10" s="3">
        <v>2</v>
      </c>
      <c r="T10" s="37">
        <f t="shared" ref="T10:T73" si="0">SUM(O10:S10)</f>
        <v>13</v>
      </c>
      <c r="U10" s="28">
        <f>((((O10*1.5+(P10*3.5)+(Q10*5.5)+(R10*7.5)+(S10*12)))/3)/((F10+G10+H10+I10+J10+K10+L10)*7))*100</f>
        <v>137.30158730158729</v>
      </c>
      <c r="V10" s="59">
        <f>C10+D10-T10</f>
        <v>0</v>
      </c>
    </row>
    <row r="11" spans="1:22" ht="21.75" customHeight="1">
      <c r="A11" s="87"/>
      <c r="B11" s="7" t="s">
        <v>13</v>
      </c>
      <c r="C11" s="3">
        <v>9</v>
      </c>
      <c r="D11" s="3">
        <v>4</v>
      </c>
      <c r="E11" s="4">
        <f t="shared" ref="E11:E74" si="1">((($B$3*C11)+(12*D11))*$E$4)/7</f>
        <v>3.1607142857142856</v>
      </c>
      <c r="F11" s="3">
        <v>3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5">
        <f t="shared" ref="M11:M74" si="2">(F11+G11+H11+L11)-E11</f>
        <v>-0.16071428571428559</v>
      </c>
      <c r="N11" s="28">
        <f t="shared" ref="N11:N74" si="3">(((C11*4.5)+(12*D11))*$E$4)/((F11+G11+H11+I11+J11+K11+L11)*7)*100</f>
        <v>105.35714285714286</v>
      </c>
      <c r="O11" s="7">
        <v>0</v>
      </c>
      <c r="P11" s="7">
        <v>1</v>
      </c>
      <c r="Q11" s="7">
        <v>7</v>
      </c>
      <c r="R11" s="7">
        <v>1</v>
      </c>
      <c r="S11" s="3">
        <v>2</v>
      </c>
      <c r="T11" s="37">
        <f t="shared" si="0"/>
        <v>11</v>
      </c>
      <c r="U11" s="28">
        <f t="shared" ref="U11:U74" si="4">((((O11*1.5+(P11*3.5)+(Q11*5.5)+(R11*7.5)+(S11*12)))/3)/((F11+G11+H11+I11+J11+K11+L11)*7))*100</f>
        <v>116.66666666666667</v>
      </c>
      <c r="V11" s="59">
        <f t="shared" ref="V11:V74" si="5">C11+D11-T11</f>
        <v>2</v>
      </c>
    </row>
    <row r="12" spans="1:22" ht="21.75" customHeight="1">
      <c r="A12" s="87"/>
      <c r="B12" s="7" t="s">
        <v>14</v>
      </c>
      <c r="C12" s="3">
        <v>8</v>
      </c>
      <c r="D12" s="3">
        <v>4</v>
      </c>
      <c r="E12" s="4">
        <f t="shared" si="1"/>
        <v>3</v>
      </c>
      <c r="F12" s="3">
        <v>2</v>
      </c>
      <c r="G12" s="3">
        <v>0</v>
      </c>
      <c r="H12" s="3">
        <v>0</v>
      </c>
      <c r="I12" s="3">
        <v>1</v>
      </c>
      <c r="J12" s="3">
        <v>0</v>
      </c>
      <c r="K12" s="3">
        <v>0</v>
      </c>
      <c r="L12" s="3"/>
      <c r="M12" s="5">
        <f t="shared" si="2"/>
        <v>-1</v>
      </c>
      <c r="N12" s="28">
        <f t="shared" si="3"/>
        <v>100</v>
      </c>
      <c r="O12" s="7">
        <v>0</v>
      </c>
      <c r="P12" s="7">
        <v>0</v>
      </c>
      <c r="Q12" s="7">
        <v>9</v>
      </c>
      <c r="R12" s="7">
        <v>1</v>
      </c>
      <c r="S12" s="3">
        <v>2</v>
      </c>
      <c r="T12" s="37">
        <f t="shared" si="0"/>
        <v>12</v>
      </c>
      <c r="U12" s="28">
        <f t="shared" si="4"/>
        <v>128.57142857142858</v>
      </c>
      <c r="V12" s="59">
        <f t="shared" si="5"/>
        <v>0</v>
      </c>
    </row>
    <row r="13" spans="1:22" ht="21.75" customHeight="1">
      <c r="A13" s="87">
        <v>2</v>
      </c>
      <c r="B13" s="7" t="s">
        <v>12</v>
      </c>
      <c r="C13" s="3">
        <v>9</v>
      </c>
      <c r="D13" s="3">
        <v>4</v>
      </c>
      <c r="E13" s="4">
        <f t="shared" si="1"/>
        <v>3.1607142857142856</v>
      </c>
      <c r="F13" s="3">
        <v>3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  <c r="M13" s="5">
        <f t="shared" si="2"/>
        <v>-0.16071428571428559</v>
      </c>
      <c r="N13" s="28">
        <f t="shared" si="3"/>
        <v>105.35714285714286</v>
      </c>
      <c r="O13" s="7">
        <v>0</v>
      </c>
      <c r="P13" s="7">
        <v>0</v>
      </c>
      <c r="Q13" s="7">
        <v>10</v>
      </c>
      <c r="R13" s="7">
        <v>1</v>
      </c>
      <c r="S13" s="3">
        <v>2</v>
      </c>
      <c r="T13" s="37">
        <f t="shared" si="0"/>
        <v>13</v>
      </c>
      <c r="U13" s="28">
        <f t="shared" si="4"/>
        <v>137.30158730158729</v>
      </c>
      <c r="V13" s="59">
        <f t="shared" si="5"/>
        <v>0</v>
      </c>
    </row>
    <row r="14" spans="1:22" ht="21.75" customHeight="1">
      <c r="A14" s="87"/>
      <c r="B14" s="7" t="s">
        <v>13</v>
      </c>
      <c r="C14" s="3">
        <v>8</v>
      </c>
      <c r="D14" s="3">
        <v>4</v>
      </c>
      <c r="E14" s="4">
        <f t="shared" si="1"/>
        <v>3</v>
      </c>
      <c r="F14" s="3">
        <v>1</v>
      </c>
      <c r="G14" s="3">
        <v>0</v>
      </c>
      <c r="H14" s="3">
        <v>0</v>
      </c>
      <c r="I14" s="3">
        <v>2</v>
      </c>
      <c r="J14" s="3">
        <v>0</v>
      </c>
      <c r="K14" s="3">
        <v>0</v>
      </c>
      <c r="L14" s="3"/>
      <c r="M14" s="5">
        <f>(F14+G14+H14+L14)-E14</f>
        <v>-2</v>
      </c>
      <c r="N14" s="28">
        <f t="shared" si="3"/>
        <v>100</v>
      </c>
      <c r="O14" s="7">
        <v>0</v>
      </c>
      <c r="P14" s="7">
        <v>1</v>
      </c>
      <c r="Q14" s="7">
        <v>8</v>
      </c>
      <c r="R14" s="7">
        <v>0</v>
      </c>
      <c r="S14" s="3">
        <v>3</v>
      </c>
      <c r="T14" s="37">
        <f t="shared" si="0"/>
        <v>12</v>
      </c>
      <c r="U14" s="28">
        <f t="shared" si="4"/>
        <v>132.53968253968253</v>
      </c>
      <c r="V14" s="59">
        <f t="shared" si="5"/>
        <v>0</v>
      </c>
    </row>
    <row r="15" spans="1:22" ht="21.75" customHeight="1">
      <c r="A15" s="87"/>
      <c r="B15" s="7" t="s">
        <v>14</v>
      </c>
      <c r="C15" s="3">
        <v>8</v>
      </c>
      <c r="D15" s="3">
        <v>4</v>
      </c>
      <c r="E15" s="4">
        <f t="shared" si="1"/>
        <v>3</v>
      </c>
      <c r="F15" s="3">
        <v>3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  <c r="M15" s="5">
        <f>(F14+G14+H14+L14)-E14</f>
        <v>-2</v>
      </c>
      <c r="N15" s="28">
        <f t="shared" si="3"/>
        <v>100</v>
      </c>
      <c r="O15" s="7">
        <v>0</v>
      </c>
      <c r="P15" s="7">
        <v>0</v>
      </c>
      <c r="Q15" s="7">
        <v>9</v>
      </c>
      <c r="R15" s="7">
        <v>0</v>
      </c>
      <c r="S15" s="3">
        <v>3</v>
      </c>
      <c r="T15" s="37">
        <f t="shared" si="0"/>
        <v>12</v>
      </c>
      <c r="U15" s="28">
        <f t="shared" si="4"/>
        <v>135.71428571428572</v>
      </c>
      <c r="V15" s="59">
        <f t="shared" si="5"/>
        <v>0</v>
      </c>
    </row>
    <row r="16" spans="1:22" ht="21.75" customHeight="1">
      <c r="A16" s="87">
        <v>3</v>
      </c>
      <c r="B16" s="7" t="s">
        <v>12</v>
      </c>
      <c r="C16" s="3">
        <v>8</v>
      </c>
      <c r="D16" s="3">
        <v>4</v>
      </c>
      <c r="E16" s="4">
        <f t="shared" si="1"/>
        <v>3</v>
      </c>
      <c r="F16" s="3">
        <v>2</v>
      </c>
      <c r="G16" s="3">
        <v>0</v>
      </c>
      <c r="H16" s="3">
        <v>0</v>
      </c>
      <c r="I16" s="3">
        <v>1</v>
      </c>
      <c r="J16" s="3">
        <v>0</v>
      </c>
      <c r="K16" s="3">
        <v>0</v>
      </c>
      <c r="L16" s="3"/>
      <c r="M16" s="5">
        <f t="shared" si="2"/>
        <v>-1</v>
      </c>
      <c r="N16" s="28">
        <f t="shared" si="3"/>
        <v>100</v>
      </c>
      <c r="O16" s="7">
        <v>0</v>
      </c>
      <c r="P16" s="7">
        <v>0</v>
      </c>
      <c r="Q16" s="7">
        <v>9</v>
      </c>
      <c r="R16" s="7">
        <v>0</v>
      </c>
      <c r="S16" s="3">
        <v>3</v>
      </c>
      <c r="T16" s="37">
        <f t="shared" si="0"/>
        <v>12</v>
      </c>
      <c r="U16" s="28">
        <f t="shared" si="4"/>
        <v>135.71428571428572</v>
      </c>
      <c r="V16" s="59">
        <f t="shared" si="5"/>
        <v>0</v>
      </c>
    </row>
    <row r="17" spans="1:22" ht="21.75" customHeight="1">
      <c r="A17" s="87"/>
      <c r="B17" s="7" t="s">
        <v>13</v>
      </c>
      <c r="C17" s="3">
        <v>8</v>
      </c>
      <c r="D17" s="3">
        <v>5</v>
      </c>
      <c r="E17" s="4">
        <f t="shared" si="1"/>
        <v>3.4285714285714284</v>
      </c>
      <c r="F17" s="3">
        <v>3</v>
      </c>
      <c r="G17" s="3">
        <v>0</v>
      </c>
      <c r="H17" s="3">
        <v>0</v>
      </c>
      <c r="I17" s="3">
        <v>1</v>
      </c>
      <c r="J17" s="3">
        <v>0</v>
      </c>
      <c r="K17" s="3">
        <v>0</v>
      </c>
      <c r="L17" s="3"/>
      <c r="M17" s="5">
        <f t="shared" si="2"/>
        <v>-0.42857142857142838</v>
      </c>
      <c r="N17" s="28">
        <f t="shared" si="3"/>
        <v>85.714285714285708</v>
      </c>
      <c r="O17" s="7">
        <v>0</v>
      </c>
      <c r="P17" s="7">
        <v>2</v>
      </c>
      <c r="Q17" s="7">
        <v>7</v>
      </c>
      <c r="R17" s="7">
        <v>0</v>
      </c>
      <c r="S17" s="3">
        <v>4</v>
      </c>
      <c r="T17" s="37">
        <f t="shared" si="0"/>
        <v>13</v>
      </c>
      <c r="U17" s="28">
        <f t="shared" si="4"/>
        <v>111.30952380952381</v>
      </c>
      <c r="V17" s="59">
        <f t="shared" si="5"/>
        <v>0</v>
      </c>
    </row>
    <row r="18" spans="1:22" ht="21.75" customHeight="1">
      <c r="A18" s="87"/>
      <c r="B18" s="7" t="s">
        <v>14</v>
      </c>
      <c r="C18" s="3">
        <v>6</v>
      </c>
      <c r="D18" s="3">
        <v>5</v>
      </c>
      <c r="E18" s="4">
        <f t="shared" si="1"/>
        <v>3.1071428571428572</v>
      </c>
      <c r="F18" s="3">
        <v>2</v>
      </c>
      <c r="G18" s="3">
        <v>0</v>
      </c>
      <c r="H18" s="3">
        <v>1</v>
      </c>
      <c r="I18" s="3">
        <v>1</v>
      </c>
      <c r="J18" s="3">
        <v>0</v>
      </c>
      <c r="K18" s="3">
        <v>0</v>
      </c>
      <c r="L18" s="3"/>
      <c r="M18" s="5">
        <f t="shared" si="2"/>
        <v>-0.10714285714285721</v>
      </c>
      <c r="N18" s="28">
        <f t="shared" si="3"/>
        <v>77.678571428571431</v>
      </c>
      <c r="O18" s="7">
        <v>0</v>
      </c>
      <c r="P18" s="7">
        <v>0</v>
      </c>
      <c r="Q18" s="7">
        <v>7</v>
      </c>
      <c r="R18" s="7">
        <v>0</v>
      </c>
      <c r="S18" s="3">
        <v>4</v>
      </c>
      <c r="T18" s="37">
        <f t="shared" si="0"/>
        <v>11</v>
      </c>
      <c r="U18" s="28">
        <f t="shared" si="4"/>
        <v>102.97619047619047</v>
      </c>
      <c r="V18" s="59">
        <f t="shared" si="5"/>
        <v>0</v>
      </c>
    </row>
    <row r="19" spans="1:22" ht="21.75" customHeight="1">
      <c r="A19" s="87">
        <v>4</v>
      </c>
      <c r="B19" s="7" t="s">
        <v>12</v>
      </c>
      <c r="C19" s="3">
        <v>6</v>
      </c>
      <c r="D19" s="3">
        <v>5</v>
      </c>
      <c r="E19" s="4">
        <f t="shared" si="1"/>
        <v>3.1071428571428572</v>
      </c>
      <c r="F19" s="3">
        <v>3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5">
        <f t="shared" si="2"/>
        <v>-0.10714285714285721</v>
      </c>
      <c r="N19" s="28">
        <f t="shared" si="3"/>
        <v>103.57142857142858</v>
      </c>
      <c r="O19" s="7">
        <v>0</v>
      </c>
      <c r="P19" s="7">
        <v>0</v>
      </c>
      <c r="Q19" s="7">
        <v>7</v>
      </c>
      <c r="R19" s="7">
        <v>0</v>
      </c>
      <c r="S19" s="3">
        <v>4</v>
      </c>
      <c r="T19" s="37">
        <f t="shared" si="0"/>
        <v>11</v>
      </c>
      <c r="U19" s="28">
        <f t="shared" si="4"/>
        <v>137.30158730158729</v>
      </c>
      <c r="V19" s="59">
        <f t="shared" si="5"/>
        <v>0</v>
      </c>
    </row>
    <row r="20" spans="1:22" ht="21.75" customHeight="1">
      <c r="A20" s="87"/>
      <c r="B20" s="7" t="s">
        <v>13</v>
      </c>
      <c r="C20" s="3">
        <v>7</v>
      </c>
      <c r="D20" s="3">
        <v>5</v>
      </c>
      <c r="E20" s="4">
        <f t="shared" si="1"/>
        <v>3.2678571428571428</v>
      </c>
      <c r="F20" s="3">
        <v>2</v>
      </c>
      <c r="G20" s="3">
        <v>0</v>
      </c>
      <c r="H20" s="3">
        <v>0</v>
      </c>
      <c r="I20" s="3">
        <v>1</v>
      </c>
      <c r="J20" s="3">
        <v>0</v>
      </c>
      <c r="K20" s="3">
        <v>1</v>
      </c>
      <c r="L20" s="3"/>
      <c r="M20" s="5">
        <f t="shared" si="2"/>
        <v>-1.2678571428571428</v>
      </c>
      <c r="N20" s="28">
        <f t="shared" si="3"/>
        <v>81.696428571428569</v>
      </c>
      <c r="O20" s="7">
        <v>0</v>
      </c>
      <c r="P20" s="7">
        <v>3</v>
      </c>
      <c r="Q20" s="7">
        <v>5</v>
      </c>
      <c r="R20" s="7">
        <v>0</v>
      </c>
      <c r="S20" s="3">
        <v>4</v>
      </c>
      <c r="T20" s="37">
        <f t="shared" si="0"/>
        <v>12</v>
      </c>
      <c r="U20" s="28">
        <f t="shared" si="4"/>
        <v>102.38095238095239</v>
      </c>
      <c r="V20" s="59">
        <f t="shared" si="5"/>
        <v>0</v>
      </c>
    </row>
    <row r="21" spans="1:22" ht="21.75" customHeight="1">
      <c r="A21" s="87"/>
      <c r="B21" s="7" t="s">
        <v>14</v>
      </c>
      <c r="C21" s="3">
        <v>3</v>
      </c>
      <c r="D21" s="3">
        <v>5</v>
      </c>
      <c r="E21" s="4">
        <f t="shared" si="1"/>
        <v>2.625</v>
      </c>
      <c r="F21" s="3">
        <v>3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  <c r="M21" s="5">
        <f t="shared" si="2"/>
        <v>0.375</v>
      </c>
      <c r="N21" s="28">
        <f t="shared" si="3"/>
        <v>87.5</v>
      </c>
      <c r="O21" s="7">
        <v>0</v>
      </c>
      <c r="P21" s="7">
        <v>0</v>
      </c>
      <c r="Q21" s="7">
        <v>4</v>
      </c>
      <c r="R21" s="7">
        <v>1</v>
      </c>
      <c r="S21" s="3">
        <v>3</v>
      </c>
      <c r="T21" s="37">
        <f t="shared" si="0"/>
        <v>8</v>
      </c>
      <c r="U21" s="28">
        <f t="shared" si="4"/>
        <v>103.96825396825395</v>
      </c>
      <c r="V21" s="59">
        <f t="shared" si="5"/>
        <v>0</v>
      </c>
    </row>
    <row r="22" spans="1:22" ht="21.75" customHeight="1">
      <c r="A22" s="87">
        <v>5</v>
      </c>
      <c r="B22" s="7" t="s">
        <v>12</v>
      </c>
      <c r="C22" s="3">
        <v>3</v>
      </c>
      <c r="D22" s="3">
        <v>5</v>
      </c>
      <c r="E22" s="4">
        <f t="shared" si="1"/>
        <v>2.625</v>
      </c>
      <c r="F22" s="3">
        <v>3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  <c r="M22" s="5">
        <f t="shared" si="2"/>
        <v>0.375</v>
      </c>
      <c r="N22" s="28">
        <f t="shared" si="3"/>
        <v>87.5</v>
      </c>
      <c r="O22" s="7">
        <v>0</v>
      </c>
      <c r="P22" s="7">
        <v>0</v>
      </c>
      <c r="Q22" s="7">
        <v>4</v>
      </c>
      <c r="R22" s="7">
        <v>1</v>
      </c>
      <c r="S22" s="3">
        <v>3</v>
      </c>
      <c r="T22" s="37">
        <f t="shared" si="0"/>
        <v>8</v>
      </c>
      <c r="U22" s="28">
        <f t="shared" si="4"/>
        <v>103.96825396825395</v>
      </c>
      <c r="V22" s="59">
        <f t="shared" si="5"/>
        <v>0</v>
      </c>
    </row>
    <row r="23" spans="1:22" ht="21.75" customHeight="1">
      <c r="A23" s="87"/>
      <c r="B23" s="7" t="s">
        <v>13</v>
      </c>
      <c r="C23" s="3">
        <v>4</v>
      </c>
      <c r="D23" s="3">
        <v>5</v>
      </c>
      <c r="E23" s="4">
        <f t="shared" si="1"/>
        <v>2.7857142857142856</v>
      </c>
      <c r="F23" s="3">
        <v>3</v>
      </c>
      <c r="G23" s="3">
        <v>0</v>
      </c>
      <c r="H23" s="3">
        <v>1</v>
      </c>
      <c r="I23" s="3">
        <v>0</v>
      </c>
      <c r="J23" s="3">
        <v>0</v>
      </c>
      <c r="K23" s="3">
        <v>0</v>
      </c>
      <c r="L23" s="3"/>
      <c r="M23" s="5">
        <f t="shared" si="2"/>
        <v>1.2142857142857144</v>
      </c>
      <c r="N23" s="28">
        <f t="shared" si="3"/>
        <v>69.642857142857139</v>
      </c>
      <c r="O23" s="7">
        <v>0</v>
      </c>
      <c r="P23" s="7">
        <v>2</v>
      </c>
      <c r="Q23" s="7">
        <v>3</v>
      </c>
      <c r="R23" s="7">
        <v>1</v>
      </c>
      <c r="S23" s="3">
        <v>3</v>
      </c>
      <c r="T23" s="37">
        <f t="shared" si="0"/>
        <v>9</v>
      </c>
      <c r="U23" s="28">
        <f t="shared" si="4"/>
        <v>79.761904761904759</v>
      </c>
      <c r="V23" s="59">
        <f t="shared" si="5"/>
        <v>0</v>
      </c>
    </row>
    <row r="24" spans="1:22" ht="21.75" customHeight="1">
      <c r="A24" s="87"/>
      <c r="B24" s="7" t="s">
        <v>14</v>
      </c>
      <c r="C24" s="3">
        <v>2</v>
      </c>
      <c r="D24" s="3">
        <v>5</v>
      </c>
      <c r="E24" s="4">
        <f t="shared" si="1"/>
        <v>2.4642857142857144</v>
      </c>
      <c r="F24" s="3">
        <v>3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  <c r="M24" s="5">
        <f t="shared" si="2"/>
        <v>0.53571428571428559</v>
      </c>
      <c r="N24" s="28">
        <f t="shared" si="3"/>
        <v>82.142857142857139</v>
      </c>
      <c r="O24" s="7">
        <v>0</v>
      </c>
      <c r="P24" s="7">
        <v>0</v>
      </c>
      <c r="Q24" s="7">
        <v>3</v>
      </c>
      <c r="R24" s="7">
        <v>2</v>
      </c>
      <c r="S24" s="3">
        <v>2</v>
      </c>
      <c r="T24" s="37">
        <f t="shared" si="0"/>
        <v>7</v>
      </c>
      <c r="U24" s="28">
        <f t="shared" si="4"/>
        <v>88.095238095238088</v>
      </c>
      <c r="V24" s="59">
        <f t="shared" si="5"/>
        <v>0</v>
      </c>
    </row>
    <row r="25" spans="1:22" ht="21.75" customHeight="1">
      <c r="A25" s="87">
        <v>6</v>
      </c>
      <c r="B25" s="7" t="s">
        <v>12</v>
      </c>
      <c r="C25" s="3">
        <v>2</v>
      </c>
      <c r="D25" s="3">
        <v>5</v>
      </c>
      <c r="E25" s="4">
        <f t="shared" si="1"/>
        <v>2.4642857142857144</v>
      </c>
      <c r="F25" s="3">
        <v>3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  <c r="M25" s="5">
        <f t="shared" si="2"/>
        <v>0.53571428571428559</v>
      </c>
      <c r="N25" s="28">
        <f t="shared" si="3"/>
        <v>82.142857142857139</v>
      </c>
      <c r="O25" s="7">
        <v>0</v>
      </c>
      <c r="P25" s="7">
        <v>0</v>
      </c>
      <c r="Q25" s="7">
        <v>3</v>
      </c>
      <c r="R25" s="7">
        <v>2</v>
      </c>
      <c r="S25" s="3">
        <v>2</v>
      </c>
      <c r="T25" s="37">
        <f t="shared" si="0"/>
        <v>7</v>
      </c>
      <c r="U25" s="28">
        <f t="shared" si="4"/>
        <v>88.095238095238088</v>
      </c>
      <c r="V25" s="59">
        <f t="shared" si="5"/>
        <v>0</v>
      </c>
    </row>
    <row r="26" spans="1:22" ht="21.75" customHeight="1">
      <c r="A26" s="87"/>
      <c r="B26" s="7" t="s">
        <v>13</v>
      </c>
      <c r="C26" s="3">
        <v>6</v>
      </c>
      <c r="D26" s="3">
        <v>4</v>
      </c>
      <c r="E26" s="4">
        <f t="shared" si="1"/>
        <v>2.6785714285714284</v>
      </c>
      <c r="F26" s="3">
        <v>4</v>
      </c>
      <c r="G26" s="3">
        <v>0</v>
      </c>
      <c r="H26" s="3">
        <v>1</v>
      </c>
      <c r="I26" s="3">
        <v>0</v>
      </c>
      <c r="J26" s="3">
        <v>0</v>
      </c>
      <c r="K26" s="3">
        <v>0</v>
      </c>
      <c r="L26" s="3"/>
      <c r="M26" s="5">
        <f t="shared" si="2"/>
        <v>2.3214285714285716</v>
      </c>
      <c r="N26" s="28">
        <f t="shared" si="3"/>
        <v>53.571428571428569</v>
      </c>
      <c r="O26" s="7">
        <v>0</v>
      </c>
      <c r="P26" s="7">
        <v>1</v>
      </c>
      <c r="Q26" s="7">
        <v>5</v>
      </c>
      <c r="R26" s="7">
        <v>2</v>
      </c>
      <c r="S26" s="3">
        <v>2</v>
      </c>
      <c r="T26" s="37">
        <f t="shared" si="0"/>
        <v>10</v>
      </c>
      <c r="U26" s="28">
        <f t="shared" si="4"/>
        <v>66.666666666666657</v>
      </c>
      <c r="V26" s="59">
        <f t="shared" si="5"/>
        <v>0</v>
      </c>
    </row>
    <row r="27" spans="1:22" ht="21.75" customHeight="1">
      <c r="A27" s="87"/>
      <c r="B27" s="7" t="s">
        <v>14</v>
      </c>
      <c r="C27" s="3">
        <v>4</v>
      </c>
      <c r="D27" s="3">
        <v>4</v>
      </c>
      <c r="E27" s="4">
        <f t="shared" si="1"/>
        <v>2.3571428571428572</v>
      </c>
      <c r="F27" s="3">
        <v>3</v>
      </c>
      <c r="G27" s="3">
        <v>0</v>
      </c>
      <c r="H27" s="3">
        <v>0</v>
      </c>
      <c r="I27" s="3">
        <v>0</v>
      </c>
      <c r="J27" s="3">
        <v>0</v>
      </c>
      <c r="K27" s="3">
        <v>1</v>
      </c>
      <c r="L27" s="3"/>
      <c r="M27" s="5">
        <f t="shared" si="2"/>
        <v>0.64285714285714279</v>
      </c>
      <c r="N27" s="28">
        <f t="shared" si="3"/>
        <v>58.928571428571431</v>
      </c>
      <c r="O27" s="7">
        <v>0</v>
      </c>
      <c r="P27" s="7">
        <v>0</v>
      </c>
      <c r="Q27" s="7">
        <v>5</v>
      </c>
      <c r="R27" s="7">
        <v>1</v>
      </c>
      <c r="S27" s="3">
        <v>2</v>
      </c>
      <c r="T27" s="37">
        <f t="shared" si="0"/>
        <v>8</v>
      </c>
      <c r="U27" s="28">
        <f t="shared" si="4"/>
        <v>70.238095238095241</v>
      </c>
      <c r="V27" s="59">
        <f t="shared" si="5"/>
        <v>0</v>
      </c>
    </row>
    <row r="28" spans="1:22" ht="21.75" customHeight="1">
      <c r="A28" s="87">
        <v>7</v>
      </c>
      <c r="B28" s="7" t="s">
        <v>12</v>
      </c>
      <c r="C28" s="3">
        <v>4</v>
      </c>
      <c r="D28" s="3">
        <v>4</v>
      </c>
      <c r="E28" s="4">
        <f t="shared" si="1"/>
        <v>2.3571428571428572</v>
      </c>
      <c r="F28" s="3">
        <v>1</v>
      </c>
      <c r="G28" s="3">
        <v>0</v>
      </c>
      <c r="H28" s="3">
        <v>0</v>
      </c>
      <c r="I28" s="3">
        <v>2</v>
      </c>
      <c r="J28" s="3">
        <v>0</v>
      </c>
      <c r="K28" s="3">
        <v>0</v>
      </c>
      <c r="L28" s="3"/>
      <c r="M28" s="5">
        <f t="shared" si="2"/>
        <v>-1.3571428571428572</v>
      </c>
      <c r="N28" s="28">
        <f t="shared" si="3"/>
        <v>78.571428571428569</v>
      </c>
      <c r="O28" s="7">
        <v>0</v>
      </c>
      <c r="P28" s="7">
        <v>0</v>
      </c>
      <c r="Q28" s="7">
        <v>5</v>
      </c>
      <c r="R28" s="7">
        <v>1</v>
      </c>
      <c r="S28" s="3">
        <v>2</v>
      </c>
      <c r="T28" s="37">
        <f t="shared" si="0"/>
        <v>8</v>
      </c>
      <c r="U28" s="28">
        <f t="shared" si="4"/>
        <v>93.650793650793645</v>
      </c>
      <c r="V28" s="59">
        <f t="shared" si="5"/>
        <v>0</v>
      </c>
    </row>
    <row r="29" spans="1:22" ht="21.75" customHeight="1">
      <c r="A29" s="87"/>
      <c r="B29" s="7" t="s">
        <v>13</v>
      </c>
      <c r="C29" s="3">
        <v>4</v>
      </c>
      <c r="D29" s="3">
        <v>4</v>
      </c>
      <c r="E29" s="4">
        <f t="shared" si="1"/>
        <v>2.3571428571428572</v>
      </c>
      <c r="F29" s="3">
        <v>3</v>
      </c>
      <c r="G29" s="3">
        <v>0</v>
      </c>
      <c r="H29" s="3">
        <v>0</v>
      </c>
      <c r="I29" s="3">
        <v>1</v>
      </c>
      <c r="J29" s="3">
        <v>0</v>
      </c>
      <c r="K29" s="3">
        <v>0</v>
      </c>
      <c r="L29" s="3"/>
      <c r="M29" s="5">
        <f t="shared" si="2"/>
        <v>0.64285714285714279</v>
      </c>
      <c r="N29" s="28">
        <f t="shared" si="3"/>
        <v>58.928571428571431</v>
      </c>
      <c r="O29" s="7">
        <v>0</v>
      </c>
      <c r="P29" s="7">
        <v>1</v>
      </c>
      <c r="Q29" s="7">
        <v>3</v>
      </c>
      <c r="R29" s="7">
        <v>2</v>
      </c>
      <c r="S29" s="3">
        <v>2</v>
      </c>
      <c r="T29" s="37">
        <f t="shared" si="0"/>
        <v>8</v>
      </c>
      <c r="U29" s="28">
        <f t="shared" si="4"/>
        <v>70.238095238095241</v>
      </c>
      <c r="V29" s="59">
        <f t="shared" si="5"/>
        <v>0</v>
      </c>
    </row>
    <row r="30" spans="1:22" ht="21.75" customHeight="1">
      <c r="A30" s="87"/>
      <c r="B30" s="7" t="s">
        <v>14</v>
      </c>
      <c r="C30" s="3">
        <v>5</v>
      </c>
      <c r="D30" s="3">
        <v>5</v>
      </c>
      <c r="E30" s="4">
        <f t="shared" si="1"/>
        <v>2.9464285714285716</v>
      </c>
      <c r="F30" s="3">
        <v>2</v>
      </c>
      <c r="G30" s="3">
        <v>0</v>
      </c>
      <c r="H30" s="3">
        <v>0</v>
      </c>
      <c r="I30" s="3">
        <v>1</v>
      </c>
      <c r="J30" s="3">
        <v>0</v>
      </c>
      <c r="K30" s="3">
        <v>0</v>
      </c>
      <c r="L30" s="3"/>
      <c r="M30" s="5">
        <f t="shared" si="2"/>
        <v>-0.94642857142857162</v>
      </c>
      <c r="N30" s="28">
        <f t="shared" si="3"/>
        <v>98.214285714285708</v>
      </c>
      <c r="O30" s="7">
        <v>0</v>
      </c>
      <c r="P30" s="7">
        <v>0</v>
      </c>
      <c r="Q30" s="7">
        <v>5</v>
      </c>
      <c r="R30" s="7">
        <v>3</v>
      </c>
      <c r="S30" s="3">
        <v>2</v>
      </c>
      <c r="T30" s="37">
        <f t="shared" si="0"/>
        <v>10</v>
      </c>
      <c r="U30" s="28">
        <f t="shared" si="4"/>
        <v>117.46031746031747</v>
      </c>
      <c r="V30" s="59">
        <f t="shared" si="5"/>
        <v>0</v>
      </c>
    </row>
    <row r="31" spans="1:22" ht="21.75" customHeight="1">
      <c r="A31" s="87">
        <v>8</v>
      </c>
      <c r="B31" s="7" t="s">
        <v>12</v>
      </c>
      <c r="C31" s="3">
        <v>5</v>
      </c>
      <c r="D31" s="3">
        <v>5</v>
      </c>
      <c r="E31" s="4">
        <f t="shared" si="1"/>
        <v>2.9464285714285716</v>
      </c>
      <c r="F31" s="3">
        <v>3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  <c r="M31" s="5">
        <f t="shared" si="2"/>
        <v>5.3571428571428381E-2</v>
      </c>
      <c r="N31" s="28">
        <f t="shared" si="3"/>
        <v>98.214285714285708</v>
      </c>
      <c r="O31" s="7">
        <v>0</v>
      </c>
      <c r="P31" s="7">
        <v>0</v>
      </c>
      <c r="Q31" s="7">
        <v>5</v>
      </c>
      <c r="R31" s="7">
        <v>3</v>
      </c>
      <c r="S31" s="3">
        <v>2</v>
      </c>
      <c r="T31" s="37">
        <f t="shared" si="0"/>
        <v>10</v>
      </c>
      <c r="U31" s="28">
        <f t="shared" si="4"/>
        <v>117.46031746031747</v>
      </c>
      <c r="V31" s="59">
        <f t="shared" si="5"/>
        <v>0</v>
      </c>
    </row>
    <row r="32" spans="1:22" ht="21.75" customHeight="1">
      <c r="A32" s="87"/>
      <c r="B32" s="7" t="s">
        <v>13</v>
      </c>
      <c r="C32" s="3">
        <v>7</v>
      </c>
      <c r="D32" s="3">
        <v>5</v>
      </c>
      <c r="E32" s="4">
        <f t="shared" si="1"/>
        <v>3.2678571428571428</v>
      </c>
      <c r="F32" s="3">
        <v>4</v>
      </c>
      <c r="G32" s="3">
        <v>0</v>
      </c>
      <c r="H32" s="3">
        <v>1</v>
      </c>
      <c r="I32" s="3">
        <v>0</v>
      </c>
      <c r="J32" s="3">
        <v>0</v>
      </c>
      <c r="K32" s="3">
        <v>0</v>
      </c>
      <c r="L32" s="3">
        <v>0</v>
      </c>
      <c r="M32" s="5">
        <f t="shared" si="2"/>
        <v>1.7321428571428572</v>
      </c>
      <c r="N32" s="28">
        <f t="shared" si="3"/>
        <v>65.357142857142861</v>
      </c>
      <c r="O32" s="7">
        <v>0</v>
      </c>
      <c r="P32" s="7">
        <v>0</v>
      </c>
      <c r="Q32" s="7">
        <v>7</v>
      </c>
      <c r="R32" s="7">
        <v>3</v>
      </c>
      <c r="S32" s="3">
        <v>2</v>
      </c>
      <c r="T32" s="37">
        <f t="shared" si="0"/>
        <v>12</v>
      </c>
      <c r="U32" s="28">
        <f t="shared" si="4"/>
        <v>80.952380952380949</v>
      </c>
      <c r="V32" s="59">
        <f t="shared" si="5"/>
        <v>0</v>
      </c>
    </row>
    <row r="33" spans="1:22" ht="21.75" customHeight="1">
      <c r="A33" s="87"/>
      <c r="B33" s="7" t="s">
        <v>14</v>
      </c>
      <c r="C33" s="3">
        <v>7</v>
      </c>
      <c r="D33" s="3">
        <v>5</v>
      </c>
      <c r="E33" s="4">
        <f t="shared" si="1"/>
        <v>3.2678571428571428</v>
      </c>
      <c r="F33" s="3">
        <v>3</v>
      </c>
      <c r="G33" s="3">
        <v>0</v>
      </c>
      <c r="H33" s="3">
        <v>1</v>
      </c>
      <c r="I33" s="3">
        <v>0</v>
      </c>
      <c r="J33" s="3">
        <v>0</v>
      </c>
      <c r="K33" s="3">
        <v>0</v>
      </c>
      <c r="L33" s="3"/>
      <c r="M33" s="5">
        <f t="shared" si="2"/>
        <v>0.73214285714285721</v>
      </c>
      <c r="N33" s="28">
        <f t="shared" si="3"/>
        <v>81.696428571428569</v>
      </c>
      <c r="O33" s="7">
        <v>0</v>
      </c>
      <c r="P33" s="7">
        <v>0</v>
      </c>
      <c r="Q33" s="7">
        <v>7</v>
      </c>
      <c r="R33" s="7">
        <v>3</v>
      </c>
      <c r="S33" s="3">
        <v>2</v>
      </c>
      <c r="T33" s="37">
        <f t="shared" si="0"/>
        <v>12</v>
      </c>
      <c r="U33" s="28">
        <f t="shared" si="4"/>
        <v>101.19047619047619</v>
      </c>
      <c r="V33" s="59">
        <f t="shared" si="5"/>
        <v>0</v>
      </c>
    </row>
    <row r="34" spans="1:22" ht="21.75" customHeight="1">
      <c r="A34" s="87">
        <v>9</v>
      </c>
      <c r="B34" s="7" t="s">
        <v>12</v>
      </c>
      <c r="C34" s="3">
        <v>6</v>
      </c>
      <c r="D34" s="3">
        <v>5</v>
      </c>
      <c r="E34" s="4">
        <f t="shared" si="1"/>
        <v>3.1071428571428572</v>
      </c>
      <c r="F34" s="3">
        <v>3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  <c r="M34" s="5">
        <f t="shared" si="2"/>
        <v>-0.10714285714285721</v>
      </c>
      <c r="N34" s="28">
        <f t="shared" si="3"/>
        <v>103.57142857142858</v>
      </c>
      <c r="O34" s="7">
        <v>0</v>
      </c>
      <c r="P34" s="7">
        <v>0</v>
      </c>
      <c r="Q34" s="7">
        <v>7</v>
      </c>
      <c r="R34" s="7">
        <v>2</v>
      </c>
      <c r="S34" s="3">
        <v>2</v>
      </c>
      <c r="T34" s="37">
        <f t="shared" si="0"/>
        <v>11</v>
      </c>
      <c r="U34" s="28">
        <f t="shared" si="4"/>
        <v>123.015873015873</v>
      </c>
      <c r="V34" s="59">
        <f t="shared" si="5"/>
        <v>0</v>
      </c>
    </row>
    <row r="35" spans="1:22" ht="21.75" customHeight="1">
      <c r="A35" s="87"/>
      <c r="B35" s="7" t="s">
        <v>13</v>
      </c>
      <c r="C35" s="3">
        <v>6</v>
      </c>
      <c r="D35" s="3">
        <v>6</v>
      </c>
      <c r="E35" s="4">
        <f t="shared" si="1"/>
        <v>3.5357142857142856</v>
      </c>
      <c r="F35" s="3">
        <v>1</v>
      </c>
      <c r="G35" s="3">
        <v>0</v>
      </c>
      <c r="H35" s="3">
        <v>1</v>
      </c>
      <c r="I35" s="3">
        <v>2</v>
      </c>
      <c r="J35" s="3">
        <v>0</v>
      </c>
      <c r="K35" s="3">
        <v>0</v>
      </c>
      <c r="L35" s="3"/>
      <c r="M35" s="5">
        <f t="shared" si="2"/>
        <v>-1.5357142857142856</v>
      </c>
      <c r="N35" s="28">
        <f t="shared" si="3"/>
        <v>88.392857142857139</v>
      </c>
      <c r="O35" s="7">
        <v>0</v>
      </c>
      <c r="P35" s="7">
        <v>0</v>
      </c>
      <c r="Q35" s="7">
        <v>8</v>
      </c>
      <c r="R35" s="7">
        <v>1</v>
      </c>
      <c r="S35" s="3">
        <v>3</v>
      </c>
      <c r="T35" s="37">
        <f t="shared" si="0"/>
        <v>12</v>
      </c>
      <c r="U35" s="28">
        <f t="shared" si="4"/>
        <v>104.16666666666667</v>
      </c>
      <c r="V35" s="59">
        <f t="shared" si="5"/>
        <v>0</v>
      </c>
    </row>
    <row r="36" spans="1:22" ht="21.75" customHeight="1">
      <c r="A36" s="87"/>
      <c r="B36" s="7" t="s">
        <v>14</v>
      </c>
      <c r="C36" s="3">
        <v>7</v>
      </c>
      <c r="D36" s="3">
        <v>6</v>
      </c>
      <c r="E36" s="4">
        <f t="shared" si="1"/>
        <v>3.6964285714285716</v>
      </c>
      <c r="F36" s="3">
        <v>3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5">
        <f t="shared" si="2"/>
        <v>-0.69642857142857162</v>
      </c>
      <c r="N36" s="28">
        <f t="shared" si="3"/>
        <v>123.21428571428572</v>
      </c>
      <c r="O36" s="7">
        <v>0</v>
      </c>
      <c r="P36" s="7">
        <v>0</v>
      </c>
      <c r="Q36" s="7">
        <v>8</v>
      </c>
      <c r="R36" s="7">
        <v>2</v>
      </c>
      <c r="S36" s="3">
        <v>3</v>
      </c>
      <c r="T36" s="37">
        <f t="shared" si="0"/>
        <v>13</v>
      </c>
      <c r="U36" s="28">
        <f t="shared" si="4"/>
        <v>150.79365079365078</v>
      </c>
      <c r="V36" s="59">
        <f t="shared" si="5"/>
        <v>0</v>
      </c>
    </row>
    <row r="37" spans="1:22" ht="21.75" customHeight="1">
      <c r="A37" s="87">
        <v>10</v>
      </c>
      <c r="B37" s="7" t="s">
        <v>12</v>
      </c>
      <c r="C37" s="3">
        <v>7</v>
      </c>
      <c r="D37" s="3">
        <v>6</v>
      </c>
      <c r="E37" s="4">
        <f t="shared" si="1"/>
        <v>3.6964285714285716</v>
      </c>
      <c r="F37" s="3">
        <v>3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/>
      <c r="M37" s="5">
        <f t="shared" si="2"/>
        <v>-0.69642857142857162</v>
      </c>
      <c r="N37" s="28">
        <f t="shared" si="3"/>
        <v>123.21428571428572</v>
      </c>
      <c r="O37" s="7">
        <v>0</v>
      </c>
      <c r="P37" s="7">
        <v>0</v>
      </c>
      <c r="Q37" s="7">
        <v>8</v>
      </c>
      <c r="R37" s="7">
        <v>2</v>
      </c>
      <c r="S37" s="3">
        <v>3</v>
      </c>
      <c r="T37" s="37">
        <f t="shared" si="0"/>
        <v>13</v>
      </c>
      <c r="U37" s="28">
        <f t="shared" si="4"/>
        <v>150.79365079365078</v>
      </c>
      <c r="V37" s="59">
        <f t="shared" si="5"/>
        <v>0</v>
      </c>
    </row>
    <row r="38" spans="1:22" ht="21.75" customHeight="1">
      <c r="A38" s="87"/>
      <c r="B38" s="7" t="s">
        <v>13</v>
      </c>
      <c r="C38" s="3">
        <v>9</v>
      </c>
      <c r="D38" s="3">
        <v>6</v>
      </c>
      <c r="E38" s="4">
        <f t="shared" si="1"/>
        <v>4.0178571428571432</v>
      </c>
      <c r="F38" s="3">
        <v>3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/>
      <c r="M38" s="5">
        <f t="shared" si="2"/>
        <v>-1.0178571428571432</v>
      </c>
      <c r="N38" s="28">
        <f t="shared" si="3"/>
        <v>133.92857142857142</v>
      </c>
      <c r="O38" s="7">
        <v>0</v>
      </c>
      <c r="P38" s="7">
        <v>0</v>
      </c>
      <c r="Q38" s="7">
        <v>10</v>
      </c>
      <c r="R38" s="7">
        <v>2</v>
      </c>
      <c r="S38" s="3">
        <v>3</v>
      </c>
      <c r="T38" s="37">
        <f t="shared" si="0"/>
        <v>15</v>
      </c>
      <c r="U38" s="28">
        <f t="shared" si="4"/>
        <v>168.25396825396825</v>
      </c>
      <c r="V38" s="59">
        <f t="shared" si="5"/>
        <v>0</v>
      </c>
    </row>
    <row r="39" spans="1:22" ht="21.75" customHeight="1">
      <c r="A39" s="87"/>
      <c r="B39" s="7" t="s">
        <v>14</v>
      </c>
      <c r="C39" s="3">
        <v>9</v>
      </c>
      <c r="D39" s="3">
        <v>6</v>
      </c>
      <c r="E39" s="4">
        <f t="shared" si="1"/>
        <v>4.0178571428571432</v>
      </c>
      <c r="F39" s="3">
        <v>2</v>
      </c>
      <c r="G39" s="3">
        <v>0</v>
      </c>
      <c r="H39" s="3">
        <v>0</v>
      </c>
      <c r="I39" s="3">
        <v>1</v>
      </c>
      <c r="J39" s="3">
        <v>0</v>
      </c>
      <c r="K39" s="3">
        <v>1</v>
      </c>
      <c r="L39" s="3"/>
      <c r="M39" s="5">
        <f t="shared" si="2"/>
        <v>-2.0178571428571432</v>
      </c>
      <c r="N39" s="28">
        <f t="shared" si="3"/>
        <v>100.44642857142858</v>
      </c>
      <c r="O39" s="7">
        <v>0</v>
      </c>
      <c r="P39" s="7">
        <v>0</v>
      </c>
      <c r="Q39" s="7">
        <v>10</v>
      </c>
      <c r="R39" s="7">
        <v>3</v>
      </c>
      <c r="S39" s="3">
        <v>2</v>
      </c>
      <c r="T39" s="37">
        <f t="shared" si="0"/>
        <v>15</v>
      </c>
      <c r="U39" s="28">
        <f t="shared" si="4"/>
        <v>120.83333333333334</v>
      </c>
      <c r="V39" s="59">
        <f t="shared" si="5"/>
        <v>0</v>
      </c>
    </row>
    <row r="40" spans="1:22" ht="21.75" customHeight="1">
      <c r="A40" s="87">
        <v>11</v>
      </c>
      <c r="B40" s="7" t="s">
        <v>12</v>
      </c>
      <c r="C40" s="3">
        <v>8</v>
      </c>
      <c r="D40" s="3">
        <v>6</v>
      </c>
      <c r="E40" s="4">
        <f t="shared" si="1"/>
        <v>3.8571428571428572</v>
      </c>
      <c r="F40" s="3">
        <v>3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/>
      <c r="M40" s="5">
        <f t="shared" si="2"/>
        <v>-0.85714285714285721</v>
      </c>
      <c r="N40" s="28">
        <f t="shared" si="3"/>
        <v>128.57142857142858</v>
      </c>
      <c r="O40" s="7">
        <v>0</v>
      </c>
      <c r="P40" s="7">
        <v>0</v>
      </c>
      <c r="Q40" s="7">
        <v>10</v>
      </c>
      <c r="R40" s="7">
        <v>2</v>
      </c>
      <c r="S40" s="3">
        <v>2</v>
      </c>
      <c r="T40" s="37">
        <f t="shared" si="0"/>
        <v>14</v>
      </c>
      <c r="U40" s="28">
        <f t="shared" si="4"/>
        <v>149.20634920634922</v>
      </c>
      <c r="V40" s="59">
        <f t="shared" si="5"/>
        <v>0</v>
      </c>
    </row>
    <row r="41" spans="1:22" ht="21.75" customHeight="1">
      <c r="A41" s="87"/>
      <c r="B41" s="7" t="s">
        <v>13</v>
      </c>
      <c r="C41" s="3">
        <v>8</v>
      </c>
      <c r="D41" s="3">
        <v>6</v>
      </c>
      <c r="E41" s="4">
        <f t="shared" si="1"/>
        <v>3.8571428571428572</v>
      </c>
      <c r="F41" s="3">
        <v>3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/>
      <c r="M41" s="5">
        <f>(F42+G42+H42+L42)-E42</f>
        <v>-0.85714285714285721</v>
      </c>
      <c r="N41" s="28">
        <f>(((C41*4.5)+(12*D41))*$E$4)/((F41+G41+H41+I41+J41+K41+L41)*7)*100</f>
        <v>128.57142857142858</v>
      </c>
      <c r="O41" s="7">
        <v>0</v>
      </c>
      <c r="P41" s="7">
        <v>1</v>
      </c>
      <c r="Q41" s="7">
        <v>9</v>
      </c>
      <c r="R41" s="7">
        <v>2</v>
      </c>
      <c r="S41" s="3">
        <v>2</v>
      </c>
      <c r="T41" s="37">
        <f t="shared" si="0"/>
        <v>14</v>
      </c>
      <c r="U41" s="28">
        <f>((((O41*1.5+(P41*3.5)+(Q41*5.5)+(R41*7.5)+(S41*12)))/3)/((F41+G41+H41+I41+J41+K41+L41)*7))*100</f>
        <v>146.03174603174605</v>
      </c>
      <c r="V41" s="59">
        <f t="shared" si="5"/>
        <v>0</v>
      </c>
    </row>
    <row r="42" spans="1:22" ht="21.75" customHeight="1">
      <c r="A42" s="87"/>
      <c r="B42" s="7" t="s">
        <v>14</v>
      </c>
      <c r="C42" s="3">
        <v>8</v>
      </c>
      <c r="D42" s="3">
        <v>6</v>
      </c>
      <c r="E42" s="4">
        <f t="shared" si="1"/>
        <v>3.8571428571428572</v>
      </c>
      <c r="F42" s="3">
        <v>3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  <c r="M42" s="5">
        <f>(F41+G41+H41+L41)-E41</f>
        <v>-0.85714285714285721</v>
      </c>
      <c r="N42" s="28">
        <f>(((C42*4.5)+(12*D42))*$E$4)/((F42+G42+H42+I42+J42+K42+L42)*7)*100</f>
        <v>128.57142857142858</v>
      </c>
      <c r="O42" s="7">
        <v>0</v>
      </c>
      <c r="P42" s="7">
        <v>0</v>
      </c>
      <c r="Q42" s="7">
        <v>9</v>
      </c>
      <c r="R42" s="7">
        <v>2</v>
      </c>
      <c r="S42" s="3">
        <v>2</v>
      </c>
      <c r="T42" s="37">
        <f t="shared" si="0"/>
        <v>13</v>
      </c>
      <c r="U42" s="28">
        <f>((((O21*1.5+(P21*3.5)+(Q42*5.5)+(R42*7.5)+(S42*12)))/3)/((F42+G42+H42+I42+J42+K42+L42)*7))*100</f>
        <v>140.47619047619045</v>
      </c>
      <c r="V42" s="59">
        <f t="shared" si="5"/>
        <v>1</v>
      </c>
    </row>
    <row r="43" spans="1:22" ht="21.75" customHeight="1">
      <c r="A43" s="87">
        <v>12</v>
      </c>
      <c r="B43" s="7" t="s">
        <v>12</v>
      </c>
      <c r="C43" s="3">
        <v>8</v>
      </c>
      <c r="D43" s="3">
        <v>6</v>
      </c>
      <c r="E43" s="4">
        <f t="shared" si="1"/>
        <v>3.8571428571428572</v>
      </c>
      <c r="F43" s="3">
        <v>3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  <c r="M43" s="5">
        <f>(F42+G43+H43+L43)-E43</f>
        <v>-0.85714285714285721</v>
      </c>
      <c r="N43" s="28">
        <f>(((C43*4.5)+(12*D43))*$E$4)/((F42+G43+H43+I43+J43+K43+L43)*7)*100</f>
        <v>128.57142857142858</v>
      </c>
      <c r="O43" s="7">
        <v>0</v>
      </c>
      <c r="P43" s="7">
        <v>0</v>
      </c>
      <c r="Q43" s="7">
        <v>10</v>
      </c>
      <c r="R43" s="7">
        <v>1</v>
      </c>
      <c r="S43" s="3">
        <v>3</v>
      </c>
      <c r="T43" s="37">
        <f t="shared" si="0"/>
        <v>14</v>
      </c>
      <c r="U43" s="28">
        <f>((((O43*1.5+(P43*3.5)+(Q43*5.5)+(R43*7.5)+(S43*12)))/3)/((F42+G43+H43+I43+J43+K43+L43)*7))*100</f>
        <v>156.34920634920638</v>
      </c>
      <c r="V43" s="59">
        <f t="shared" si="5"/>
        <v>0</v>
      </c>
    </row>
    <row r="44" spans="1:22" ht="21.75" customHeight="1">
      <c r="A44" s="87"/>
      <c r="B44" s="7" t="s">
        <v>13</v>
      </c>
      <c r="C44" s="3">
        <v>8</v>
      </c>
      <c r="D44" s="3">
        <v>6</v>
      </c>
      <c r="E44" s="4">
        <f t="shared" si="1"/>
        <v>3.8571428571428572</v>
      </c>
      <c r="F44" s="3">
        <v>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  <c r="M44" s="5">
        <f t="shared" si="2"/>
        <v>0.14285714285714279</v>
      </c>
      <c r="N44" s="28">
        <f t="shared" si="3"/>
        <v>96.428571428571431</v>
      </c>
      <c r="O44" s="7">
        <v>0</v>
      </c>
      <c r="P44" s="7">
        <v>3</v>
      </c>
      <c r="Q44" s="7">
        <v>5</v>
      </c>
      <c r="R44" s="7">
        <v>1</v>
      </c>
      <c r="S44" s="3">
        <v>3</v>
      </c>
      <c r="T44" s="37">
        <f t="shared" si="0"/>
        <v>12</v>
      </c>
      <c r="U44" s="28">
        <f t="shared" si="4"/>
        <v>97.023809523809518</v>
      </c>
      <c r="V44" s="59">
        <f t="shared" si="5"/>
        <v>2</v>
      </c>
    </row>
    <row r="45" spans="1:22" ht="21.75" customHeight="1">
      <c r="A45" s="87"/>
      <c r="B45" s="7" t="s">
        <v>14</v>
      </c>
      <c r="C45" s="3">
        <v>6</v>
      </c>
      <c r="D45" s="3">
        <v>5</v>
      </c>
      <c r="E45" s="4">
        <f t="shared" si="1"/>
        <v>3.1071428571428572</v>
      </c>
      <c r="F45" s="3">
        <v>3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/>
      <c r="M45" s="5">
        <f t="shared" si="2"/>
        <v>-0.10714285714285721</v>
      </c>
      <c r="N45" s="28">
        <f t="shared" si="3"/>
        <v>103.57142857142858</v>
      </c>
      <c r="O45" s="7">
        <v>0</v>
      </c>
      <c r="P45" s="7">
        <v>0</v>
      </c>
      <c r="Q45" s="7">
        <v>7</v>
      </c>
      <c r="R45" s="7">
        <v>2</v>
      </c>
      <c r="S45" s="3">
        <v>2</v>
      </c>
      <c r="T45" s="37">
        <f t="shared" si="0"/>
        <v>11</v>
      </c>
      <c r="U45" s="28">
        <f t="shared" si="4"/>
        <v>123.015873015873</v>
      </c>
      <c r="V45" s="59">
        <f t="shared" si="5"/>
        <v>0</v>
      </c>
    </row>
    <row r="46" spans="1:22" ht="21.75" customHeight="1">
      <c r="A46" s="87">
        <v>13</v>
      </c>
      <c r="B46" s="7" t="s">
        <v>12</v>
      </c>
      <c r="C46" s="3">
        <v>6</v>
      </c>
      <c r="D46" s="3">
        <v>5</v>
      </c>
      <c r="E46" s="4">
        <f t="shared" si="1"/>
        <v>3.1071428571428572</v>
      </c>
      <c r="F46" s="3">
        <v>2</v>
      </c>
      <c r="G46" s="3">
        <v>0</v>
      </c>
      <c r="H46" s="3">
        <v>0</v>
      </c>
      <c r="I46" s="3">
        <v>1</v>
      </c>
      <c r="J46" s="3">
        <v>0</v>
      </c>
      <c r="K46" s="3">
        <v>0</v>
      </c>
      <c r="L46" s="3"/>
      <c r="M46" s="5">
        <f t="shared" si="2"/>
        <v>-1.1071428571428572</v>
      </c>
      <c r="N46" s="28">
        <f t="shared" si="3"/>
        <v>103.57142857142858</v>
      </c>
      <c r="O46" s="7">
        <v>0</v>
      </c>
      <c r="P46" s="7">
        <v>0</v>
      </c>
      <c r="Q46" s="7">
        <v>8</v>
      </c>
      <c r="R46" s="7">
        <v>1</v>
      </c>
      <c r="S46" s="3">
        <v>2</v>
      </c>
      <c r="T46" s="37">
        <f t="shared" si="0"/>
        <v>11</v>
      </c>
      <c r="U46" s="28">
        <f t="shared" si="4"/>
        <v>119.84126984126983</v>
      </c>
      <c r="V46" s="59">
        <f t="shared" si="5"/>
        <v>0</v>
      </c>
    </row>
    <row r="47" spans="1:22" ht="21.75" customHeight="1">
      <c r="A47" s="87"/>
      <c r="B47" s="7" t="s">
        <v>13</v>
      </c>
      <c r="C47" s="3">
        <v>7</v>
      </c>
      <c r="D47" s="3">
        <v>4</v>
      </c>
      <c r="E47" s="4">
        <f t="shared" si="1"/>
        <v>2.8392857142857144</v>
      </c>
      <c r="F47" s="3">
        <v>2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  <c r="M47" s="5">
        <f t="shared" si="2"/>
        <v>-0.83928571428571441</v>
      </c>
      <c r="N47" s="28">
        <f t="shared" si="3"/>
        <v>141.96428571428572</v>
      </c>
      <c r="O47" s="7">
        <v>0</v>
      </c>
      <c r="P47" s="7">
        <v>0</v>
      </c>
      <c r="Q47" s="7">
        <v>8</v>
      </c>
      <c r="R47" s="7">
        <v>1</v>
      </c>
      <c r="S47" s="3">
        <v>2</v>
      </c>
      <c r="T47" s="37">
        <f t="shared" si="0"/>
        <v>11</v>
      </c>
      <c r="U47" s="28">
        <f t="shared" si="4"/>
        <v>179.76190476190476</v>
      </c>
      <c r="V47" s="59">
        <f t="shared" si="5"/>
        <v>0</v>
      </c>
    </row>
    <row r="48" spans="1:22" ht="21.75" customHeight="1">
      <c r="A48" s="87"/>
      <c r="B48" s="7" t="s">
        <v>14</v>
      </c>
      <c r="C48" s="3">
        <v>9</v>
      </c>
      <c r="D48" s="3">
        <v>4</v>
      </c>
      <c r="E48" s="4">
        <f t="shared" si="1"/>
        <v>3.1607142857142856</v>
      </c>
      <c r="F48" s="3">
        <v>3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  <c r="M48" s="5">
        <f t="shared" si="2"/>
        <v>-0.16071428571428559</v>
      </c>
      <c r="N48" s="28">
        <f t="shared" si="3"/>
        <v>105.35714285714286</v>
      </c>
      <c r="O48" s="7">
        <v>0</v>
      </c>
      <c r="P48" s="7">
        <v>0</v>
      </c>
      <c r="Q48" s="7">
        <v>11</v>
      </c>
      <c r="R48" s="7">
        <v>1</v>
      </c>
      <c r="S48" s="3">
        <v>1</v>
      </c>
      <c r="T48" s="37">
        <f t="shared" si="0"/>
        <v>13</v>
      </c>
      <c r="U48" s="28">
        <f t="shared" si="4"/>
        <v>126.984126984127</v>
      </c>
      <c r="V48" s="59">
        <f t="shared" si="5"/>
        <v>0</v>
      </c>
    </row>
    <row r="49" spans="1:22" ht="21.75" customHeight="1">
      <c r="A49" s="87">
        <v>14</v>
      </c>
      <c r="B49" s="7" t="s">
        <v>12</v>
      </c>
      <c r="C49" s="3">
        <v>9</v>
      </c>
      <c r="D49" s="3">
        <v>4</v>
      </c>
      <c r="E49" s="4">
        <f t="shared" si="1"/>
        <v>3.1607142857142856</v>
      </c>
      <c r="F49" s="3">
        <v>3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  <c r="M49" s="5">
        <f t="shared" si="2"/>
        <v>-0.16071428571428559</v>
      </c>
      <c r="N49" s="28">
        <f t="shared" si="3"/>
        <v>105.35714285714286</v>
      </c>
      <c r="O49" s="7">
        <v>0</v>
      </c>
      <c r="P49" s="7">
        <v>0</v>
      </c>
      <c r="Q49" s="7">
        <v>11</v>
      </c>
      <c r="R49" s="7">
        <v>1</v>
      </c>
      <c r="S49" s="3">
        <v>1</v>
      </c>
      <c r="T49" s="37">
        <f t="shared" si="0"/>
        <v>13</v>
      </c>
      <c r="U49" s="28">
        <f t="shared" si="4"/>
        <v>126.984126984127</v>
      </c>
      <c r="V49" s="59">
        <f t="shared" si="5"/>
        <v>0</v>
      </c>
    </row>
    <row r="50" spans="1:22" ht="21.75" customHeight="1">
      <c r="A50" s="87"/>
      <c r="B50" s="7" t="s">
        <v>13</v>
      </c>
      <c r="C50" s="3">
        <v>9</v>
      </c>
      <c r="D50" s="3">
        <v>4</v>
      </c>
      <c r="E50" s="4">
        <f t="shared" si="1"/>
        <v>3.1607142857142856</v>
      </c>
      <c r="F50" s="3">
        <v>2</v>
      </c>
      <c r="G50" s="3">
        <v>0</v>
      </c>
      <c r="H50" s="3">
        <v>0</v>
      </c>
      <c r="I50" s="3">
        <v>1</v>
      </c>
      <c r="J50" s="3">
        <v>0</v>
      </c>
      <c r="K50" s="3">
        <v>1</v>
      </c>
      <c r="L50" s="3"/>
      <c r="M50" s="5">
        <f t="shared" si="2"/>
        <v>-1.1607142857142856</v>
      </c>
      <c r="N50" s="28">
        <f t="shared" si="3"/>
        <v>79.017857142857139</v>
      </c>
      <c r="O50" s="7">
        <v>0</v>
      </c>
      <c r="P50" s="7">
        <v>2</v>
      </c>
      <c r="Q50" s="7">
        <v>9</v>
      </c>
      <c r="R50" s="7">
        <v>1</v>
      </c>
      <c r="S50" s="3">
        <v>1</v>
      </c>
      <c r="T50" s="37">
        <f t="shared" si="0"/>
        <v>13</v>
      </c>
      <c r="U50" s="28">
        <f t="shared" si="4"/>
        <v>90.476190476190482</v>
      </c>
      <c r="V50" s="59">
        <f t="shared" si="5"/>
        <v>0</v>
      </c>
    </row>
    <row r="51" spans="1:22" ht="21.75" customHeight="1">
      <c r="A51" s="87"/>
      <c r="B51" s="7" t="s">
        <v>14</v>
      </c>
      <c r="C51" s="3">
        <v>8</v>
      </c>
      <c r="D51" s="3">
        <v>4</v>
      </c>
      <c r="E51" s="4">
        <f t="shared" si="1"/>
        <v>3</v>
      </c>
      <c r="F51" s="3">
        <v>3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  <c r="M51" s="5">
        <f t="shared" si="2"/>
        <v>0</v>
      </c>
      <c r="N51" s="28">
        <f t="shared" si="3"/>
        <v>100</v>
      </c>
      <c r="O51" s="7">
        <v>0</v>
      </c>
      <c r="P51" s="7">
        <v>0</v>
      </c>
      <c r="Q51" s="7">
        <v>10</v>
      </c>
      <c r="R51" s="7">
        <v>1</v>
      </c>
      <c r="S51" s="3">
        <v>1</v>
      </c>
      <c r="T51" s="37">
        <f t="shared" si="0"/>
        <v>12</v>
      </c>
      <c r="U51" s="28">
        <f t="shared" si="4"/>
        <v>118.25396825396825</v>
      </c>
      <c r="V51" s="59">
        <f t="shared" si="5"/>
        <v>0</v>
      </c>
    </row>
    <row r="52" spans="1:22" ht="21.75" customHeight="1">
      <c r="A52" s="87">
        <v>15</v>
      </c>
      <c r="B52" s="7" t="s">
        <v>12</v>
      </c>
      <c r="C52" s="3">
        <v>8</v>
      </c>
      <c r="D52" s="3">
        <v>3</v>
      </c>
      <c r="E52" s="4">
        <f t="shared" si="1"/>
        <v>2.5714285714285716</v>
      </c>
      <c r="F52" s="3">
        <v>3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  <c r="M52" s="5">
        <f t="shared" si="2"/>
        <v>0.42857142857142838</v>
      </c>
      <c r="N52" s="28">
        <f t="shared" si="3"/>
        <v>85.714285714285708</v>
      </c>
      <c r="O52" s="7">
        <v>0</v>
      </c>
      <c r="P52" s="7">
        <v>0</v>
      </c>
      <c r="Q52" s="7">
        <v>10</v>
      </c>
      <c r="R52" s="7">
        <v>1</v>
      </c>
      <c r="S52" s="3">
        <v>1</v>
      </c>
      <c r="T52" s="37">
        <f t="shared" si="0"/>
        <v>12</v>
      </c>
      <c r="U52" s="28">
        <f t="shared" si="4"/>
        <v>118.25396825396825</v>
      </c>
      <c r="V52" s="59">
        <f t="shared" si="5"/>
        <v>-1</v>
      </c>
    </row>
    <row r="53" spans="1:22" ht="21.75" customHeight="1">
      <c r="A53" s="87"/>
      <c r="B53" s="7" t="s">
        <v>13</v>
      </c>
      <c r="C53" s="3">
        <v>9</v>
      </c>
      <c r="D53" s="3">
        <v>3</v>
      </c>
      <c r="E53" s="4">
        <f t="shared" si="1"/>
        <v>2.7321428571428572</v>
      </c>
      <c r="F53" s="3">
        <v>2</v>
      </c>
      <c r="G53" s="3">
        <v>0</v>
      </c>
      <c r="H53" s="3">
        <v>0</v>
      </c>
      <c r="I53" s="3">
        <v>1</v>
      </c>
      <c r="J53" s="3">
        <v>0</v>
      </c>
      <c r="K53" s="3">
        <v>0</v>
      </c>
      <c r="L53" s="3"/>
      <c r="M53" s="5">
        <f t="shared" si="2"/>
        <v>-0.73214285714285721</v>
      </c>
      <c r="N53" s="28">
        <f t="shared" si="3"/>
        <v>91.071428571428569</v>
      </c>
      <c r="O53" s="7">
        <v>0</v>
      </c>
      <c r="P53" s="7">
        <v>4</v>
      </c>
      <c r="Q53" s="7">
        <v>6</v>
      </c>
      <c r="R53" s="7">
        <v>1</v>
      </c>
      <c r="S53" s="3">
        <v>1</v>
      </c>
      <c r="T53" s="37">
        <f t="shared" si="0"/>
        <v>12</v>
      </c>
      <c r="U53" s="28">
        <f t="shared" si="4"/>
        <v>105.55555555555556</v>
      </c>
      <c r="V53" s="59">
        <f t="shared" si="5"/>
        <v>0</v>
      </c>
    </row>
    <row r="54" spans="1:22" ht="21.75" customHeight="1">
      <c r="A54" s="87"/>
      <c r="B54" s="7" t="s">
        <v>14</v>
      </c>
      <c r="C54" s="3">
        <v>6</v>
      </c>
      <c r="D54" s="3">
        <v>3</v>
      </c>
      <c r="E54" s="4">
        <f t="shared" si="1"/>
        <v>2.25</v>
      </c>
      <c r="F54" s="3">
        <v>3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/>
      <c r="M54" s="5">
        <f t="shared" si="2"/>
        <v>0.75</v>
      </c>
      <c r="N54" s="28">
        <f t="shared" si="3"/>
        <v>75</v>
      </c>
      <c r="O54" s="7">
        <v>0</v>
      </c>
      <c r="P54" s="7">
        <v>0</v>
      </c>
      <c r="Q54" s="7">
        <v>6</v>
      </c>
      <c r="R54" s="7">
        <v>1</v>
      </c>
      <c r="S54" s="3">
        <v>2</v>
      </c>
      <c r="T54" s="37">
        <f t="shared" si="0"/>
        <v>9</v>
      </c>
      <c r="U54" s="28">
        <f t="shared" si="4"/>
        <v>102.38095238095238</v>
      </c>
      <c r="V54" s="59">
        <f t="shared" si="5"/>
        <v>0</v>
      </c>
    </row>
    <row r="55" spans="1:22" ht="21.75" customHeight="1">
      <c r="A55" s="87">
        <v>16</v>
      </c>
      <c r="B55" s="7" t="s">
        <v>12</v>
      </c>
      <c r="C55" s="3">
        <v>6</v>
      </c>
      <c r="D55" s="3">
        <v>3</v>
      </c>
      <c r="E55" s="4">
        <f t="shared" si="1"/>
        <v>2.25</v>
      </c>
      <c r="F55" s="3">
        <v>3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/>
      <c r="M55" s="5">
        <f t="shared" si="2"/>
        <v>0.75</v>
      </c>
      <c r="N55" s="28">
        <f t="shared" si="3"/>
        <v>75</v>
      </c>
      <c r="O55" s="7">
        <v>0</v>
      </c>
      <c r="P55" s="7">
        <v>0</v>
      </c>
      <c r="Q55" s="7">
        <v>7</v>
      </c>
      <c r="R55" s="7">
        <v>0</v>
      </c>
      <c r="S55" s="3">
        <v>2</v>
      </c>
      <c r="T55" s="37">
        <f t="shared" si="0"/>
        <v>9</v>
      </c>
      <c r="U55" s="28">
        <f t="shared" si="4"/>
        <v>99.206349206349202</v>
      </c>
      <c r="V55" s="59">
        <f t="shared" si="5"/>
        <v>0</v>
      </c>
    </row>
    <row r="56" spans="1:22" ht="21.75" customHeight="1">
      <c r="A56" s="87"/>
      <c r="B56" s="7" t="s">
        <v>13</v>
      </c>
      <c r="C56" s="3">
        <v>6</v>
      </c>
      <c r="D56" s="3">
        <v>3</v>
      </c>
      <c r="E56" s="4">
        <f t="shared" si="1"/>
        <v>2.25</v>
      </c>
      <c r="F56" s="3">
        <v>2</v>
      </c>
      <c r="G56" s="3">
        <v>0</v>
      </c>
      <c r="H56" s="3">
        <v>0</v>
      </c>
      <c r="I56" s="3">
        <v>1</v>
      </c>
      <c r="J56" s="3">
        <v>0</v>
      </c>
      <c r="K56" s="3">
        <v>1</v>
      </c>
      <c r="L56" s="3"/>
      <c r="M56" s="5">
        <f t="shared" si="2"/>
        <v>-0.25</v>
      </c>
      <c r="N56" s="28">
        <f t="shared" si="3"/>
        <v>56.25</v>
      </c>
      <c r="O56" s="7">
        <v>0</v>
      </c>
      <c r="P56" s="7">
        <v>0</v>
      </c>
      <c r="Q56" s="7">
        <v>7</v>
      </c>
      <c r="R56" s="7">
        <v>0</v>
      </c>
      <c r="S56" s="3">
        <v>2</v>
      </c>
      <c r="T56" s="37">
        <f t="shared" si="0"/>
        <v>9</v>
      </c>
      <c r="U56" s="28">
        <f t="shared" si="4"/>
        <v>74.404761904761898</v>
      </c>
      <c r="V56" s="59">
        <f t="shared" si="5"/>
        <v>0</v>
      </c>
    </row>
    <row r="57" spans="1:22" ht="21.75" customHeight="1">
      <c r="A57" s="87"/>
      <c r="B57" s="7" t="s">
        <v>14</v>
      </c>
      <c r="C57" s="3">
        <v>8</v>
      </c>
      <c r="D57" s="3">
        <v>3</v>
      </c>
      <c r="E57" s="4">
        <f t="shared" si="1"/>
        <v>2.5714285714285716</v>
      </c>
      <c r="F57" s="3">
        <v>3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  <c r="M57" s="5">
        <f t="shared" si="2"/>
        <v>0.42857142857142838</v>
      </c>
      <c r="N57" s="28">
        <f t="shared" si="3"/>
        <v>85.714285714285708</v>
      </c>
      <c r="O57" s="7">
        <v>0</v>
      </c>
      <c r="P57" s="7">
        <v>0</v>
      </c>
      <c r="Q57" s="7">
        <v>9</v>
      </c>
      <c r="R57" s="7">
        <v>0</v>
      </c>
      <c r="S57" s="3">
        <v>2</v>
      </c>
      <c r="T57" s="37">
        <f t="shared" si="0"/>
        <v>11</v>
      </c>
      <c r="U57" s="28">
        <f t="shared" si="4"/>
        <v>116.66666666666667</v>
      </c>
      <c r="V57" s="59">
        <f t="shared" si="5"/>
        <v>0</v>
      </c>
    </row>
    <row r="58" spans="1:22" ht="21.75" customHeight="1">
      <c r="A58" s="87">
        <v>17</v>
      </c>
      <c r="B58" s="7" t="s">
        <v>12</v>
      </c>
      <c r="C58" s="3">
        <v>9</v>
      </c>
      <c r="D58" s="3">
        <v>3</v>
      </c>
      <c r="E58" s="4">
        <f t="shared" si="1"/>
        <v>2.7321428571428572</v>
      </c>
      <c r="F58" s="3">
        <v>3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  <c r="M58" s="5">
        <f t="shared" si="2"/>
        <v>0.26785714285714279</v>
      </c>
      <c r="N58" s="28">
        <f t="shared" si="3"/>
        <v>91.071428571428569</v>
      </c>
      <c r="O58" s="7">
        <v>0</v>
      </c>
      <c r="P58" s="7">
        <v>0</v>
      </c>
      <c r="Q58" s="7">
        <v>9</v>
      </c>
      <c r="R58" s="7">
        <v>1</v>
      </c>
      <c r="S58" s="3">
        <v>2</v>
      </c>
      <c r="T58" s="37">
        <f t="shared" si="0"/>
        <v>12</v>
      </c>
      <c r="U58" s="28">
        <f t="shared" si="4"/>
        <v>128.57142857142858</v>
      </c>
      <c r="V58" s="59">
        <f t="shared" si="5"/>
        <v>0</v>
      </c>
    </row>
    <row r="59" spans="1:22" ht="21.75" customHeight="1">
      <c r="A59" s="87"/>
      <c r="B59" s="7" t="s">
        <v>13</v>
      </c>
      <c r="C59" s="3">
        <v>8</v>
      </c>
      <c r="D59" s="3">
        <v>3</v>
      </c>
      <c r="E59" s="4">
        <f t="shared" si="1"/>
        <v>2.5714285714285716</v>
      </c>
      <c r="F59" s="3">
        <v>2</v>
      </c>
      <c r="G59" s="3">
        <v>0</v>
      </c>
      <c r="H59" s="3">
        <v>0</v>
      </c>
      <c r="I59" s="3">
        <v>1</v>
      </c>
      <c r="J59" s="3">
        <v>0</v>
      </c>
      <c r="K59" s="3">
        <v>0</v>
      </c>
      <c r="L59" s="3"/>
      <c r="M59" s="5">
        <f t="shared" si="2"/>
        <v>-0.57142857142857162</v>
      </c>
      <c r="N59" s="28">
        <f t="shared" si="3"/>
        <v>85.714285714285708</v>
      </c>
      <c r="O59" s="7">
        <v>0</v>
      </c>
      <c r="P59" s="7">
        <v>2</v>
      </c>
      <c r="Q59" s="7">
        <v>6</v>
      </c>
      <c r="R59" s="7">
        <v>1</v>
      </c>
      <c r="S59" s="3">
        <v>2</v>
      </c>
      <c r="T59" s="37">
        <f t="shared" si="0"/>
        <v>11</v>
      </c>
      <c r="U59" s="28">
        <f t="shared" si="4"/>
        <v>113.49206349206349</v>
      </c>
      <c r="V59" s="59">
        <f t="shared" si="5"/>
        <v>0</v>
      </c>
    </row>
    <row r="60" spans="1:22" ht="21.75" customHeight="1">
      <c r="A60" s="87"/>
      <c r="B60" s="7" t="s">
        <v>14</v>
      </c>
      <c r="C60" s="3">
        <v>7</v>
      </c>
      <c r="D60" s="3">
        <v>4</v>
      </c>
      <c r="E60" s="4">
        <f t="shared" si="1"/>
        <v>2.8392857142857144</v>
      </c>
      <c r="F60" s="3">
        <v>3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/>
      <c r="M60" s="5">
        <f t="shared" si="2"/>
        <v>0.16071428571428559</v>
      </c>
      <c r="N60" s="28">
        <f t="shared" si="3"/>
        <v>94.642857142857139</v>
      </c>
      <c r="O60" s="7">
        <v>0</v>
      </c>
      <c r="P60" s="7">
        <v>0</v>
      </c>
      <c r="Q60" s="7">
        <v>7</v>
      </c>
      <c r="R60" s="7">
        <v>1</v>
      </c>
      <c r="S60" s="3">
        <v>3</v>
      </c>
      <c r="T60" s="37">
        <f t="shared" si="0"/>
        <v>11</v>
      </c>
      <c r="U60" s="28">
        <f t="shared" si="4"/>
        <v>130.15873015873015</v>
      </c>
      <c r="V60" s="59">
        <f t="shared" si="5"/>
        <v>0</v>
      </c>
    </row>
    <row r="61" spans="1:22" ht="21.75" customHeight="1">
      <c r="A61" s="87">
        <v>18</v>
      </c>
      <c r="B61" s="7" t="s">
        <v>12</v>
      </c>
      <c r="C61" s="3">
        <v>7</v>
      </c>
      <c r="D61" s="3">
        <v>4</v>
      </c>
      <c r="E61" s="4">
        <f t="shared" si="1"/>
        <v>2.8392857142857144</v>
      </c>
      <c r="F61" s="3">
        <v>3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  <c r="M61" s="5">
        <f t="shared" si="2"/>
        <v>0.16071428571428559</v>
      </c>
      <c r="N61" s="28">
        <f t="shared" si="3"/>
        <v>94.642857142857139</v>
      </c>
      <c r="O61" s="7">
        <v>0</v>
      </c>
      <c r="P61" s="7">
        <v>0</v>
      </c>
      <c r="Q61" s="7">
        <v>8</v>
      </c>
      <c r="R61" s="7">
        <v>0</v>
      </c>
      <c r="S61" s="3">
        <v>3</v>
      </c>
      <c r="T61" s="37">
        <f t="shared" si="0"/>
        <v>11</v>
      </c>
      <c r="U61" s="28">
        <f t="shared" si="4"/>
        <v>126.984126984127</v>
      </c>
      <c r="V61" s="59">
        <f t="shared" si="5"/>
        <v>0</v>
      </c>
    </row>
    <row r="62" spans="1:22" ht="21.75" customHeight="1">
      <c r="A62" s="87"/>
      <c r="B62" s="7" t="s">
        <v>13</v>
      </c>
      <c r="C62" s="3">
        <v>8</v>
      </c>
      <c r="D62" s="3">
        <v>4</v>
      </c>
      <c r="E62" s="4">
        <f t="shared" si="1"/>
        <v>3</v>
      </c>
      <c r="F62" s="3">
        <v>4</v>
      </c>
      <c r="G62" s="3">
        <v>0</v>
      </c>
      <c r="H62" s="3">
        <v>0</v>
      </c>
      <c r="I62" s="3">
        <v>0</v>
      </c>
      <c r="J62" s="3">
        <v>0</v>
      </c>
      <c r="K62" s="3">
        <v>1</v>
      </c>
      <c r="L62" s="3"/>
      <c r="M62" s="5">
        <f t="shared" si="2"/>
        <v>1</v>
      </c>
      <c r="N62" s="28">
        <f t="shared" si="3"/>
        <v>60</v>
      </c>
      <c r="O62" s="7">
        <v>0</v>
      </c>
      <c r="P62" s="7">
        <v>2</v>
      </c>
      <c r="Q62" s="7">
        <v>9</v>
      </c>
      <c r="R62" s="7">
        <v>0</v>
      </c>
      <c r="S62" s="3">
        <v>1</v>
      </c>
      <c r="T62" s="37">
        <f t="shared" si="0"/>
        <v>12</v>
      </c>
      <c r="U62" s="28">
        <f t="shared" si="4"/>
        <v>65.238095238095241</v>
      </c>
      <c r="V62" s="59">
        <f t="shared" si="5"/>
        <v>0</v>
      </c>
    </row>
    <row r="63" spans="1:22" ht="21.75" customHeight="1">
      <c r="A63" s="87"/>
      <c r="B63" s="7" t="s">
        <v>14</v>
      </c>
      <c r="C63" s="3">
        <v>8</v>
      </c>
      <c r="D63" s="3">
        <v>4</v>
      </c>
      <c r="E63" s="4">
        <f t="shared" si="1"/>
        <v>3</v>
      </c>
      <c r="F63" s="3">
        <v>3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  <c r="M63" s="5">
        <f t="shared" si="2"/>
        <v>0</v>
      </c>
      <c r="N63" s="28">
        <f t="shared" si="3"/>
        <v>100</v>
      </c>
      <c r="O63" s="7">
        <v>0</v>
      </c>
      <c r="P63" s="7">
        <v>0</v>
      </c>
      <c r="Q63" s="7">
        <v>10</v>
      </c>
      <c r="R63" s="7">
        <v>0</v>
      </c>
      <c r="S63" s="3">
        <v>2</v>
      </c>
      <c r="T63" s="37">
        <f t="shared" si="0"/>
        <v>12</v>
      </c>
      <c r="U63" s="28">
        <f t="shared" si="4"/>
        <v>125.39682539682539</v>
      </c>
      <c r="V63" s="59">
        <f t="shared" si="5"/>
        <v>0</v>
      </c>
    </row>
    <row r="64" spans="1:22" ht="21.75" customHeight="1">
      <c r="A64" s="87">
        <v>19</v>
      </c>
      <c r="B64" s="7" t="s">
        <v>12</v>
      </c>
      <c r="C64" s="3">
        <v>8</v>
      </c>
      <c r="D64" s="3">
        <v>4</v>
      </c>
      <c r="E64" s="4">
        <f t="shared" si="1"/>
        <v>3</v>
      </c>
      <c r="F64" s="3">
        <v>3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  <c r="M64" s="5">
        <f t="shared" si="2"/>
        <v>0</v>
      </c>
      <c r="N64" s="28">
        <f t="shared" si="3"/>
        <v>100</v>
      </c>
      <c r="O64" s="7">
        <v>0</v>
      </c>
      <c r="P64" s="7">
        <v>0</v>
      </c>
      <c r="Q64" s="7">
        <v>10</v>
      </c>
      <c r="R64" s="7">
        <v>0</v>
      </c>
      <c r="S64" s="3">
        <v>2</v>
      </c>
      <c r="T64" s="37">
        <f t="shared" si="0"/>
        <v>12</v>
      </c>
      <c r="U64" s="28">
        <f t="shared" si="4"/>
        <v>125.39682539682539</v>
      </c>
      <c r="V64" s="59">
        <f t="shared" si="5"/>
        <v>0</v>
      </c>
    </row>
    <row r="65" spans="1:22" ht="21.75" customHeight="1">
      <c r="A65" s="87"/>
      <c r="B65" s="7" t="s">
        <v>13</v>
      </c>
      <c r="C65" s="3">
        <v>9</v>
      </c>
      <c r="D65" s="3">
        <v>4</v>
      </c>
      <c r="E65" s="4">
        <f t="shared" si="1"/>
        <v>3.1607142857142856</v>
      </c>
      <c r="F65" s="3">
        <v>3</v>
      </c>
      <c r="G65" s="3">
        <v>0</v>
      </c>
      <c r="H65" s="3">
        <v>0</v>
      </c>
      <c r="I65" s="3">
        <v>0</v>
      </c>
      <c r="J65" s="3">
        <v>0</v>
      </c>
      <c r="K65" s="3">
        <v>1</v>
      </c>
      <c r="L65" s="3"/>
      <c r="M65" s="5">
        <f t="shared" si="2"/>
        <v>-0.16071428571428559</v>
      </c>
      <c r="N65" s="28">
        <f t="shared" si="3"/>
        <v>79.017857142857139</v>
      </c>
      <c r="O65" s="7">
        <v>0</v>
      </c>
      <c r="P65" s="7">
        <v>1</v>
      </c>
      <c r="Q65" s="7">
        <v>10</v>
      </c>
      <c r="R65" s="7">
        <v>0</v>
      </c>
      <c r="S65" s="3">
        <v>2</v>
      </c>
      <c r="T65" s="37">
        <f t="shared" si="0"/>
        <v>13</v>
      </c>
      <c r="U65" s="28">
        <f t="shared" si="4"/>
        <v>98.214285714285708</v>
      </c>
      <c r="V65" s="59">
        <f t="shared" si="5"/>
        <v>0</v>
      </c>
    </row>
    <row r="66" spans="1:22" ht="21.75" customHeight="1">
      <c r="A66" s="87"/>
      <c r="B66" s="7" t="s">
        <v>14</v>
      </c>
      <c r="C66" s="3">
        <v>8</v>
      </c>
      <c r="D66" s="3">
        <v>5</v>
      </c>
      <c r="E66" s="4">
        <f t="shared" si="1"/>
        <v>3.4285714285714284</v>
      </c>
      <c r="F66" s="3">
        <v>3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/>
      <c r="M66" s="5">
        <f t="shared" si="2"/>
        <v>-0.42857142857142838</v>
      </c>
      <c r="N66" s="28">
        <f t="shared" si="3"/>
        <v>114.28571428571428</v>
      </c>
      <c r="O66" s="7">
        <v>0</v>
      </c>
      <c r="P66" s="7">
        <v>0</v>
      </c>
      <c r="Q66" s="7">
        <v>9</v>
      </c>
      <c r="R66" s="7">
        <v>0</v>
      </c>
      <c r="S66" s="3">
        <v>4</v>
      </c>
      <c r="T66" s="37">
        <f t="shared" si="0"/>
        <v>13</v>
      </c>
      <c r="U66" s="28">
        <f t="shared" si="4"/>
        <v>154.76190476190476</v>
      </c>
      <c r="V66" s="59">
        <f t="shared" si="5"/>
        <v>0</v>
      </c>
    </row>
    <row r="67" spans="1:22" ht="21.75" customHeight="1">
      <c r="A67" s="87">
        <v>20</v>
      </c>
      <c r="B67" s="7" t="s">
        <v>12</v>
      </c>
      <c r="C67" s="3">
        <v>8</v>
      </c>
      <c r="D67" s="3">
        <v>5</v>
      </c>
      <c r="E67" s="4">
        <f t="shared" si="1"/>
        <v>3.4285714285714284</v>
      </c>
      <c r="F67" s="3">
        <v>3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/>
      <c r="M67" s="5">
        <f t="shared" si="2"/>
        <v>-0.42857142857142838</v>
      </c>
      <c r="N67" s="28">
        <f t="shared" si="3"/>
        <v>114.28571428571428</v>
      </c>
      <c r="O67" s="7">
        <v>0</v>
      </c>
      <c r="P67" s="7">
        <v>0</v>
      </c>
      <c r="Q67" s="7">
        <v>9</v>
      </c>
      <c r="R67" s="7">
        <v>0</v>
      </c>
      <c r="S67" s="3">
        <v>4</v>
      </c>
      <c r="T67" s="37">
        <f t="shared" si="0"/>
        <v>13</v>
      </c>
      <c r="U67" s="28">
        <f t="shared" si="4"/>
        <v>154.76190476190476</v>
      </c>
      <c r="V67" s="59">
        <f t="shared" si="5"/>
        <v>0</v>
      </c>
    </row>
    <row r="68" spans="1:22" ht="21.75" customHeight="1">
      <c r="A68" s="87"/>
      <c r="B68" s="7" t="s">
        <v>13</v>
      </c>
      <c r="C68" s="3">
        <v>7</v>
      </c>
      <c r="D68" s="3">
        <v>5</v>
      </c>
      <c r="E68" s="4">
        <f t="shared" si="1"/>
        <v>3.2678571428571428</v>
      </c>
      <c r="F68" s="3">
        <v>4</v>
      </c>
      <c r="G68" s="3">
        <v>0</v>
      </c>
      <c r="H68" s="3">
        <v>1</v>
      </c>
      <c r="I68" s="3">
        <v>0</v>
      </c>
      <c r="J68" s="3">
        <v>0</v>
      </c>
      <c r="K68" s="3">
        <v>0</v>
      </c>
      <c r="L68" s="3"/>
      <c r="M68" s="5">
        <f t="shared" si="2"/>
        <v>1.7321428571428572</v>
      </c>
      <c r="N68" s="28">
        <f t="shared" si="3"/>
        <v>65.357142857142861</v>
      </c>
      <c r="O68" s="7">
        <v>0</v>
      </c>
      <c r="P68" s="7">
        <v>1</v>
      </c>
      <c r="Q68" s="7">
        <v>7</v>
      </c>
      <c r="R68" s="7">
        <v>0</v>
      </c>
      <c r="S68" s="3">
        <v>4</v>
      </c>
      <c r="T68" s="37">
        <f t="shared" si="0"/>
        <v>12</v>
      </c>
      <c r="U68" s="28">
        <f t="shared" si="4"/>
        <v>85.714285714285708</v>
      </c>
      <c r="V68" s="59">
        <f t="shared" si="5"/>
        <v>0</v>
      </c>
    </row>
    <row r="69" spans="1:22" ht="21.75" customHeight="1">
      <c r="A69" s="87"/>
      <c r="B69" s="7" t="s">
        <v>14</v>
      </c>
      <c r="C69" s="3">
        <v>7</v>
      </c>
      <c r="D69" s="3">
        <v>5</v>
      </c>
      <c r="E69" s="4">
        <f t="shared" si="1"/>
        <v>3.2678571428571428</v>
      </c>
      <c r="F69" s="3">
        <v>3</v>
      </c>
      <c r="G69" s="3">
        <v>0</v>
      </c>
      <c r="H69" s="3">
        <v>1</v>
      </c>
      <c r="I69" s="3">
        <v>0</v>
      </c>
      <c r="J69" s="3">
        <v>0</v>
      </c>
      <c r="K69" s="3">
        <v>0</v>
      </c>
      <c r="L69" s="3"/>
      <c r="M69" s="5">
        <f t="shared" si="2"/>
        <v>0.73214285714285721</v>
      </c>
      <c r="N69" s="28">
        <f t="shared" si="3"/>
        <v>81.696428571428569</v>
      </c>
      <c r="O69" s="7">
        <v>0</v>
      </c>
      <c r="P69" s="7">
        <v>0</v>
      </c>
      <c r="Q69" s="7">
        <v>8</v>
      </c>
      <c r="R69" s="7">
        <v>0</v>
      </c>
      <c r="S69" s="3">
        <v>4</v>
      </c>
      <c r="T69" s="37">
        <f t="shared" si="0"/>
        <v>12</v>
      </c>
      <c r="U69" s="28">
        <f t="shared" si="4"/>
        <v>109.52380952380953</v>
      </c>
      <c r="V69" s="59">
        <f t="shared" si="5"/>
        <v>0</v>
      </c>
    </row>
    <row r="70" spans="1:22" ht="21.75" customHeight="1">
      <c r="A70" s="87">
        <v>21</v>
      </c>
      <c r="B70" s="7" t="s">
        <v>12</v>
      </c>
      <c r="C70" s="3">
        <v>8</v>
      </c>
      <c r="D70" s="3">
        <v>5</v>
      </c>
      <c r="E70" s="4">
        <f t="shared" si="1"/>
        <v>3.4285714285714284</v>
      </c>
      <c r="F70" s="3">
        <v>3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  <c r="M70" s="5">
        <f t="shared" si="2"/>
        <v>-0.42857142857142838</v>
      </c>
      <c r="N70" s="28">
        <f t="shared" si="3"/>
        <v>114.28571428571428</v>
      </c>
      <c r="O70" s="7">
        <v>0</v>
      </c>
      <c r="P70" s="7">
        <v>0</v>
      </c>
      <c r="Q70" s="7">
        <v>8</v>
      </c>
      <c r="R70" s="7">
        <v>1</v>
      </c>
      <c r="S70" s="3">
        <v>4</v>
      </c>
      <c r="T70" s="37">
        <f t="shared" si="0"/>
        <v>13</v>
      </c>
      <c r="U70" s="28">
        <f t="shared" si="4"/>
        <v>157.93650793650792</v>
      </c>
      <c r="V70" s="59">
        <f t="shared" si="5"/>
        <v>0</v>
      </c>
    </row>
    <row r="71" spans="1:22" ht="21.75" customHeight="1">
      <c r="A71" s="87"/>
      <c r="B71" s="7" t="s">
        <v>13</v>
      </c>
      <c r="C71" s="3">
        <v>9</v>
      </c>
      <c r="D71" s="3">
        <v>3</v>
      </c>
      <c r="E71" s="4">
        <f t="shared" si="1"/>
        <v>2.7321428571428572</v>
      </c>
      <c r="F71" s="3">
        <v>3</v>
      </c>
      <c r="G71" s="3">
        <v>0</v>
      </c>
      <c r="H71" s="3">
        <v>1</v>
      </c>
      <c r="I71" s="3">
        <v>0</v>
      </c>
      <c r="J71" s="3">
        <v>0</v>
      </c>
      <c r="K71" s="3">
        <v>0</v>
      </c>
      <c r="L71" s="3"/>
      <c r="M71" s="5">
        <f t="shared" si="2"/>
        <v>1.2678571428571428</v>
      </c>
      <c r="N71" s="28">
        <f t="shared" si="3"/>
        <v>68.303571428571431</v>
      </c>
      <c r="O71" s="7">
        <v>0</v>
      </c>
      <c r="P71" s="7">
        <v>1</v>
      </c>
      <c r="Q71" s="7">
        <v>8</v>
      </c>
      <c r="R71" s="7">
        <v>0</v>
      </c>
      <c r="S71" s="3">
        <v>3</v>
      </c>
      <c r="T71" s="37">
        <f t="shared" si="0"/>
        <v>12</v>
      </c>
      <c r="U71" s="28">
        <f t="shared" si="4"/>
        <v>99.404761904761898</v>
      </c>
      <c r="V71" s="59">
        <f t="shared" si="5"/>
        <v>0</v>
      </c>
    </row>
    <row r="72" spans="1:22" ht="21.75" customHeight="1">
      <c r="A72" s="87"/>
      <c r="B72" s="7" t="s">
        <v>14</v>
      </c>
      <c r="C72" s="3">
        <v>9</v>
      </c>
      <c r="D72" s="3">
        <v>3</v>
      </c>
      <c r="E72" s="4">
        <f t="shared" si="1"/>
        <v>2.7321428571428572</v>
      </c>
      <c r="F72" s="3">
        <v>3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/>
      <c r="M72" s="5">
        <f t="shared" si="2"/>
        <v>0.26785714285714279</v>
      </c>
      <c r="N72" s="28">
        <f t="shared" si="3"/>
        <v>91.071428571428569</v>
      </c>
      <c r="O72" s="7">
        <v>0</v>
      </c>
      <c r="P72" s="7">
        <v>0</v>
      </c>
      <c r="Q72" s="7">
        <v>8</v>
      </c>
      <c r="R72" s="7">
        <v>1</v>
      </c>
      <c r="S72" s="3">
        <v>3</v>
      </c>
      <c r="T72" s="37">
        <f t="shared" si="0"/>
        <v>12</v>
      </c>
      <c r="U72" s="28">
        <f t="shared" si="4"/>
        <v>138.88888888888889</v>
      </c>
      <c r="V72" s="59">
        <f t="shared" si="5"/>
        <v>0</v>
      </c>
    </row>
    <row r="73" spans="1:22" ht="21.75" customHeight="1">
      <c r="A73" s="87">
        <v>22</v>
      </c>
      <c r="B73" s="7" t="s">
        <v>12</v>
      </c>
      <c r="C73" s="3">
        <v>8</v>
      </c>
      <c r="D73" s="3">
        <v>3</v>
      </c>
      <c r="E73" s="4">
        <f t="shared" si="1"/>
        <v>2.5714285714285716</v>
      </c>
      <c r="F73" s="3">
        <v>3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  <c r="M73" s="5">
        <f t="shared" si="2"/>
        <v>0.42857142857142838</v>
      </c>
      <c r="N73" s="28">
        <f t="shared" si="3"/>
        <v>85.714285714285708</v>
      </c>
      <c r="O73" s="7">
        <v>0</v>
      </c>
      <c r="P73" s="7">
        <v>0</v>
      </c>
      <c r="Q73" s="7">
        <v>8</v>
      </c>
      <c r="R73" s="7">
        <v>0</v>
      </c>
      <c r="S73" s="3">
        <v>3</v>
      </c>
      <c r="T73" s="37">
        <f t="shared" si="0"/>
        <v>11</v>
      </c>
      <c r="U73" s="28">
        <f t="shared" si="4"/>
        <v>126.984126984127</v>
      </c>
      <c r="V73" s="59">
        <f t="shared" si="5"/>
        <v>0</v>
      </c>
    </row>
    <row r="74" spans="1:22" ht="21.75" customHeight="1">
      <c r="A74" s="87"/>
      <c r="B74" s="7" t="s">
        <v>13</v>
      </c>
      <c r="C74" s="3">
        <v>10</v>
      </c>
      <c r="D74" s="3">
        <v>3</v>
      </c>
      <c r="E74" s="4">
        <f t="shared" si="1"/>
        <v>2.8928571428571428</v>
      </c>
      <c r="F74" s="3">
        <v>3</v>
      </c>
      <c r="G74" s="3">
        <v>0</v>
      </c>
      <c r="H74" s="3">
        <v>1</v>
      </c>
      <c r="I74" s="3">
        <v>0</v>
      </c>
      <c r="J74" s="3">
        <v>0</v>
      </c>
      <c r="K74" s="3">
        <v>0</v>
      </c>
      <c r="L74" s="3"/>
      <c r="M74" s="5">
        <f t="shared" si="2"/>
        <v>1.1071428571428572</v>
      </c>
      <c r="N74" s="28">
        <f t="shared" si="3"/>
        <v>72.321428571428569</v>
      </c>
      <c r="O74" s="7">
        <v>0</v>
      </c>
      <c r="P74" s="7">
        <v>1</v>
      </c>
      <c r="Q74" s="7">
        <v>9</v>
      </c>
      <c r="R74" s="7">
        <v>0</v>
      </c>
      <c r="S74" s="3">
        <v>3</v>
      </c>
      <c r="T74" s="37">
        <f t="shared" ref="T74:T106" si="6">SUM(O74:S74)</f>
        <v>13</v>
      </c>
      <c r="U74" s="28">
        <f t="shared" si="4"/>
        <v>105.95238095238095</v>
      </c>
      <c r="V74" s="59">
        <f t="shared" si="5"/>
        <v>0</v>
      </c>
    </row>
    <row r="75" spans="1:22" ht="21.75" customHeight="1">
      <c r="A75" s="87"/>
      <c r="B75" s="7" t="s">
        <v>14</v>
      </c>
      <c r="C75" s="3">
        <v>9</v>
      </c>
      <c r="D75" s="3">
        <v>5</v>
      </c>
      <c r="E75" s="4">
        <f t="shared" ref="E75:E102" si="7">((($B$3*C75)+(12*D75))*$E$4)/7</f>
        <v>3.5892857142857144</v>
      </c>
      <c r="F75" s="3">
        <v>3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  <c r="M75" s="5">
        <f t="shared" ref="M75:M106" si="8">(F75+G75+H75+L75)-E75</f>
        <v>-0.58928571428571441</v>
      </c>
      <c r="N75" s="28">
        <f t="shared" ref="N75:N105" si="9">(((C75*4.5)+(12*D75))*$E$4)/((F75+G75+H75+I75+J75+K75+L75)*7)*100</f>
        <v>119.64285714285714</v>
      </c>
      <c r="O75" s="7">
        <v>0</v>
      </c>
      <c r="P75" s="7">
        <v>0</v>
      </c>
      <c r="Q75" s="7">
        <v>9</v>
      </c>
      <c r="R75" s="7">
        <v>0</v>
      </c>
      <c r="S75" s="3">
        <v>5</v>
      </c>
      <c r="T75" s="37">
        <f t="shared" si="6"/>
        <v>14</v>
      </c>
      <c r="U75" s="28">
        <f t="shared" ref="U75:U106" si="10">((((O75*1.5+(P75*3.5)+(Q75*5.5)+(R75*7.5)+(S75*12)))/3)/((F75+G75+H75+I75+J75+K75+L75)*7))*100</f>
        <v>173.80952380952382</v>
      </c>
      <c r="V75" s="59">
        <f t="shared" ref="V75:V106" si="11">C75+D75-T75</f>
        <v>0</v>
      </c>
    </row>
    <row r="76" spans="1:22" ht="21.75" customHeight="1">
      <c r="A76" s="87">
        <v>23</v>
      </c>
      <c r="B76" s="7" t="s">
        <v>12</v>
      </c>
      <c r="C76" s="3">
        <v>9</v>
      </c>
      <c r="D76" s="3">
        <v>5</v>
      </c>
      <c r="E76" s="4">
        <f t="shared" si="7"/>
        <v>3.5892857142857144</v>
      </c>
      <c r="F76" s="3">
        <v>3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/>
      <c r="M76" s="5">
        <f t="shared" si="8"/>
        <v>-0.58928571428571441</v>
      </c>
      <c r="N76" s="28">
        <f t="shared" si="9"/>
        <v>119.64285714285714</v>
      </c>
      <c r="O76" s="7">
        <v>0</v>
      </c>
      <c r="P76" s="7">
        <v>0</v>
      </c>
      <c r="Q76" s="7">
        <v>9</v>
      </c>
      <c r="R76" s="7">
        <v>0</v>
      </c>
      <c r="S76" s="3">
        <v>5</v>
      </c>
      <c r="T76" s="37">
        <f t="shared" si="6"/>
        <v>14</v>
      </c>
      <c r="U76" s="28">
        <f t="shared" si="10"/>
        <v>173.80952380952382</v>
      </c>
      <c r="V76" s="59">
        <f t="shared" si="11"/>
        <v>0</v>
      </c>
    </row>
    <row r="77" spans="1:22" ht="21.75" customHeight="1">
      <c r="A77" s="87"/>
      <c r="B77" s="7" t="s">
        <v>13</v>
      </c>
      <c r="C77" s="3">
        <v>8</v>
      </c>
      <c r="D77" s="3">
        <v>5</v>
      </c>
      <c r="E77" s="4">
        <f t="shared" si="7"/>
        <v>3.4285714285714284</v>
      </c>
      <c r="F77" s="3">
        <v>3</v>
      </c>
      <c r="G77" s="3">
        <v>0</v>
      </c>
      <c r="H77" s="3">
        <v>1</v>
      </c>
      <c r="I77" s="3">
        <v>0</v>
      </c>
      <c r="J77" s="3">
        <v>0</v>
      </c>
      <c r="K77" s="3">
        <v>0</v>
      </c>
      <c r="L77" s="3"/>
      <c r="M77" s="5">
        <f t="shared" si="8"/>
        <v>0.57142857142857162</v>
      </c>
      <c r="N77" s="28">
        <f t="shared" si="9"/>
        <v>85.714285714285708</v>
      </c>
      <c r="O77" s="7">
        <v>0</v>
      </c>
      <c r="P77" s="7">
        <v>3</v>
      </c>
      <c r="Q77" s="7">
        <v>5</v>
      </c>
      <c r="R77" s="7">
        <v>0</v>
      </c>
      <c r="S77" s="3">
        <v>5</v>
      </c>
      <c r="T77" s="37">
        <f t="shared" si="6"/>
        <v>13</v>
      </c>
      <c r="U77" s="28">
        <f t="shared" si="10"/>
        <v>116.66666666666666</v>
      </c>
      <c r="V77" s="59">
        <f t="shared" si="11"/>
        <v>0</v>
      </c>
    </row>
    <row r="78" spans="1:22" ht="21.75" customHeight="1">
      <c r="A78" s="87"/>
      <c r="B78" s="7" t="s">
        <v>14</v>
      </c>
      <c r="C78" s="3">
        <v>6</v>
      </c>
      <c r="D78" s="3">
        <v>6</v>
      </c>
      <c r="E78" s="4">
        <f t="shared" si="7"/>
        <v>3.5357142857142856</v>
      </c>
      <c r="F78" s="3">
        <v>3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/>
      <c r="M78" s="5">
        <f t="shared" si="8"/>
        <v>-0.53571428571428559</v>
      </c>
      <c r="N78" s="28">
        <f t="shared" si="9"/>
        <v>117.85714285714286</v>
      </c>
      <c r="O78" s="7">
        <v>0</v>
      </c>
      <c r="P78" s="7">
        <v>0</v>
      </c>
      <c r="Q78" s="7">
        <v>6</v>
      </c>
      <c r="R78" s="7">
        <v>0</v>
      </c>
      <c r="S78" s="3">
        <v>6</v>
      </c>
      <c r="T78" s="37">
        <f t="shared" si="6"/>
        <v>12</v>
      </c>
      <c r="U78" s="28">
        <f t="shared" si="10"/>
        <v>166.66666666666669</v>
      </c>
      <c r="V78" s="59">
        <f t="shared" si="11"/>
        <v>0</v>
      </c>
    </row>
    <row r="79" spans="1:22" ht="21.75" customHeight="1">
      <c r="A79" s="87">
        <v>24</v>
      </c>
      <c r="B79" s="7" t="s">
        <v>12</v>
      </c>
      <c r="C79" s="3">
        <v>6</v>
      </c>
      <c r="D79" s="3">
        <v>6</v>
      </c>
      <c r="E79" s="4">
        <f t="shared" si="7"/>
        <v>3.5357142857142856</v>
      </c>
      <c r="F79" s="3">
        <v>3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/>
      <c r="M79" s="5">
        <f t="shared" si="8"/>
        <v>-0.53571428571428559</v>
      </c>
      <c r="N79" s="28">
        <f t="shared" si="9"/>
        <v>117.85714285714286</v>
      </c>
      <c r="O79" s="7">
        <v>0</v>
      </c>
      <c r="P79" s="7">
        <v>0</v>
      </c>
      <c r="Q79" s="7">
        <v>6</v>
      </c>
      <c r="R79" s="7">
        <v>0</v>
      </c>
      <c r="S79" s="3">
        <v>6</v>
      </c>
      <c r="T79" s="37">
        <f t="shared" si="6"/>
        <v>12</v>
      </c>
      <c r="U79" s="28">
        <f t="shared" si="10"/>
        <v>166.66666666666669</v>
      </c>
      <c r="V79" s="59">
        <f t="shared" si="11"/>
        <v>0</v>
      </c>
    </row>
    <row r="80" spans="1:22" ht="21.75" customHeight="1">
      <c r="A80" s="87"/>
      <c r="B80" s="7" t="s">
        <v>13</v>
      </c>
      <c r="C80" s="3">
        <v>8</v>
      </c>
      <c r="D80" s="3">
        <v>6</v>
      </c>
      <c r="E80" s="4">
        <f t="shared" si="7"/>
        <v>3.8571428571428572</v>
      </c>
      <c r="F80" s="3">
        <v>2</v>
      </c>
      <c r="G80" s="3">
        <v>0</v>
      </c>
      <c r="H80" s="3">
        <v>1</v>
      </c>
      <c r="I80" s="3">
        <v>1</v>
      </c>
      <c r="J80" s="3">
        <v>0</v>
      </c>
      <c r="K80" s="3">
        <v>0</v>
      </c>
      <c r="L80" s="3"/>
      <c r="M80" s="5">
        <f t="shared" si="8"/>
        <v>-0.85714285714285721</v>
      </c>
      <c r="N80" s="28">
        <f t="shared" si="9"/>
        <v>96.428571428571431</v>
      </c>
      <c r="O80" s="7">
        <v>0</v>
      </c>
      <c r="P80" s="7">
        <v>0</v>
      </c>
      <c r="Q80" s="7">
        <v>8</v>
      </c>
      <c r="R80" s="7">
        <v>0</v>
      </c>
      <c r="S80" s="3">
        <v>6</v>
      </c>
      <c r="T80" s="37">
        <f t="shared" si="6"/>
        <v>14</v>
      </c>
      <c r="U80" s="28">
        <f t="shared" si="10"/>
        <v>138.0952380952381</v>
      </c>
      <c r="V80" s="59">
        <f t="shared" si="11"/>
        <v>0</v>
      </c>
    </row>
    <row r="81" spans="1:22" ht="21.75" customHeight="1">
      <c r="A81" s="87"/>
      <c r="B81" s="7" t="s">
        <v>14</v>
      </c>
      <c r="C81" s="3">
        <v>6</v>
      </c>
      <c r="D81" s="3">
        <v>6</v>
      </c>
      <c r="E81" s="4">
        <f t="shared" si="7"/>
        <v>3.5357142857142856</v>
      </c>
      <c r="F81" s="3">
        <v>1</v>
      </c>
      <c r="G81" s="3">
        <v>0</v>
      </c>
      <c r="H81" s="3">
        <v>0</v>
      </c>
      <c r="I81" s="3">
        <v>2</v>
      </c>
      <c r="J81" s="3">
        <v>0</v>
      </c>
      <c r="K81" s="3">
        <v>0</v>
      </c>
      <c r="L81" s="3"/>
      <c r="M81" s="5">
        <f t="shared" si="8"/>
        <v>-2.5357142857142856</v>
      </c>
      <c r="N81" s="28">
        <f t="shared" si="9"/>
        <v>117.85714285714286</v>
      </c>
      <c r="O81" s="7">
        <v>0</v>
      </c>
      <c r="P81" s="7">
        <v>0</v>
      </c>
      <c r="Q81" s="7">
        <v>6</v>
      </c>
      <c r="R81" s="7">
        <v>0</v>
      </c>
      <c r="S81" s="3">
        <v>6</v>
      </c>
      <c r="T81" s="37">
        <f t="shared" si="6"/>
        <v>12</v>
      </c>
      <c r="U81" s="28">
        <f t="shared" si="10"/>
        <v>166.66666666666669</v>
      </c>
      <c r="V81" s="59">
        <f t="shared" si="11"/>
        <v>0</v>
      </c>
    </row>
    <row r="82" spans="1:22" ht="21.75" customHeight="1">
      <c r="A82" s="87">
        <v>25</v>
      </c>
      <c r="B82" s="7" t="s">
        <v>12</v>
      </c>
      <c r="C82" s="3">
        <v>7</v>
      </c>
      <c r="D82" s="3">
        <v>6</v>
      </c>
      <c r="E82" s="4">
        <f t="shared" si="7"/>
        <v>3.6964285714285716</v>
      </c>
      <c r="F82" s="3">
        <v>3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/>
      <c r="M82" s="5">
        <f t="shared" si="8"/>
        <v>-0.69642857142857162</v>
      </c>
      <c r="N82" s="28">
        <f t="shared" si="9"/>
        <v>123.21428571428572</v>
      </c>
      <c r="O82" s="7">
        <v>0</v>
      </c>
      <c r="P82" s="7">
        <v>0</v>
      </c>
      <c r="Q82" s="7">
        <v>6</v>
      </c>
      <c r="R82" s="7">
        <v>1</v>
      </c>
      <c r="S82" s="3">
        <v>6</v>
      </c>
      <c r="T82" s="37">
        <f t="shared" si="6"/>
        <v>13</v>
      </c>
      <c r="U82" s="28">
        <f t="shared" si="10"/>
        <v>178.57142857142858</v>
      </c>
      <c r="V82" s="59">
        <f t="shared" si="11"/>
        <v>0</v>
      </c>
    </row>
    <row r="83" spans="1:22" ht="21.75" customHeight="1">
      <c r="A83" s="87"/>
      <c r="B83" s="7" t="s">
        <v>13</v>
      </c>
      <c r="C83" s="3">
        <v>7</v>
      </c>
      <c r="D83" s="3">
        <v>6</v>
      </c>
      <c r="E83" s="4">
        <f t="shared" si="7"/>
        <v>3.6964285714285716</v>
      </c>
      <c r="F83" s="3">
        <v>3</v>
      </c>
      <c r="G83" s="3">
        <v>0</v>
      </c>
      <c r="H83" s="3">
        <v>0</v>
      </c>
      <c r="I83" s="3">
        <v>1</v>
      </c>
      <c r="J83" s="3">
        <v>0</v>
      </c>
      <c r="K83" s="3">
        <v>0</v>
      </c>
      <c r="L83" s="3"/>
      <c r="M83" s="5">
        <f t="shared" si="8"/>
        <v>-0.69642857142857162</v>
      </c>
      <c r="N83" s="28">
        <f t="shared" si="9"/>
        <v>92.410714285714292</v>
      </c>
      <c r="O83" s="7">
        <v>0</v>
      </c>
      <c r="P83" s="7">
        <v>1</v>
      </c>
      <c r="Q83" s="7">
        <v>6</v>
      </c>
      <c r="R83" s="7">
        <v>0</v>
      </c>
      <c r="S83" s="3">
        <v>6</v>
      </c>
      <c r="T83" s="37">
        <f t="shared" si="6"/>
        <v>13</v>
      </c>
      <c r="U83" s="28">
        <f t="shared" si="10"/>
        <v>129.16666666666666</v>
      </c>
      <c r="V83" s="59">
        <f t="shared" si="11"/>
        <v>0</v>
      </c>
    </row>
    <row r="84" spans="1:22" ht="21.75" customHeight="1">
      <c r="A84" s="87"/>
      <c r="B84" s="7" t="s">
        <v>14</v>
      </c>
      <c r="C84" s="3">
        <v>6</v>
      </c>
      <c r="D84" s="3">
        <v>6</v>
      </c>
      <c r="E84" s="4">
        <f t="shared" si="7"/>
        <v>3.5357142857142856</v>
      </c>
      <c r="F84" s="3">
        <v>3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  <c r="M84" s="5">
        <f t="shared" si="8"/>
        <v>-0.53571428571428559</v>
      </c>
      <c r="N84" s="28">
        <f t="shared" si="9"/>
        <v>117.85714285714286</v>
      </c>
      <c r="O84" s="7">
        <v>0</v>
      </c>
      <c r="P84" s="7">
        <v>0</v>
      </c>
      <c r="Q84" s="7">
        <v>5</v>
      </c>
      <c r="R84" s="7">
        <v>1</v>
      </c>
      <c r="S84" s="3">
        <v>6</v>
      </c>
      <c r="T84" s="37">
        <f t="shared" si="6"/>
        <v>12</v>
      </c>
      <c r="U84" s="28">
        <f t="shared" si="10"/>
        <v>169.84126984126985</v>
      </c>
      <c r="V84" s="59">
        <f t="shared" si="11"/>
        <v>0</v>
      </c>
    </row>
    <row r="85" spans="1:22" ht="21.75" customHeight="1">
      <c r="A85" s="87">
        <v>26</v>
      </c>
      <c r="B85" s="7" t="s">
        <v>12</v>
      </c>
      <c r="C85" s="3">
        <v>5</v>
      </c>
      <c r="D85" s="3">
        <v>7</v>
      </c>
      <c r="E85" s="4">
        <f t="shared" si="7"/>
        <v>3.8035714285714284</v>
      </c>
      <c r="F85" s="3">
        <v>3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  <c r="M85" s="5">
        <f t="shared" si="8"/>
        <v>-0.80357142857142838</v>
      </c>
      <c r="N85" s="28">
        <f t="shared" si="9"/>
        <v>126.78571428571428</v>
      </c>
      <c r="O85" s="7">
        <v>0</v>
      </c>
      <c r="P85" s="7">
        <v>0</v>
      </c>
      <c r="Q85" s="7">
        <v>3</v>
      </c>
      <c r="R85" s="7">
        <v>2</v>
      </c>
      <c r="S85" s="3">
        <v>7</v>
      </c>
      <c r="T85" s="37">
        <f t="shared" si="6"/>
        <v>12</v>
      </c>
      <c r="U85" s="28">
        <f t="shared" si="10"/>
        <v>183.33333333333331</v>
      </c>
      <c r="V85" s="59">
        <f t="shared" si="11"/>
        <v>0</v>
      </c>
    </row>
    <row r="86" spans="1:22" ht="21.75" customHeight="1">
      <c r="A86" s="87"/>
      <c r="B86" s="7" t="s">
        <v>13</v>
      </c>
      <c r="C86" s="3">
        <v>6</v>
      </c>
      <c r="D86" s="3">
        <v>7</v>
      </c>
      <c r="E86" s="4">
        <f t="shared" si="7"/>
        <v>3.9642857142857144</v>
      </c>
      <c r="F86" s="3">
        <v>4</v>
      </c>
      <c r="G86" s="3">
        <v>0</v>
      </c>
      <c r="H86" s="3">
        <v>1</v>
      </c>
      <c r="I86" s="3">
        <v>0</v>
      </c>
      <c r="J86" s="3">
        <v>0</v>
      </c>
      <c r="K86" s="3">
        <v>0</v>
      </c>
      <c r="L86" s="3">
        <v>0</v>
      </c>
      <c r="M86" s="5">
        <f t="shared" si="8"/>
        <v>1.0357142857142856</v>
      </c>
      <c r="N86" s="28">
        <f t="shared" si="9"/>
        <v>79.285714285714278</v>
      </c>
      <c r="O86" s="7">
        <v>0</v>
      </c>
      <c r="P86" s="7">
        <v>3</v>
      </c>
      <c r="Q86" s="7">
        <v>3</v>
      </c>
      <c r="R86" s="7">
        <v>0</v>
      </c>
      <c r="S86" s="3">
        <v>7</v>
      </c>
      <c r="T86" s="37">
        <f t="shared" si="6"/>
        <v>13</v>
      </c>
      <c r="U86" s="28">
        <f t="shared" si="10"/>
        <v>105.71428571428572</v>
      </c>
      <c r="V86" s="59">
        <f t="shared" si="11"/>
        <v>0</v>
      </c>
    </row>
    <row r="87" spans="1:22" ht="21.75" customHeight="1">
      <c r="A87" s="87"/>
      <c r="B87" s="7" t="s">
        <v>14</v>
      </c>
      <c r="C87" s="3">
        <v>4</v>
      </c>
      <c r="D87" s="3">
        <v>7</v>
      </c>
      <c r="E87" s="4">
        <f t="shared" si="7"/>
        <v>3.6428571428571428</v>
      </c>
      <c r="F87" s="3">
        <v>3</v>
      </c>
      <c r="G87" s="3">
        <v>0</v>
      </c>
      <c r="H87" s="3">
        <v>1</v>
      </c>
      <c r="I87" s="3">
        <v>0</v>
      </c>
      <c r="J87" s="3">
        <v>0</v>
      </c>
      <c r="K87" s="3">
        <v>0</v>
      </c>
      <c r="L87" s="3"/>
      <c r="M87" s="5">
        <f t="shared" si="8"/>
        <v>0.35714285714285721</v>
      </c>
      <c r="N87" s="28">
        <f t="shared" si="9"/>
        <v>91.071428571428569</v>
      </c>
      <c r="O87" s="7">
        <v>0</v>
      </c>
      <c r="P87" s="7">
        <v>0</v>
      </c>
      <c r="Q87" s="7">
        <v>5</v>
      </c>
      <c r="R87" s="7">
        <v>2</v>
      </c>
      <c r="S87" s="3">
        <v>4</v>
      </c>
      <c r="T87" s="37">
        <f t="shared" si="6"/>
        <v>11</v>
      </c>
      <c r="U87" s="28">
        <f t="shared" si="10"/>
        <v>107.73809523809523</v>
      </c>
      <c r="V87" s="59">
        <f t="shared" si="11"/>
        <v>0</v>
      </c>
    </row>
    <row r="88" spans="1:22" ht="21.75" customHeight="1">
      <c r="A88" s="87">
        <v>27</v>
      </c>
      <c r="B88" s="7" t="s">
        <v>12</v>
      </c>
      <c r="C88" s="3">
        <v>5</v>
      </c>
      <c r="D88" s="3">
        <v>7</v>
      </c>
      <c r="E88" s="4">
        <f t="shared" si="7"/>
        <v>3.8035714285714284</v>
      </c>
      <c r="F88" s="3">
        <v>3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  <c r="M88" s="5">
        <f t="shared" si="8"/>
        <v>-0.80357142857142838</v>
      </c>
      <c r="N88" s="28">
        <f t="shared" si="9"/>
        <v>126.78571428571428</v>
      </c>
      <c r="O88" s="7">
        <v>0</v>
      </c>
      <c r="P88" s="7">
        <v>0</v>
      </c>
      <c r="Q88" s="7">
        <v>6</v>
      </c>
      <c r="R88" s="7">
        <v>1</v>
      </c>
      <c r="S88" s="3">
        <v>5</v>
      </c>
      <c r="T88" s="37">
        <f t="shared" si="6"/>
        <v>12</v>
      </c>
      <c r="U88" s="28">
        <f t="shared" si="10"/>
        <v>159.52380952380955</v>
      </c>
      <c r="V88" s="59">
        <f t="shared" si="11"/>
        <v>0</v>
      </c>
    </row>
    <row r="89" spans="1:22" ht="21.75" customHeight="1">
      <c r="A89" s="87"/>
      <c r="B89" s="7" t="s">
        <v>13</v>
      </c>
      <c r="C89" s="3">
        <v>6</v>
      </c>
      <c r="D89" s="3">
        <v>5</v>
      </c>
      <c r="E89" s="4">
        <f t="shared" si="7"/>
        <v>3.1071428571428572</v>
      </c>
      <c r="F89" s="3">
        <v>4</v>
      </c>
      <c r="G89" s="3">
        <v>0</v>
      </c>
      <c r="H89" s="3">
        <v>1</v>
      </c>
      <c r="I89" s="3">
        <v>0</v>
      </c>
      <c r="J89" s="3">
        <v>0</v>
      </c>
      <c r="K89" s="3">
        <v>0</v>
      </c>
      <c r="L89" s="3"/>
      <c r="M89" s="5">
        <f t="shared" si="8"/>
        <v>1.8928571428571428</v>
      </c>
      <c r="N89" s="28">
        <f t="shared" si="9"/>
        <v>62.142857142857146</v>
      </c>
      <c r="O89" s="7">
        <v>0</v>
      </c>
      <c r="P89" s="7">
        <v>0</v>
      </c>
      <c r="Q89" s="7">
        <v>5</v>
      </c>
      <c r="R89" s="7">
        <v>1</v>
      </c>
      <c r="S89" s="3">
        <v>5</v>
      </c>
      <c r="T89" s="37">
        <f t="shared" si="6"/>
        <v>11</v>
      </c>
      <c r="U89" s="28">
        <f t="shared" si="10"/>
        <v>90.476190476190482</v>
      </c>
      <c r="V89" s="59">
        <f t="shared" si="11"/>
        <v>0</v>
      </c>
    </row>
    <row r="90" spans="1:22" ht="21.75" customHeight="1">
      <c r="A90" s="87"/>
      <c r="B90" s="7" t="s">
        <v>14</v>
      </c>
      <c r="C90" s="3">
        <v>8</v>
      </c>
      <c r="D90" s="3">
        <v>6</v>
      </c>
      <c r="E90" s="4">
        <f t="shared" si="7"/>
        <v>3.8571428571428572</v>
      </c>
      <c r="F90" s="3">
        <v>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/>
      <c r="M90" s="5">
        <f t="shared" si="8"/>
        <v>0.14285714285714279</v>
      </c>
      <c r="N90" s="28">
        <f t="shared" si="9"/>
        <v>96.428571428571431</v>
      </c>
      <c r="O90" s="7">
        <v>0</v>
      </c>
      <c r="P90" s="7">
        <v>0</v>
      </c>
      <c r="Q90" s="7">
        <v>9</v>
      </c>
      <c r="R90" s="7">
        <v>0</v>
      </c>
      <c r="S90" s="3">
        <v>5</v>
      </c>
      <c r="T90" s="37">
        <f t="shared" si="6"/>
        <v>14</v>
      </c>
      <c r="U90" s="28">
        <f t="shared" si="10"/>
        <v>130.35714285714286</v>
      </c>
      <c r="V90" s="59">
        <f t="shared" si="11"/>
        <v>0</v>
      </c>
    </row>
    <row r="91" spans="1:22" ht="21.75" customHeight="1">
      <c r="A91" s="87">
        <v>28</v>
      </c>
      <c r="B91" s="7" t="s">
        <v>12</v>
      </c>
      <c r="C91" s="3">
        <v>8</v>
      </c>
      <c r="D91" s="3">
        <v>6</v>
      </c>
      <c r="E91" s="4">
        <f t="shared" si="7"/>
        <v>3.8571428571428572</v>
      </c>
      <c r="F91" s="3">
        <v>3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  <c r="M91" s="5">
        <f t="shared" si="8"/>
        <v>-0.85714285714285721</v>
      </c>
      <c r="N91" s="28">
        <f t="shared" si="9"/>
        <v>128.57142857142858</v>
      </c>
      <c r="O91" s="7">
        <v>0</v>
      </c>
      <c r="P91" s="7">
        <v>0</v>
      </c>
      <c r="Q91" s="7">
        <v>9</v>
      </c>
      <c r="R91" s="7">
        <v>0</v>
      </c>
      <c r="S91" s="3">
        <v>5</v>
      </c>
      <c r="T91" s="37">
        <f t="shared" si="6"/>
        <v>14</v>
      </c>
      <c r="U91" s="28">
        <f t="shared" si="10"/>
        <v>173.80952380952382</v>
      </c>
      <c r="V91" s="59">
        <f t="shared" si="11"/>
        <v>0</v>
      </c>
    </row>
    <row r="92" spans="1:22" ht="21.75" customHeight="1">
      <c r="A92" s="87"/>
      <c r="B92" s="7" t="s">
        <v>13</v>
      </c>
      <c r="C92" s="3">
        <v>10</v>
      </c>
      <c r="D92" s="3">
        <v>5</v>
      </c>
      <c r="E92" s="4">
        <f t="shared" si="7"/>
        <v>3.75</v>
      </c>
      <c r="F92" s="3">
        <v>3</v>
      </c>
      <c r="G92" s="3">
        <v>0</v>
      </c>
      <c r="H92" s="3">
        <v>1</v>
      </c>
      <c r="I92" s="3">
        <v>0</v>
      </c>
      <c r="J92" s="3">
        <v>0</v>
      </c>
      <c r="K92" s="3">
        <v>0</v>
      </c>
      <c r="L92" s="3"/>
      <c r="M92" s="5">
        <f t="shared" si="8"/>
        <v>0.25</v>
      </c>
      <c r="N92" s="28">
        <f t="shared" si="9"/>
        <v>93.75</v>
      </c>
      <c r="O92" s="7">
        <v>0</v>
      </c>
      <c r="P92" s="7">
        <v>1</v>
      </c>
      <c r="Q92" s="7">
        <v>10</v>
      </c>
      <c r="R92" s="7">
        <v>0</v>
      </c>
      <c r="S92" s="3">
        <v>5</v>
      </c>
      <c r="T92" s="37">
        <f t="shared" si="6"/>
        <v>16</v>
      </c>
      <c r="U92" s="28">
        <f t="shared" si="10"/>
        <v>141.07142857142858</v>
      </c>
      <c r="V92" s="59">
        <f t="shared" si="11"/>
        <v>-1</v>
      </c>
    </row>
    <row r="93" spans="1:22" ht="21.75" customHeight="1">
      <c r="A93" s="87"/>
      <c r="B93" s="7" t="s">
        <v>14</v>
      </c>
      <c r="C93" s="3">
        <v>9</v>
      </c>
      <c r="D93" s="3">
        <v>5</v>
      </c>
      <c r="E93" s="4">
        <f t="shared" si="7"/>
        <v>3.5892857142857144</v>
      </c>
      <c r="F93" s="3">
        <v>3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  <c r="M93" s="5">
        <f t="shared" si="8"/>
        <v>-0.58928571428571441</v>
      </c>
      <c r="N93" s="28">
        <f t="shared" si="9"/>
        <v>119.64285714285714</v>
      </c>
      <c r="O93" s="7">
        <v>0</v>
      </c>
      <c r="P93" s="7">
        <v>0</v>
      </c>
      <c r="Q93" s="7">
        <v>9</v>
      </c>
      <c r="R93" s="7">
        <v>0</v>
      </c>
      <c r="S93" s="3">
        <v>5</v>
      </c>
      <c r="T93" s="37">
        <f t="shared" si="6"/>
        <v>14</v>
      </c>
      <c r="U93" s="28">
        <f t="shared" si="10"/>
        <v>173.80952380952382</v>
      </c>
      <c r="V93" s="59">
        <f t="shared" si="11"/>
        <v>0</v>
      </c>
    </row>
    <row r="94" spans="1:22" ht="21.75" customHeight="1">
      <c r="A94" s="87">
        <v>29</v>
      </c>
      <c r="B94" s="7" t="s">
        <v>12</v>
      </c>
      <c r="C94" s="3">
        <v>10</v>
      </c>
      <c r="D94" s="3">
        <v>5</v>
      </c>
      <c r="E94" s="4">
        <f t="shared" si="7"/>
        <v>3.75</v>
      </c>
      <c r="F94" s="3">
        <v>3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/>
      <c r="M94" s="5">
        <f t="shared" si="8"/>
        <v>-0.75</v>
      </c>
      <c r="N94" s="28">
        <f t="shared" si="9"/>
        <v>125</v>
      </c>
      <c r="O94" s="7">
        <v>0</v>
      </c>
      <c r="P94" s="7">
        <v>0</v>
      </c>
      <c r="Q94" s="7">
        <v>9</v>
      </c>
      <c r="R94" s="7">
        <v>1</v>
      </c>
      <c r="S94" s="3">
        <v>5</v>
      </c>
      <c r="T94" s="37">
        <f t="shared" si="6"/>
        <v>15</v>
      </c>
      <c r="U94" s="28">
        <f t="shared" si="10"/>
        <v>185.71428571428572</v>
      </c>
      <c r="V94" s="59">
        <f t="shared" si="11"/>
        <v>0</v>
      </c>
    </row>
    <row r="95" spans="1:22" ht="21.75" customHeight="1">
      <c r="A95" s="87"/>
      <c r="B95" s="7" t="s">
        <v>13</v>
      </c>
      <c r="C95" s="3">
        <v>10</v>
      </c>
      <c r="D95" s="3">
        <v>5</v>
      </c>
      <c r="E95" s="4">
        <f t="shared" si="7"/>
        <v>3.75</v>
      </c>
      <c r="F95" s="3">
        <v>3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/>
      <c r="M95" s="5">
        <f t="shared" si="8"/>
        <v>-0.75</v>
      </c>
      <c r="N95" s="28">
        <f t="shared" si="9"/>
        <v>125</v>
      </c>
      <c r="O95" s="7">
        <v>0</v>
      </c>
      <c r="P95" s="7">
        <v>0</v>
      </c>
      <c r="Q95" s="7">
        <v>9</v>
      </c>
      <c r="R95" s="7">
        <v>1</v>
      </c>
      <c r="S95" s="3">
        <v>5</v>
      </c>
      <c r="T95" s="37">
        <f t="shared" si="6"/>
        <v>15</v>
      </c>
      <c r="U95" s="28">
        <f t="shared" si="10"/>
        <v>185.71428571428572</v>
      </c>
      <c r="V95" s="59">
        <f t="shared" si="11"/>
        <v>0</v>
      </c>
    </row>
    <row r="96" spans="1:22" ht="21.75" customHeight="1">
      <c r="A96" s="87"/>
      <c r="B96" s="7" t="s">
        <v>14</v>
      </c>
      <c r="C96" s="3">
        <v>10</v>
      </c>
      <c r="D96" s="3">
        <v>5</v>
      </c>
      <c r="E96" s="4">
        <f t="shared" si="7"/>
        <v>3.75</v>
      </c>
      <c r="F96" s="3">
        <v>3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  <c r="M96" s="5">
        <f t="shared" si="8"/>
        <v>-0.75</v>
      </c>
      <c r="N96" s="28">
        <f t="shared" si="9"/>
        <v>125</v>
      </c>
      <c r="O96" s="7">
        <v>0</v>
      </c>
      <c r="P96" s="7">
        <v>0</v>
      </c>
      <c r="Q96" s="7">
        <v>10</v>
      </c>
      <c r="R96" s="7">
        <v>1</v>
      </c>
      <c r="S96" s="3">
        <v>4</v>
      </c>
      <c r="T96" s="37">
        <f t="shared" si="6"/>
        <v>15</v>
      </c>
      <c r="U96" s="28">
        <f t="shared" si="10"/>
        <v>175.39682539682542</v>
      </c>
      <c r="V96" s="59">
        <f t="shared" si="11"/>
        <v>0</v>
      </c>
    </row>
    <row r="97" spans="1:22" ht="21.75" customHeight="1">
      <c r="A97" s="87">
        <v>30</v>
      </c>
      <c r="B97" s="7" t="s">
        <v>12</v>
      </c>
      <c r="C97" s="3">
        <v>10</v>
      </c>
      <c r="D97" s="3">
        <v>5</v>
      </c>
      <c r="E97" s="4">
        <f t="shared" si="7"/>
        <v>3.75</v>
      </c>
      <c r="F97" s="3">
        <v>3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  <c r="M97" s="5">
        <f t="shared" si="8"/>
        <v>-0.75</v>
      </c>
      <c r="N97" s="28">
        <f t="shared" si="9"/>
        <v>125</v>
      </c>
      <c r="O97" s="7">
        <v>0</v>
      </c>
      <c r="P97" s="7">
        <v>0</v>
      </c>
      <c r="Q97" s="7">
        <v>11</v>
      </c>
      <c r="R97" s="7">
        <v>0</v>
      </c>
      <c r="S97" s="3">
        <v>4</v>
      </c>
      <c r="T97" s="37">
        <f t="shared" si="6"/>
        <v>15</v>
      </c>
      <c r="U97" s="28">
        <f t="shared" si="10"/>
        <v>172.2222222222222</v>
      </c>
      <c r="V97" s="59">
        <f t="shared" si="11"/>
        <v>0</v>
      </c>
    </row>
    <row r="98" spans="1:22" ht="21.75" customHeight="1">
      <c r="A98" s="87"/>
      <c r="B98" s="7" t="s">
        <v>13</v>
      </c>
      <c r="C98" s="3">
        <v>11</v>
      </c>
      <c r="D98" s="3">
        <v>4</v>
      </c>
      <c r="E98" s="4">
        <f t="shared" si="7"/>
        <v>3.4821428571428572</v>
      </c>
      <c r="F98" s="3">
        <v>3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  <c r="M98" s="5">
        <f t="shared" si="8"/>
        <v>-0.48214285714285721</v>
      </c>
      <c r="N98" s="28">
        <f t="shared" si="9"/>
        <v>116.07142857142858</v>
      </c>
      <c r="O98" s="7">
        <v>0</v>
      </c>
      <c r="P98" s="7">
        <v>3</v>
      </c>
      <c r="Q98" s="7">
        <v>9</v>
      </c>
      <c r="R98" s="7">
        <v>0</v>
      </c>
      <c r="S98" s="3">
        <v>3</v>
      </c>
      <c r="T98" s="37">
        <f t="shared" si="6"/>
        <v>15</v>
      </c>
      <c r="U98" s="28">
        <f t="shared" si="10"/>
        <v>152.38095238095238</v>
      </c>
      <c r="V98" s="59">
        <f t="shared" si="11"/>
        <v>0</v>
      </c>
    </row>
    <row r="99" spans="1:22" ht="21.75" customHeight="1">
      <c r="A99" s="87"/>
      <c r="B99" s="7" t="s">
        <v>14</v>
      </c>
      <c r="C99" s="3">
        <v>10</v>
      </c>
      <c r="D99" s="3">
        <v>4</v>
      </c>
      <c r="E99" s="4">
        <f t="shared" si="7"/>
        <v>3.3214285714285716</v>
      </c>
      <c r="F99" s="3">
        <v>3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  <c r="M99" s="5">
        <f t="shared" si="8"/>
        <v>-0.32142857142857162</v>
      </c>
      <c r="N99" s="28">
        <f t="shared" si="9"/>
        <v>110.71428571428572</v>
      </c>
      <c r="O99" s="7">
        <v>0</v>
      </c>
      <c r="P99" s="7">
        <v>0</v>
      </c>
      <c r="Q99" s="7">
        <v>11</v>
      </c>
      <c r="R99" s="7">
        <v>0</v>
      </c>
      <c r="S99" s="3">
        <v>3</v>
      </c>
      <c r="T99" s="37">
        <f t="shared" si="6"/>
        <v>14</v>
      </c>
      <c r="U99" s="28">
        <f t="shared" si="10"/>
        <v>153.17460317460316</v>
      </c>
      <c r="V99" s="59">
        <f t="shared" si="11"/>
        <v>0</v>
      </c>
    </row>
    <row r="100" spans="1:22" ht="21.75" customHeight="1">
      <c r="A100" s="87">
        <v>31</v>
      </c>
      <c r="B100" s="7" t="s">
        <v>12</v>
      </c>
      <c r="C100" s="3"/>
      <c r="D100" s="3"/>
      <c r="E100" s="4">
        <f t="shared" si="7"/>
        <v>0</v>
      </c>
      <c r="F100" s="3"/>
      <c r="G100" s="3"/>
      <c r="H100" s="3"/>
      <c r="I100" s="3"/>
      <c r="J100" s="3"/>
      <c r="K100" s="3"/>
      <c r="L100" s="3"/>
      <c r="M100" s="5">
        <f t="shared" si="8"/>
        <v>0</v>
      </c>
      <c r="N100" s="28" t="e">
        <f t="shared" si="9"/>
        <v>#DIV/0!</v>
      </c>
      <c r="O100" s="7"/>
      <c r="P100" s="7"/>
      <c r="Q100" s="7"/>
      <c r="R100" s="7"/>
      <c r="S100" s="3"/>
      <c r="T100" s="37">
        <f t="shared" si="6"/>
        <v>0</v>
      </c>
      <c r="U100" s="28" t="e">
        <f t="shared" si="10"/>
        <v>#DIV/0!</v>
      </c>
      <c r="V100" s="59">
        <f t="shared" si="11"/>
        <v>0</v>
      </c>
    </row>
    <row r="101" spans="1:22" ht="21.75" customHeight="1">
      <c r="A101" s="87"/>
      <c r="B101" s="7" t="s">
        <v>13</v>
      </c>
      <c r="C101" s="3"/>
      <c r="D101" s="3"/>
      <c r="E101" s="4">
        <f t="shared" si="7"/>
        <v>0</v>
      </c>
      <c r="F101" s="3"/>
      <c r="G101" s="3"/>
      <c r="H101" s="3"/>
      <c r="I101" s="3"/>
      <c r="J101" s="3"/>
      <c r="K101" s="3"/>
      <c r="L101" s="3"/>
      <c r="M101" s="5">
        <f t="shared" si="8"/>
        <v>0</v>
      </c>
      <c r="N101" s="28" t="e">
        <f t="shared" si="9"/>
        <v>#DIV/0!</v>
      </c>
      <c r="O101" s="7"/>
      <c r="P101" s="7"/>
      <c r="Q101" s="7"/>
      <c r="R101" s="7"/>
      <c r="S101" s="3"/>
      <c r="T101" s="37">
        <f t="shared" si="6"/>
        <v>0</v>
      </c>
      <c r="U101" s="28" t="e">
        <f t="shared" si="10"/>
        <v>#DIV/0!</v>
      </c>
      <c r="V101" s="59"/>
    </row>
    <row r="102" spans="1:22" ht="21.75" customHeight="1">
      <c r="A102" s="87"/>
      <c r="B102" s="7" t="s">
        <v>14</v>
      </c>
      <c r="C102" s="3"/>
      <c r="D102" s="3"/>
      <c r="E102" s="4">
        <f t="shared" si="7"/>
        <v>0</v>
      </c>
      <c r="F102" s="3"/>
      <c r="G102" s="3"/>
      <c r="H102" s="3"/>
      <c r="I102" s="3"/>
      <c r="J102" s="3"/>
      <c r="K102" s="3"/>
      <c r="L102" s="3"/>
      <c r="M102" s="5">
        <f t="shared" si="8"/>
        <v>0</v>
      </c>
      <c r="N102" s="28" t="e">
        <f t="shared" si="9"/>
        <v>#DIV/0!</v>
      </c>
      <c r="O102" s="7"/>
      <c r="P102" s="7"/>
      <c r="Q102" s="7"/>
      <c r="R102" s="7"/>
      <c r="S102" s="3"/>
      <c r="T102" s="37">
        <f t="shared" si="6"/>
        <v>0</v>
      </c>
      <c r="U102" s="28" t="e">
        <f t="shared" si="10"/>
        <v>#DIV/0!</v>
      </c>
      <c r="V102" s="59"/>
    </row>
    <row r="103" spans="1:22" ht="21.75" customHeight="1">
      <c r="A103" s="87" t="s">
        <v>41</v>
      </c>
      <c r="B103" s="1" t="s">
        <v>12</v>
      </c>
      <c r="C103" s="37">
        <f>C10+C13+C16+C19+C22+C25+C28+C31+C34+C37+C40+C43+C46+C49+C52+C55+C58+C61+C64+C67+C70+C73+C76+C79+C82+C85+C88+C91+C94+C97+C100</f>
        <v>212</v>
      </c>
      <c r="D103" s="37">
        <f>D10+D13+D16+D19+D22+D25+D28+D31+D34+D37+D40+D43+D46+D49+D52+D55+D58+D61+D64+D67+D70+D73+D76+D79+D82+D85+D88+D91+D94+D97+D100</f>
        <v>145</v>
      </c>
      <c r="E103" s="4">
        <f>((($B$3*C103)+(12*D103))*$M$4)/7</f>
        <v>134.69999999999999</v>
      </c>
      <c r="F103" s="1">
        <f>F10+F13+F16+F19+F22+F25+F28+F31+F34+F37+F40+F42+F46+F49+F52+F55+F58+F61+F64+F67+F70+F73+F76+F79+F82+F85+F88+F91+F94+F97+F100</f>
        <v>86</v>
      </c>
      <c r="G103" s="1">
        <f t="shared" ref="F103:L105" si="12">G10+G13+G16+G19+G22+G25+G28+G31+G34+G37+G40+G43+G46+G49+G52+G55+G58+G61+G64+G67+G70+G73+G76+G79+G82+G85+G88+G91+G94+G97+G100</f>
        <v>0</v>
      </c>
      <c r="H103" s="1">
        <f t="shared" si="12"/>
        <v>0</v>
      </c>
      <c r="I103" s="1">
        <f t="shared" si="12"/>
        <v>4</v>
      </c>
      <c r="J103" s="1">
        <f t="shared" si="12"/>
        <v>0</v>
      </c>
      <c r="K103" s="1">
        <f t="shared" si="12"/>
        <v>0</v>
      </c>
      <c r="L103" s="1">
        <f t="shared" si="12"/>
        <v>0</v>
      </c>
      <c r="M103" s="5">
        <f t="shared" si="8"/>
        <v>-48.699999999999989</v>
      </c>
      <c r="N103" s="28">
        <f t="shared" si="9"/>
        <v>106.9047619047619</v>
      </c>
      <c r="O103" s="1">
        <f t="shared" ref="O103:S103" si="13">O10+O13+O16+O19+O22+O25+O28+O31+O34+O37+O40+O43+O46+O49+O52+O55+O58+O61+O64+O67+O70+O73+O76+O79+O82+O85+O88+O91+O94+O97+O100</f>
        <v>0</v>
      </c>
      <c r="P103" s="1">
        <f t="shared" si="13"/>
        <v>0</v>
      </c>
      <c r="Q103" s="1">
        <f t="shared" si="13"/>
        <v>235</v>
      </c>
      <c r="R103" s="1">
        <f t="shared" si="13"/>
        <v>26</v>
      </c>
      <c r="S103" s="1">
        <f t="shared" si="13"/>
        <v>97</v>
      </c>
      <c r="T103" s="37">
        <f t="shared" si="6"/>
        <v>358</v>
      </c>
      <c r="U103" s="28">
        <f t="shared" si="10"/>
        <v>140.29100529100529</v>
      </c>
      <c r="V103" s="59">
        <f t="shared" si="11"/>
        <v>-1</v>
      </c>
    </row>
    <row r="104" spans="1:22" ht="21.75" customHeight="1">
      <c r="A104" s="87"/>
      <c r="B104" s="1" t="s">
        <v>13</v>
      </c>
      <c r="C104" s="37">
        <f t="shared" ref="C104:D105" si="14">C11+C14+C17+C20+C23+C26+C29+C32+C35+C38+C41+C44+C47+C50+C53+C56+C59+C62+C65+C68+C71+C74+C77+C80+C83+C86+C89+C92+C95+C98+C101</f>
        <v>232</v>
      </c>
      <c r="D104" s="37">
        <f t="shared" si="14"/>
        <v>139</v>
      </c>
      <c r="E104" s="4">
        <f t="shared" ref="E104:E105" si="15">((($B$3*C104)+(12*D104))*$M$4)/7</f>
        <v>135.6</v>
      </c>
      <c r="F104" s="1">
        <f t="shared" si="12"/>
        <v>86</v>
      </c>
      <c r="G104" s="1">
        <f t="shared" si="12"/>
        <v>0</v>
      </c>
      <c r="H104" s="1">
        <f t="shared" ref="H104" si="16">H11+H14+H17+H20+H23+H26+H29+H32+H35+H38+H41+H44+H47+H50+H53+H56+H59+H62+H65+H68+H71+H74+H77+H80+H83+H86+H89+H92+H95+H98+H101</f>
        <v>12</v>
      </c>
      <c r="I104" s="1">
        <f t="shared" si="12"/>
        <v>13</v>
      </c>
      <c r="J104" s="1">
        <f t="shared" si="12"/>
        <v>0</v>
      </c>
      <c r="K104" s="1">
        <f t="shared" ref="K104" si="17">K11+K14+K17+K20+K23+K26+K29+K32+K35+K38+K41+K44+K47+K50+K53+K56+K59+K62+K65+K68+K71+K74+K77+K80+K83+K86+K89+K92+K95+K98+K101</f>
        <v>5</v>
      </c>
      <c r="L104" s="1">
        <f t="shared" si="12"/>
        <v>0</v>
      </c>
      <c r="M104" s="5">
        <f t="shared" si="8"/>
        <v>-37.599999999999994</v>
      </c>
      <c r="N104" s="28">
        <f t="shared" si="9"/>
        <v>83.497536945812811</v>
      </c>
      <c r="O104" s="1">
        <f t="shared" ref="O104:S104" si="18">O11+O14+O17+O20+O23+O26+O29+O32+O35+O38+O41+O44+O47+O50+O53+O56+O59+O62+O65+O68+O71+O74+O77+O80+O83+O86+O89+O92+O95+O98+O101</f>
        <v>0</v>
      </c>
      <c r="P104" s="1">
        <f t="shared" si="18"/>
        <v>40</v>
      </c>
      <c r="Q104" s="1">
        <f t="shared" si="18"/>
        <v>211</v>
      </c>
      <c r="R104" s="1">
        <f t="shared" si="18"/>
        <v>21</v>
      </c>
      <c r="S104" s="1">
        <f t="shared" si="18"/>
        <v>96</v>
      </c>
      <c r="T104" s="37">
        <f t="shared" si="6"/>
        <v>368</v>
      </c>
      <c r="U104" s="28">
        <f t="shared" si="10"/>
        <v>107.14285714285714</v>
      </c>
      <c r="V104" s="59">
        <f t="shared" si="11"/>
        <v>3</v>
      </c>
    </row>
    <row r="105" spans="1:22" ht="21.75" customHeight="1">
      <c r="A105" s="87"/>
      <c r="B105" s="1" t="s">
        <v>14</v>
      </c>
      <c r="C105" s="37">
        <f t="shared" si="14"/>
        <v>211</v>
      </c>
      <c r="D105" s="37">
        <f t="shared" si="14"/>
        <v>145</v>
      </c>
      <c r="E105" s="4">
        <f t="shared" si="15"/>
        <v>134.47499999999999</v>
      </c>
      <c r="F105" s="1" t="e">
        <f>F12+F15+F18+F21+F24+F27+F30+F33+F36+F39+#REF!+F45+F48+F51+F54+F57+F60+F63+F66+F69+F72+F75+F78+F81+F84+F87+F90+F93+F96+F99+F102</f>
        <v>#REF!</v>
      </c>
      <c r="G105" s="1">
        <f t="shared" si="12"/>
        <v>0</v>
      </c>
      <c r="H105" s="1">
        <f t="shared" ref="H105" si="19">H12+H15+H18+H21+H24+H27+H30+H33+H36+H39+H42+H45+H48+H51+H54+H57+H60+H63+H66+H69+H72+H75+H78+H81+H84+H87+H90+H93+H96+H99+H102</f>
        <v>4</v>
      </c>
      <c r="I105" s="1">
        <f t="shared" si="12"/>
        <v>6</v>
      </c>
      <c r="J105" s="1">
        <f t="shared" si="12"/>
        <v>0</v>
      </c>
      <c r="K105" s="1">
        <f t="shared" ref="K105" si="20">K12+K15+K18+K21+K24+K27+K30+K33+K36+K39+K42+K45+K48+K51+K54+K57+K60+K63+K66+K69+K72+K75+K78+K81+K84+K87+K90+K93+K96+K99+K102</f>
        <v>2</v>
      </c>
      <c r="L105" s="1">
        <f t="shared" si="12"/>
        <v>0</v>
      </c>
      <c r="M105" s="5" t="e">
        <f t="shared" si="8"/>
        <v>#REF!</v>
      </c>
      <c r="N105" s="28" t="e">
        <f t="shared" si="9"/>
        <v>#REF!</v>
      </c>
      <c r="O105" s="1">
        <f t="shared" ref="O105:S105" si="21">O12+O15+O18+O21+O24+O27+O30+O33+O36+O39+O42+O45+O48+O51+O54+O57+O60+O63+O66+O69+O72+O75+O78+O81+O84+O87+O90+O93+O96+O99+O102</f>
        <v>0</v>
      </c>
      <c r="P105" s="1">
        <f t="shared" si="21"/>
        <v>0</v>
      </c>
      <c r="Q105" s="1">
        <f t="shared" si="21"/>
        <v>231</v>
      </c>
      <c r="R105" s="1">
        <f t="shared" si="21"/>
        <v>29</v>
      </c>
      <c r="S105" s="1">
        <f t="shared" si="21"/>
        <v>95</v>
      </c>
      <c r="T105" s="37">
        <f t="shared" si="6"/>
        <v>355</v>
      </c>
      <c r="U105" s="28" t="e">
        <f t="shared" si="10"/>
        <v>#REF!</v>
      </c>
      <c r="V105" s="59">
        <f t="shared" si="11"/>
        <v>1</v>
      </c>
    </row>
    <row r="106" spans="1:22" ht="21.75" customHeight="1">
      <c r="A106" s="7" t="s">
        <v>42</v>
      </c>
      <c r="B106" s="7"/>
      <c r="C106" s="60">
        <f>SUM(C103:C105)/3</f>
        <v>218.33333333333334</v>
      </c>
      <c r="D106" s="60">
        <f>SUM(D103:D105)/3</f>
        <v>143</v>
      </c>
      <c r="E106" s="25"/>
      <c r="F106" s="42" t="e">
        <f>SUM(F103:F105)</f>
        <v>#REF!</v>
      </c>
      <c r="G106" s="42">
        <f t="shared" ref="G106:L106" si="22">SUM(G103:G105)</f>
        <v>0</v>
      </c>
      <c r="H106" s="42">
        <f t="shared" si="22"/>
        <v>16</v>
      </c>
      <c r="I106" s="42">
        <f t="shared" si="22"/>
        <v>23</v>
      </c>
      <c r="J106" s="42">
        <f t="shared" si="22"/>
        <v>0</v>
      </c>
      <c r="K106" s="42">
        <f t="shared" si="22"/>
        <v>7</v>
      </c>
      <c r="L106" s="42">
        <f t="shared" si="22"/>
        <v>0</v>
      </c>
      <c r="M106" s="5" t="e">
        <f t="shared" si="8"/>
        <v>#REF!</v>
      </c>
      <c r="N106" s="25"/>
      <c r="O106" s="25">
        <f>SUM(O103:O105)/3</f>
        <v>0</v>
      </c>
      <c r="P106" s="25">
        <f>SUM(P103:P105)/3</f>
        <v>13.333333333333334</v>
      </c>
      <c r="Q106" s="25">
        <f t="shared" ref="Q106:S106" si="23">SUM(Q103:Q105)/3</f>
        <v>225.66666666666666</v>
      </c>
      <c r="R106" s="25">
        <f t="shared" si="23"/>
        <v>25.333333333333332</v>
      </c>
      <c r="S106" s="25">
        <f t="shared" si="23"/>
        <v>96</v>
      </c>
      <c r="T106" s="37">
        <f t="shared" si="6"/>
        <v>360.33333333333331</v>
      </c>
      <c r="U106" s="28" t="e">
        <f t="shared" si="10"/>
        <v>#REF!</v>
      </c>
      <c r="V106" s="59">
        <f t="shared" si="11"/>
        <v>1.0000000000000568</v>
      </c>
    </row>
    <row r="114" spans="21:21" ht="21.75" customHeight="1">
      <c r="U114" s="2" t="s">
        <v>73</v>
      </c>
    </row>
  </sheetData>
  <mergeCells count="77">
    <mergeCell ref="O7:S7"/>
    <mergeCell ref="T7:T9"/>
    <mergeCell ref="O8:O9"/>
    <mergeCell ref="Q4:R4"/>
    <mergeCell ref="F5:L5"/>
    <mergeCell ref="O5:P5"/>
    <mergeCell ref="Q5:R5"/>
    <mergeCell ref="O6:Q6"/>
    <mergeCell ref="R6:S6"/>
    <mergeCell ref="P8:P9"/>
    <mergeCell ref="I4:L4"/>
    <mergeCell ref="E4:H4"/>
    <mergeCell ref="I6:K6"/>
    <mergeCell ref="A1:N1"/>
    <mergeCell ref="A2:N2"/>
    <mergeCell ref="M3:N3"/>
    <mergeCell ref="O3:P3"/>
    <mergeCell ref="Q3:R3"/>
    <mergeCell ref="I3:L3"/>
    <mergeCell ref="E3:H3"/>
    <mergeCell ref="C5:D5"/>
    <mergeCell ref="C6:D6"/>
    <mergeCell ref="N7:N9"/>
    <mergeCell ref="E7:E9"/>
    <mergeCell ref="F6:H6"/>
    <mergeCell ref="F7:K7"/>
    <mergeCell ref="I8:K8"/>
    <mergeCell ref="F8:H8"/>
    <mergeCell ref="A97:A99"/>
    <mergeCell ref="A100:A102"/>
    <mergeCell ref="A103:A105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91:A93"/>
    <mergeCell ref="A94:A96"/>
    <mergeCell ref="A49:A51"/>
    <mergeCell ref="A52:A54"/>
    <mergeCell ref="A55:A57"/>
    <mergeCell ref="A58:A60"/>
    <mergeCell ref="A61:A63"/>
    <mergeCell ref="A37:A39"/>
    <mergeCell ref="A40:A42"/>
    <mergeCell ref="A43:A45"/>
    <mergeCell ref="A46:A48"/>
    <mergeCell ref="A7:A9"/>
    <mergeCell ref="A10:A12"/>
    <mergeCell ref="A28:A30"/>
    <mergeCell ref="A31:A33"/>
    <mergeCell ref="A34:A36"/>
    <mergeCell ref="A13:A15"/>
    <mergeCell ref="A16:A18"/>
    <mergeCell ref="A19:A21"/>
    <mergeCell ref="A22:A24"/>
    <mergeCell ref="A25:A27"/>
    <mergeCell ref="U7:U9"/>
    <mergeCell ref="L7:L9"/>
    <mergeCell ref="M7:M9"/>
    <mergeCell ref="A3:A4"/>
    <mergeCell ref="B3:B4"/>
    <mergeCell ref="C3:C4"/>
    <mergeCell ref="Q8:Q9"/>
    <mergeCell ref="R8:R9"/>
    <mergeCell ref="S8:S9"/>
    <mergeCell ref="M4:N4"/>
    <mergeCell ref="O4:P4"/>
    <mergeCell ref="B7:B9"/>
    <mergeCell ref="C7:C9"/>
    <mergeCell ref="D7:D9"/>
    <mergeCell ref="A5:B5"/>
    <mergeCell ref="A6:B6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06"/>
  <sheetViews>
    <sheetView tabSelected="1" zoomScale="85" zoomScaleNormal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E10" sqref="E10"/>
    </sheetView>
  </sheetViews>
  <sheetFormatPr defaultColWidth="9" defaultRowHeight="21.75" customHeight="1"/>
  <cols>
    <col min="1" max="1" width="10.33203125" style="2" customWidth="1"/>
    <col min="2" max="2" width="4.109375" style="2" customWidth="1"/>
    <col min="3" max="3" width="8.6640625" style="2" customWidth="1"/>
    <col min="4" max="4" width="9.33203125" style="2" customWidth="1"/>
    <col min="5" max="5" width="7.109375" style="2" customWidth="1"/>
    <col min="6" max="6" width="7.77734375" style="2" customWidth="1"/>
    <col min="7" max="8" width="6" style="2" customWidth="1"/>
    <col min="9" max="9" width="5.33203125" style="2" bestFit="1" customWidth="1"/>
    <col min="10" max="11" width="6.33203125" style="2" customWidth="1"/>
    <col min="12" max="12" width="6" style="2" customWidth="1"/>
    <col min="13" max="13" width="6.88671875" style="2" bestFit="1" customWidth="1"/>
    <col min="14" max="14" width="7.88671875" style="2" bestFit="1" customWidth="1"/>
    <col min="15" max="15" width="5.33203125" style="2" bestFit="1" customWidth="1"/>
    <col min="16" max="17" width="6.33203125" style="2" bestFit="1" customWidth="1"/>
    <col min="18" max="18" width="5" style="2" customWidth="1"/>
    <col min="19" max="19" width="8.44140625" style="2" customWidth="1"/>
    <col min="20" max="20" width="8" style="2" customWidth="1"/>
    <col min="21" max="21" width="12.21875" style="2" customWidth="1"/>
    <col min="22" max="22" width="4.109375" style="2" bestFit="1" customWidth="1"/>
    <col min="23" max="16384" width="9" style="2"/>
  </cols>
  <sheetData>
    <row r="1" spans="1:22" ht="21.75" customHeight="1">
      <c r="A1" s="90" t="s">
        <v>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</row>
    <row r="2" spans="1:22" ht="21.75" customHeight="1">
      <c r="A2" s="90" t="s">
        <v>81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</row>
    <row r="3" spans="1:22" ht="21.75" customHeight="1">
      <c r="A3" s="91" t="s">
        <v>10</v>
      </c>
      <c r="B3" s="92">
        <v>4.5</v>
      </c>
      <c r="C3" s="93" t="s">
        <v>11</v>
      </c>
      <c r="D3" s="38"/>
      <c r="E3" s="116" t="s">
        <v>12</v>
      </c>
      <c r="F3" s="95"/>
      <c r="G3" s="95"/>
      <c r="H3" s="96"/>
      <c r="I3" s="93" t="s">
        <v>13</v>
      </c>
      <c r="J3" s="93"/>
      <c r="K3" s="93"/>
      <c r="L3" s="93"/>
      <c r="M3" s="95" t="s">
        <v>14</v>
      </c>
      <c r="N3" s="96"/>
      <c r="O3" s="113" t="s">
        <v>15</v>
      </c>
      <c r="P3" s="113"/>
      <c r="Q3" s="115">
        <f>((F103+F105)*240)+((G103+G105)*180)</f>
        <v>41040</v>
      </c>
      <c r="R3" s="115"/>
      <c r="S3" s="7" t="s">
        <v>16</v>
      </c>
    </row>
    <row r="4" spans="1:22" ht="21.75" customHeight="1">
      <c r="A4" s="91"/>
      <c r="B4" s="92"/>
      <c r="C4" s="93"/>
      <c r="D4" s="38"/>
      <c r="E4" s="114">
        <v>0.25</v>
      </c>
      <c r="F4" s="97"/>
      <c r="G4" s="97"/>
      <c r="H4" s="98"/>
      <c r="I4" s="94">
        <v>0.4</v>
      </c>
      <c r="J4" s="94"/>
      <c r="K4" s="94"/>
      <c r="L4" s="94"/>
      <c r="M4" s="97">
        <v>0.35</v>
      </c>
      <c r="N4" s="98"/>
      <c r="O4" s="113" t="s">
        <v>17</v>
      </c>
      <c r="P4" s="113"/>
      <c r="Q4" s="115">
        <f>((I103+L103+I104+L104+I105+L105)*660)+((J103+J105+J104)*530)</f>
        <v>18480</v>
      </c>
      <c r="R4" s="115"/>
      <c r="S4" s="7" t="s">
        <v>16</v>
      </c>
    </row>
    <row r="5" spans="1:22" ht="21.75" customHeight="1">
      <c r="A5" s="99" t="s">
        <v>18</v>
      </c>
      <c r="B5" s="99"/>
      <c r="C5" s="103">
        <v>15</v>
      </c>
      <c r="D5" s="104"/>
      <c r="E5" s="35" t="s">
        <v>19</v>
      </c>
      <c r="F5" s="114" t="s">
        <v>20</v>
      </c>
      <c r="G5" s="97"/>
      <c r="H5" s="97"/>
      <c r="I5" s="97"/>
      <c r="J5" s="97"/>
      <c r="K5" s="97"/>
      <c r="L5" s="97"/>
      <c r="M5" s="6">
        <v>18</v>
      </c>
      <c r="N5" s="34" t="s">
        <v>21</v>
      </c>
      <c r="O5" s="113"/>
      <c r="P5" s="113"/>
      <c r="Q5" s="115"/>
      <c r="R5" s="115"/>
      <c r="S5" s="7"/>
    </row>
    <row r="6" spans="1:22" ht="21.75" customHeight="1">
      <c r="A6" s="99" t="s">
        <v>23</v>
      </c>
      <c r="B6" s="99"/>
      <c r="C6" s="105">
        <f>((C106*12)/(M5*7)+((D106*12)/(M5*7)))</f>
        <v>34.571428571428569</v>
      </c>
      <c r="D6" s="106"/>
      <c r="E6" s="35" t="s">
        <v>19</v>
      </c>
      <c r="F6" s="80" t="s">
        <v>24</v>
      </c>
      <c r="G6" s="81"/>
      <c r="H6" s="82"/>
      <c r="I6" s="77">
        <f>C5-C6</f>
        <v>-19.571428571428569</v>
      </c>
      <c r="J6" s="78"/>
      <c r="K6" s="79"/>
      <c r="L6" s="39" t="s">
        <v>19</v>
      </c>
      <c r="M6" s="36" t="s">
        <v>25</v>
      </c>
      <c r="N6" s="27">
        <f>((((C106*4.5)+(D106*12))/((F106+G106+H106+I106+J106+K106+L106)*7)))*100</f>
        <v>131.85267857142858</v>
      </c>
      <c r="O6" s="71" t="s">
        <v>26</v>
      </c>
      <c r="P6" s="71"/>
      <c r="Q6" s="71"/>
      <c r="R6" s="72">
        <f>U106</f>
        <v>42.244543650793652</v>
      </c>
      <c r="S6" s="73"/>
    </row>
    <row r="7" spans="1:22" ht="21.75" customHeight="1">
      <c r="A7" s="65" t="s">
        <v>27</v>
      </c>
      <c r="B7" s="65" t="s">
        <v>28</v>
      </c>
      <c r="C7" s="100" t="s">
        <v>77</v>
      </c>
      <c r="D7" s="100" t="s">
        <v>78</v>
      </c>
      <c r="E7" s="65" t="s">
        <v>30</v>
      </c>
      <c r="F7" s="74" t="s">
        <v>31</v>
      </c>
      <c r="G7" s="75"/>
      <c r="H7" s="75"/>
      <c r="I7" s="75"/>
      <c r="J7" s="75"/>
      <c r="K7" s="76"/>
      <c r="L7" s="65" t="s">
        <v>32</v>
      </c>
      <c r="M7" s="65" t="s">
        <v>33</v>
      </c>
      <c r="N7" s="68" t="s">
        <v>25</v>
      </c>
      <c r="O7" s="87" t="s">
        <v>34</v>
      </c>
      <c r="P7" s="87"/>
      <c r="Q7" s="87"/>
      <c r="R7" s="87"/>
      <c r="S7" s="87"/>
      <c r="T7" s="83" t="s">
        <v>35</v>
      </c>
      <c r="U7" s="85" t="s">
        <v>26</v>
      </c>
    </row>
    <row r="8" spans="1:22" ht="21.75" customHeight="1">
      <c r="A8" s="66"/>
      <c r="B8" s="66"/>
      <c r="C8" s="101"/>
      <c r="D8" s="101"/>
      <c r="E8" s="66"/>
      <c r="F8" s="120" t="s">
        <v>37</v>
      </c>
      <c r="G8" s="121"/>
      <c r="H8" s="122"/>
      <c r="I8" s="117" t="s">
        <v>38</v>
      </c>
      <c r="J8" s="118"/>
      <c r="K8" s="119"/>
      <c r="L8" s="66"/>
      <c r="M8" s="66"/>
      <c r="N8" s="69"/>
      <c r="O8" s="88">
        <v>1</v>
      </c>
      <c r="P8" s="88">
        <v>2</v>
      </c>
      <c r="Q8" s="88">
        <v>3</v>
      </c>
      <c r="R8" s="88">
        <v>4</v>
      </c>
      <c r="S8" s="88">
        <v>5</v>
      </c>
      <c r="T8" s="83"/>
      <c r="U8" s="85"/>
    </row>
    <row r="9" spans="1:22" ht="21.75" customHeight="1">
      <c r="A9" s="67"/>
      <c r="B9" s="67"/>
      <c r="C9" s="102"/>
      <c r="D9" s="102"/>
      <c r="E9" s="67"/>
      <c r="F9" s="24" t="s">
        <v>39</v>
      </c>
      <c r="G9" s="24" t="s">
        <v>40</v>
      </c>
      <c r="H9" s="24" t="s">
        <v>76</v>
      </c>
      <c r="I9" s="57" t="s">
        <v>39</v>
      </c>
      <c r="J9" s="57" t="s">
        <v>40</v>
      </c>
      <c r="K9" s="57" t="s">
        <v>76</v>
      </c>
      <c r="L9" s="67"/>
      <c r="M9" s="67"/>
      <c r="N9" s="70"/>
      <c r="O9" s="89"/>
      <c r="P9" s="89"/>
      <c r="Q9" s="89"/>
      <c r="R9" s="89"/>
      <c r="S9" s="89"/>
      <c r="T9" s="84"/>
      <c r="U9" s="86"/>
    </row>
    <row r="10" spans="1:22" ht="21.75" customHeight="1">
      <c r="A10" s="87">
        <v>1</v>
      </c>
      <c r="B10" s="7" t="s">
        <v>12</v>
      </c>
      <c r="C10" s="3">
        <v>9</v>
      </c>
      <c r="D10" s="3">
        <v>4</v>
      </c>
      <c r="E10" s="4">
        <f>((($B$3*C10)+(12*D10))*$E$4)/7</f>
        <v>3.1607142857142856</v>
      </c>
      <c r="F10" s="3">
        <v>2</v>
      </c>
      <c r="G10" s="3">
        <v>0</v>
      </c>
      <c r="H10" s="3">
        <v>0</v>
      </c>
      <c r="I10" s="3">
        <v>1</v>
      </c>
      <c r="J10" s="3">
        <v>0</v>
      </c>
      <c r="K10" s="3">
        <v>0</v>
      </c>
      <c r="L10" s="3"/>
      <c r="M10" s="5">
        <f>(F10+G10+H10+L10)-E10</f>
        <v>-1.1607142857142856</v>
      </c>
      <c r="N10" s="28">
        <f>(((C10*4.5)+(12*D10))*$E$4)/((F10+G10+H10+I10+J10+K10+L10)*7)*100</f>
        <v>105.35714285714286</v>
      </c>
      <c r="O10" s="7">
        <v>0</v>
      </c>
      <c r="P10" s="7">
        <v>0</v>
      </c>
      <c r="Q10" s="7">
        <v>10</v>
      </c>
      <c r="R10" s="7">
        <v>0</v>
      </c>
      <c r="S10" s="3">
        <v>3</v>
      </c>
      <c r="T10" s="37">
        <f t="shared" ref="T10:T73" si="0">SUM(O10:S10)</f>
        <v>13</v>
      </c>
      <c r="U10" s="28">
        <f>((((O10*1.5+(P10*3.5)+(Q10*5.5)+(R10*7.5)+(S10*12)))/3)/((F10+G10+H10+I10+J10+K10+L10)*7))*100</f>
        <v>144.44444444444443</v>
      </c>
      <c r="V10" s="59">
        <f>C10+D10-T10</f>
        <v>0</v>
      </c>
    </row>
    <row r="11" spans="1:22" ht="21.75" customHeight="1">
      <c r="A11" s="87"/>
      <c r="B11" s="7" t="s">
        <v>13</v>
      </c>
      <c r="C11" s="3">
        <v>13</v>
      </c>
      <c r="D11" s="3">
        <v>4</v>
      </c>
      <c r="E11" s="4">
        <f t="shared" ref="E11:E74" si="1">((($B$3*C11)+(12*D11))*$E$4)/7</f>
        <v>3.8035714285714284</v>
      </c>
      <c r="F11" s="3">
        <v>3</v>
      </c>
      <c r="G11" s="3">
        <v>0</v>
      </c>
      <c r="H11" s="3">
        <v>0</v>
      </c>
      <c r="I11" s="3">
        <v>0</v>
      </c>
      <c r="J11" s="3">
        <v>0</v>
      </c>
      <c r="K11" s="3">
        <v>1</v>
      </c>
      <c r="L11" s="3"/>
      <c r="M11" s="5">
        <f t="shared" ref="M11:M74" si="2">(F11+G11+H11+L11)-E11</f>
        <v>-0.80357142857142838</v>
      </c>
      <c r="N11" s="28">
        <f t="shared" ref="N11:N74" si="3">(((C11*4.5)+(12*D11))*$E$4)/((F11+G11+H11+I11+J11+K11+L11)*7)*100</f>
        <v>95.089285714285708</v>
      </c>
      <c r="O11" s="7">
        <v>0</v>
      </c>
      <c r="P11" s="7">
        <v>0</v>
      </c>
      <c r="Q11" s="7">
        <v>13</v>
      </c>
      <c r="R11" s="7">
        <v>0</v>
      </c>
      <c r="S11" s="3">
        <v>4</v>
      </c>
      <c r="T11" s="37">
        <f t="shared" si="0"/>
        <v>17</v>
      </c>
      <c r="U11" s="28">
        <f t="shared" ref="U11:U74" si="4">((((O11*1.5+(P11*3.5)+(Q11*5.5)+(R11*7.5)+(S11*12)))/3)/((F11+G11+H11+I11+J11+K11+L11)*7))*100</f>
        <v>142.26190476190476</v>
      </c>
      <c r="V11" s="59">
        <f t="shared" ref="V11:V74" si="5">C11+D11-T11</f>
        <v>0</v>
      </c>
    </row>
    <row r="12" spans="1:22" ht="21.75" customHeight="1">
      <c r="A12" s="87"/>
      <c r="B12" s="7" t="s">
        <v>14</v>
      </c>
      <c r="C12" s="3">
        <v>11</v>
      </c>
      <c r="D12" s="3">
        <v>4</v>
      </c>
      <c r="E12" s="4">
        <f t="shared" si="1"/>
        <v>3.4821428571428572</v>
      </c>
      <c r="F12" s="3">
        <v>3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/>
      <c r="M12" s="5">
        <f t="shared" si="2"/>
        <v>-0.48214285714285721</v>
      </c>
      <c r="N12" s="28">
        <f t="shared" si="3"/>
        <v>116.07142857142858</v>
      </c>
      <c r="O12" s="7">
        <v>0</v>
      </c>
      <c r="P12" s="7">
        <v>0</v>
      </c>
      <c r="Q12" s="7">
        <v>11</v>
      </c>
      <c r="R12" s="7">
        <v>0</v>
      </c>
      <c r="S12" s="3">
        <v>4</v>
      </c>
      <c r="T12" s="37">
        <f t="shared" si="0"/>
        <v>15</v>
      </c>
      <c r="U12" s="28">
        <f t="shared" si="4"/>
        <v>172.2222222222222</v>
      </c>
      <c r="V12" s="59">
        <f t="shared" si="5"/>
        <v>0</v>
      </c>
    </row>
    <row r="13" spans="1:22" ht="21.75" customHeight="1">
      <c r="A13" s="87">
        <v>2</v>
      </c>
      <c r="B13" s="7" t="s">
        <v>12</v>
      </c>
      <c r="C13" s="3">
        <v>11</v>
      </c>
      <c r="D13" s="3">
        <v>4</v>
      </c>
      <c r="E13" s="4">
        <f t="shared" si="1"/>
        <v>3.4821428571428572</v>
      </c>
      <c r="F13" s="3">
        <v>3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  <c r="M13" s="5">
        <f t="shared" si="2"/>
        <v>-0.48214285714285721</v>
      </c>
      <c r="N13" s="28">
        <f t="shared" si="3"/>
        <v>116.07142857142858</v>
      </c>
      <c r="O13" s="7">
        <v>0</v>
      </c>
      <c r="P13" s="7">
        <v>0</v>
      </c>
      <c r="Q13" s="7">
        <v>11</v>
      </c>
      <c r="R13" s="7">
        <v>0</v>
      </c>
      <c r="S13" s="3">
        <v>4</v>
      </c>
      <c r="T13" s="37">
        <f t="shared" si="0"/>
        <v>15</v>
      </c>
      <c r="U13" s="28">
        <f t="shared" si="4"/>
        <v>172.2222222222222</v>
      </c>
      <c r="V13" s="59">
        <f t="shared" si="5"/>
        <v>0</v>
      </c>
    </row>
    <row r="14" spans="1:22" ht="21.75" customHeight="1">
      <c r="A14" s="87"/>
      <c r="B14" s="7" t="s">
        <v>13</v>
      </c>
      <c r="C14" s="3">
        <v>10</v>
      </c>
      <c r="D14" s="3">
        <v>4</v>
      </c>
      <c r="E14" s="4">
        <f t="shared" si="1"/>
        <v>3.3214285714285716</v>
      </c>
      <c r="F14" s="3">
        <v>2</v>
      </c>
      <c r="G14" s="3">
        <v>0</v>
      </c>
      <c r="H14" s="3">
        <v>0</v>
      </c>
      <c r="I14" s="3">
        <v>1</v>
      </c>
      <c r="J14" s="3">
        <v>0</v>
      </c>
      <c r="K14" s="3">
        <v>1</v>
      </c>
      <c r="L14" s="3"/>
      <c r="M14" s="5">
        <f t="shared" si="2"/>
        <v>-1.3214285714285716</v>
      </c>
      <c r="N14" s="28">
        <f t="shared" si="3"/>
        <v>83.035714285714292</v>
      </c>
      <c r="O14" s="7">
        <v>0</v>
      </c>
      <c r="P14" s="7">
        <v>2</v>
      </c>
      <c r="Q14" s="7">
        <v>8</v>
      </c>
      <c r="R14" s="7">
        <v>0</v>
      </c>
      <c r="S14" s="3">
        <v>4</v>
      </c>
      <c r="T14" s="37">
        <f t="shared" si="0"/>
        <v>14</v>
      </c>
      <c r="U14" s="28">
        <f t="shared" si="4"/>
        <v>117.85714285714286</v>
      </c>
      <c r="V14" s="59">
        <f t="shared" si="5"/>
        <v>0</v>
      </c>
    </row>
    <row r="15" spans="1:22" ht="21.75" customHeight="1">
      <c r="A15" s="87"/>
      <c r="B15" s="7" t="s">
        <v>14</v>
      </c>
      <c r="C15" s="3">
        <v>10</v>
      </c>
      <c r="D15" s="3">
        <v>4</v>
      </c>
      <c r="E15" s="4">
        <f t="shared" si="1"/>
        <v>3.3214285714285716</v>
      </c>
      <c r="F15" s="3">
        <v>3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  <c r="M15" s="5">
        <f t="shared" si="2"/>
        <v>-0.32142857142857162</v>
      </c>
      <c r="N15" s="28">
        <f t="shared" si="3"/>
        <v>110.71428571428572</v>
      </c>
      <c r="O15" s="7">
        <v>0</v>
      </c>
      <c r="P15" s="7">
        <v>0</v>
      </c>
      <c r="Q15" s="7">
        <v>10</v>
      </c>
      <c r="R15" s="7">
        <v>1</v>
      </c>
      <c r="S15" s="3">
        <v>3</v>
      </c>
      <c r="T15" s="37">
        <f t="shared" si="0"/>
        <v>14</v>
      </c>
      <c r="U15" s="28">
        <f t="shared" si="4"/>
        <v>156.34920634920638</v>
      </c>
      <c r="V15" s="59">
        <f t="shared" si="5"/>
        <v>0</v>
      </c>
    </row>
    <row r="16" spans="1:22" ht="21.75" customHeight="1">
      <c r="A16" s="87">
        <v>3</v>
      </c>
      <c r="B16" s="7" t="s">
        <v>12</v>
      </c>
      <c r="C16" s="3">
        <v>10</v>
      </c>
      <c r="D16" s="3">
        <v>4</v>
      </c>
      <c r="E16" s="4">
        <f t="shared" si="1"/>
        <v>3.3214285714285716</v>
      </c>
      <c r="F16" s="3">
        <v>3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5">
        <f t="shared" si="2"/>
        <v>-0.32142857142857162</v>
      </c>
      <c r="N16" s="28">
        <f t="shared" si="3"/>
        <v>110.71428571428572</v>
      </c>
      <c r="O16" s="7">
        <v>0</v>
      </c>
      <c r="P16" s="7">
        <v>0</v>
      </c>
      <c r="Q16" s="7">
        <v>11</v>
      </c>
      <c r="R16" s="7">
        <v>1</v>
      </c>
      <c r="S16" s="3">
        <v>2</v>
      </c>
      <c r="T16" s="37">
        <f t="shared" si="0"/>
        <v>14</v>
      </c>
      <c r="U16" s="28">
        <f t="shared" si="4"/>
        <v>146.03174603174605</v>
      </c>
      <c r="V16" s="59">
        <f t="shared" si="5"/>
        <v>0</v>
      </c>
    </row>
    <row r="17" spans="1:22" ht="21.75" customHeight="1">
      <c r="A17" s="87"/>
      <c r="B17" s="7" t="s">
        <v>13</v>
      </c>
      <c r="C17" s="3">
        <v>12</v>
      </c>
      <c r="D17" s="3">
        <v>5</v>
      </c>
      <c r="E17" s="4">
        <f t="shared" si="1"/>
        <v>4.0714285714285712</v>
      </c>
      <c r="F17" s="3">
        <v>3</v>
      </c>
      <c r="G17" s="3">
        <v>0</v>
      </c>
      <c r="H17" s="3">
        <v>0</v>
      </c>
      <c r="I17" s="3">
        <v>0</v>
      </c>
      <c r="J17" s="3">
        <v>0</v>
      </c>
      <c r="K17" s="3">
        <v>1</v>
      </c>
      <c r="L17" s="3"/>
      <c r="M17" s="5">
        <f t="shared" si="2"/>
        <v>-1.0714285714285712</v>
      </c>
      <c r="N17" s="28">
        <f t="shared" si="3"/>
        <v>101.78571428571428</v>
      </c>
      <c r="O17" s="7">
        <v>0</v>
      </c>
      <c r="P17" s="7">
        <v>3</v>
      </c>
      <c r="Q17" s="7">
        <v>10</v>
      </c>
      <c r="R17" s="7">
        <v>2</v>
      </c>
      <c r="S17" s="3">
        <v>2</v>
      </c>
      <c r="T17" s="37">
        <f t="shared" si="0"/>
        <v>17</v>
      </c>
      <c r="U17" s="28">
        <f t="shared" si="4"/>
        <v>124.40476190476191</v>
      </c>
      <c r="V17" s="59">
        <f t="shared" si="5"/>
        <v>0</v>
      </c>
    </row>
    <row r="18" spans="1:22" ht="21.75" customHeight="1">
      <c r="A18" s="87"/>
      <c r="B18" s="7" t="s">
        <v>14</v>
      </c>
      <c r="C18" s="3">
        <v>8</v>
      </c>
      <c r="D18" s="3">
        <v>5</v>
      </c>
      <c r="E18" s="4">
        <f t="shared" si="1"/>
        <v>3.4285714285714284</v>
      </c>
      <c r="F18" s="3">
        <v>3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5">
        <f t="shared" si="2"/>
        <v>-0.42857142857142838</v>
      </c>
      <c r="N18" s="28">
        <f t="shared" si="3"/>
        <v>114.28571428571428</v>
      </c>
      <c r="O18" s="7">
        <v>0</v>
      </c>
      <c r="P18" s="7">
        <v>0</v>
      </c>
      <c r="Q18" s="7">
        <v>9</v>
      </c>
      <c r="R18" s="7">
        <v>1</v>
      </c>
      <c r="S18" s="3">
        <v>3</v>
      </c>
      <c r="T18" s="37">
        <f t="shared" si="0"/>
        <v>13</v>
      </c>
      <c r="U18" s="28">
        <f t="shared" si="4"/>
        <v>147.61904761904762</v>
      </c>
      <c r="V18" s="59">
        <f t="shared" si="5"/>
        <v>0</v>
      </c>
    </row>
    <row r="19" spans="1:22" ht="21.75" customHeight="1">
      <c r="A19" s="87">
        <v>4</v>
      </c>
      <c r="B19" s="7" t="s">
        <v>12</v>
      </c>
      <c r="C19" s="3">
        <v>8</v>
      </c>
      <c r="D19" s="3">
        <v>5</v>
      </c>
      <c r="E19" s="4">
        <f t="shared" si="1"/>
        <v>3.4285714285714284</v>
      </c>
      <c r="F19" s="3">
        <v>3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5">
        <f t="shared" si="2"/>
        <v>-0.42857142857142838</v>
      </c>
      <c r="N19" s="28">
        <f t="shared" si="3"/>
        <v>114.28571428571428</v>
      </c>
      <c r="O19" s="7">
        <v>0</v>
      </c>
      <c r="P19" s="7">
        <v>0</v>
      </c>
      <c r="Q19" s="7">
        <v>9</v>
      </c>
      <c r="R19" s="7">
        <v>1</v>
      </c>
      <c r="S19" s="3">
        <v>3</v>
      </c>
      <c r="T19" s="37">
        <f t="shared" si="0"/>
        <v>13</v>
      </c>
      <c r="U19" s="28">
        <f t="shared" si="4"/>
        <v>147.61904761904762</v>
      </c>
      <c r="V19" s="59">
        <f t="shared" si="5"/>
        <v>0</v>
      </c>
    </row>
    <row r="20" spans="1:22" ht="21.75" customHeight="1">
      <c r="A20" s="87"/>
      <c r="B20" s="7" t="s">
        <v>13</v>
      </c>
      <c r="C20" s="3">
        <v>10</v>
      </c>
      <c r="D20" s="3">
        <v>6</v>
      </c>
      <c r="E20" s="4">
        <f t="shared" si="1"/>
        <v>4.1785714285714288</v>
      </c>
      <c r="F20" s="3">
        <v>1</v>
      </c>
      <c r="G20" s="3">
        <v>0</v>
      </c>
      <c r="H20" s="3">
        <v>0</v>
      </c>
      <c r="I20" s="3">
        <v>2</v>
      </c>
      <c r="J20" s="3">
        <v>0</v>
      </c>
      <c r="K20" s="3">
        <v>1</v>
      </c>
      <c r="L20" s="3"/>
      <c r="M20" s="5">
        <f t="shared" si="2"/>
        <v>-3.1785714285714288</v>
      </c>
      <c r="N20" s="28">
        <f t="shared" si="3"/>
        <v>104.46428571428572</v>
      </c>
      <c r="O20" s="7">
        <v>0</v>
      </c>
      <c r="P20" s="7">
        <v>1</v>
      </c>
      <c r="Q20" s="7">
        <v>10</v>
      </c>
      <c r="R20" s="7">
        <v>1</v>
      </c>
      <c r="S20" s="3">
        <v>5</v>
      </c>
      <c r="T20" s="37">
        <f t="shared" si="0"/>
        <v>17</v>
      </c>
      <c r="U20" s="28">
        <f t="shared" si="4"/>
        <v>150</v>
      </c>
      <c r="V20" s="59">
        <f t="shared" si="5"/>
        <v>-1</v>
      </c>
    </row>
    <row r="21" spans="1:22" ht="21.75" customHeight="1">
      <c r="A21" s="87"/>
      <c r="B21" s="7" t="s">
        <v>14</v>
      </c>
      <c r="C21" s="3">
        <v>9</v>
      </c>
      <c r="D21" s="3">
        <v>6</v>
      </c>
      <c r="E21" s="4">
        <f t="shared" si="1"/>
        <v>4.0178571428571432</v>
      </c>
      <c r="F21" s="3">
        <v>3</v>
      </c>
      <c r="G21" s="3">
        <v>0</v>
      </c>
      <c r="H21" s="3">
        <v>1</v>
      </c>
      <c r="I21" s="3">
        <v>0</v>
      </c>
      <c r="J21" s="3">
        <v>0</v>
      </c>
      <c r="K21" s="3">
        <v>0</v>
      </c>
      <c r="L21" s="3"/>
      <c r="M21" s="5">
        <f t="shared" si="2"/>
        <v>-1.7857142857143238E-2</v>
      </c>
      <c r="N21" s="28">
        <f t="shared" si="3"/>
        <v>100.44642857142858</v>
      </c>
      <c r="O21" s="7">
        <v>0</v>
      </c>
      <c r="P21" s="7">
        <v>0</v>
      </c>
      <c r="Q21" s="7">
        <v>9</v>
      </c>
      <c r="R21" s="7">
        <v>1</v>
      </c>
      <c r="S21" s="3">
        <v>5</v>
      </c>
      <c r="T21" s="37">
        <f t="shared" si="0"/>
        <v>15</v>
      </c>
      <c r="U21" s="28">
        <f t="shared" si="4"/>
        <v>139.28571428571428</v>
      </c>
      <c r="V21" s="59">
        <f t="shared" si="5"/>
        <v>0</v>
      </c>
    </row>
    <row r="22" spans="1:22" ht="21.75" customHeight="1">
      <c r="A22" s="87">
        <v>5</v>
      </c>
      <c r="B22" s="7" t="s">
        <v>12</v>
      </c>
      <c r="C22" s="3">
        <v>9</v>
      </c>
      <c r="D22" s="3">
        <v>6</v>
      </c>
      <c r="E22" s="4">
        <f t="shared" si="1"/>
        <v>4.0178571428571432</v>
      </c>
      <c r="F22" s="3">
        <v>3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  <c r="M22" s="5">
        <f t="shared" si="2"/>
        <v>-1.0178571428571432</v>
      </c>
      <c r="N22" s="28">
        <f t="shared" si="3"/>
        <v>133.92857142857142</v>
      </c>
      <c r="O22" s="7">
        <v>0</v>
      </c>
      <c r="P22" s="7">
        <v>0</v>
      </c>
      <c r="Q22" s="7">
        <v>9</v>
      </c>
      <c r="R22" s="7">
        <v>1</v>
      </c>
      <c r="S22" s="3">
        <v>5</v>
      </c>
      <c r="T22" s="37">
        <f t="shared" si="0"/>
        <v>15</v>
      </c>
      <c r="U22" s="28">
        <f t="shared" si="4"/>
        <v>185.71428571428572</v>
      </c>
      <c r="V22" s="59">
        <f t="shared" si="5"/>
        <v>0</v>
      </c>
    </row>
    <row r="23" spans="1:22" ht="21.75" customHeight="1">
      <c r="A23" s="87"/>
      <c r="B23" s="7" t="s">
        <v>13</v>
      </c>
      <c r="C23" s="3">
        <v>6</v>
      </c>
      <c r="D23" s="3">
        <v>6</v>
      </c>
      <c r="E23" s="4">
        <f t="shared" si="1"/>
        <v>3.5357142857142856</v>
      </c>
      <c r="F23" s="3">
        <v>3</v>
      </c>
      <c r="G23" s="3">
        <v>0</v>
      </c>
      <c r="H23" s="3">
        <v>1</v>
      </c>
      <c r="I23" s="3">
        <v>0</v>
      </c>
      <c r="J23" s="3">
        <v>0</v>
      </c>
      <c r="K23" s="3">
        <v>0</v>
      </c>
      <c r="L23" s="3"/>
      <c r="M23" s="5">
        <f t="shared" si="2"/>
        <v>0.46428571428571441</v>
      </c>
      <c r="N23" s="28">
        <f t="shared" si="3"/>
        <v>88.392857142857139</v>
      </c>
      <c r="O23" s="7">
        <v>0</v>
      </c>
      <c r="P23" s="7">
        <v>3</v>
      </c>
      <c r="Q23" s="7">
        <v>3</v>
      </c>
      <c r="R23" s="7">
        <v>1</v>
      </c>
      <c r="S23" s="3">
        <v>5</v>
      </c>
      <c r="T23" s="37">
        <f t="shared" si="0"/>
        <v>12</v>
      </c>
      <c r="U23" s="28">
        <f t="shared" si="4"/>
        <v>112.5</v>
      </c>
      <c r="V23" s="59">
        <f t="shared" si="5"/>
        <v>0</v>
      </c>
    </row>
    <row r="24" spans="1:22" ht="21.75" customHeight="1">
      <c r="A24" s="87"/>
      <c r="B24" s="7" t="s">
        <v>14</v>
      </c>
      <c r="C24" s="3">
        <v>6</v>
      </c>
      <c r="D24" s="3">
        <v>6</v>
      </c>
      <c r="E24" s="4">
        <f t="shared" si="1"/>
        <v>3.5357142857142856</v>
      </c>
      <c r="F24" s="3">
        <v>3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  <c r="M24" s="5">
        <f t="shared" si="2"/>
        <v>-0.53571428571428559</v>
      </c>
      <c r="N24" s="28">
        <f t="shared" si="3"/>
        <v>117.85714285714286</v>
      </c>
      <c r="O24" s="7">
        <v>0</v>
      </c>
      <c r="P24" s="7">
        <v>0</v>
      </c>
      <c r="Q24" s="7">
        <v>6</v>
      </c>
      <c r="R24" s="7">
        <v>1</v>
      </c>
      <c r="S24" s="3">
        <v>5</v>
      </c>
      <c r="T24" s="37">
        <f t="shared" si="0"/>
        <v>12</v>
      </c>
      <c r="U24" s="28">
        <f t="shared" si="4"/>
        <v>159.52380952380955</v>
      </c>
      <c r="V24" s="59">
        <f t="shared" si="5"/>
        <v>0</v>
      </c>
    </row>
    <row r="25" spans="1:22" ht="21.75" customHeight="1">
      <c r="A25" s="87">
        <v>6</v>
      </c>
      <c r="B25" s="7" t="s">
        <v>12</v>
      </c>
      <c r="C25" s="3">
        <v>6</v>
      </c>
      <c r="D25" s="3">
        <v>6</v>
      </c>
      <c r="E25" s="4">
        <f t="shared" si="1"/>
        <v>3.5357142857142856</v>
      </c>
      <c r="F25" s="3">
        <v>3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  <c r="M25" s="5">
        <f t="shared" si="2"/>
        <v>-0.53571428571428559</v>
      </c>
      <c r="N25" s="28">
        <f t="shared" si="3"/>
        <v>117.85714285714286</v>
      </c>
      <c r="O25" s="7">
        <v>0</v>
      </c>
      <c r="P25" s="7">
        <v>0</v>
      </c>
      <c r="Q25" s="7">
        <v>6</v>
      </c>
      <c r="R25" s="7">
        <v>1</v>
      </c>
      <c r="S25" s="3">
        <v>5</v>
      </c>
      <c r="T25" s="37">
        <f t="shared" si="0"/>
        <v>12</v>
      </c>
      <c r="U25" s="28">
        <f t="shared" si="4"/>
        <v>159.52380952380955</v>
      </c>
      <c r="V25" s="59">
        <f t="shared" si="5"/>
        <v>0</v>
      </c>
    </row>
    <row r="26" spans="1:22" ht="21.75" customHeight="1">
      <c r="A26" s="87"/>
      <c r="B26" s="7" t="s">
        <v>13</v>
      </c>
      <c r="C26" s="3">
        <v>6</v>
      </c>
      <c r="D26" s="3">
        <v>7</v>
      </c>
      <c r="E26" s="4">
        <f t="shared" si="1"/>
        <v>3.9642857142857144</v>
      </c>
      <c r="F26" s="3">
        <v>3</v>
      </c>
      <c r="G26" s="3">
        <v>0</v>
      </c>
      <c r="H26" s="3">
        <v>1</v>
      </c>
      <c r="I26" s="3">
        <v>0</v>
      </c>
      <c r="J26" s="3">
        <v>0</v>
      </c>
      <c r="K26" s="3">
        <v>0</v>
      </c>
      <c r="L26" s="3"/>
      <c r="M26" s="5">
        <f t="shared" si="2"/>
        <v>3.5714285714285587E-2</v>
      </c>
      <c r="N26" s="28">
        <f t="shared" si="3"/>
        <v>99.107142857142861</v>
      </c>
      <c r="O26" s="7">
        <v>0</v>
      </c>
      <c r="P26" s="7">
        <v>2</v>
      </c>
      <c r="Q26" s="7">
        <v>4</v>
      </c>
      <c r="R26" s="7">
        <v>3</v>
      </c>
      <c r="S26" s="3">
        <v>4</v>
      </c>
      <c r="T26" s="37">
        <f t="shared" si="0"/>
        <v>13</v>
      </c>
      <c r="U26" s="28">
        <f t="shared" si="4"/>
        <v>118.45238095238095</v>
      </c>
      <c r="V26" s="59">
        <f t="shared" si="5"/>
        <v>0</v>
      </c>
    </row>
    <row r="27" spans="1:22" ht="21.75" customHeight="1">
      <c r="A27" s="87"/>
      <c r="B27" s="7" t="s">
        <v>14</v>
      </c>
      <c r="C27" s="3">
        <v>5</v>
      </c>
      <c r="D27" s="3">
        <v>6</v>
      </c>
      <c r="E27" s="4">
        <f t="shared" si="1"/>
        <v>3.375</v>
      </c>
      <c r="F27" s="3">
        <v>3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/>
      <c r="M27" s="5">
        <f t="shared" si="2"/>
        <v>-0.375</v>
      </c>
      <c r="N27" s="28">
        <f t="shared" si="3"/>
        <v>112.5</v>
      </c>
      <c r="O27" s="7">
        <v>0</v>
      </c>
      <c r="P27" s="7">
        <v>0</v>
      </c>
      <c r="Q27" s="7">
        <v>5</v>
      </c>
      <c r="R27" s="7">
        <v>2</v>
      </c>
      <c r="S27" s="3">
        <v>4</v>
      </c>
      <c r="T27" s="37">
        <f t="shared" si="0"/>
        <v>11</v>
      </c>
      <c r="U27" s="28">
        <f t="shared" si="4"/>
        <v>143.65079365079364</v>
      </c>
      <c r="V27" s="59">
        <f t="shared" si="5"/>
        <v>0</v>
      </c>
    </row>
    <row r="28" spans="1:22" ht="21.75" customHeight="1">
      <c r="A28" s="87">
        <v>7</v>
      </c>
      <c r="B28" s="7" t="s">
        <v>12</v>
      </c>
      <c r="C28" s="3">
        <v>8</v>
      </c>
      <c r="D28" s="3">
        <v>7</v>
      </c>
      <c r="E28" s="4">
        <f t="shared" si="1"/>
        <v>4.2857142857142856</v>
      </c>
      <c r="F28" s="3">
        <v>3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  <c r="M28" s="5">
        <f t="shared" si="2"/>
        <v>-1.2857142857142856</v>
      </c>
      <c r="N28" s="28">
        <f t="shared" si="3"/>
        <v>142.85714285714286</v>
      </c>
      <c r="O28" s="7">
        <v>0</v>
      </c>
      <c r="P28" s="7">
        <v>0</v>
      </c>
      <c r="Q28" s="7">
        <v>7</v>
      </c>
      <c r="R28" s="7">
        <v>3</v>
      </c>
      <c r="S28" s="3">
        <v>5</v>
      </c>
      <c r="T28" s="37">
        <f t="shared" si="0"/>
        <v>15</v>
      </c>
      <c r="U28" s="28">
        <f t="shared" si="4"/>
        <v>192.06349206349208</v>
      </c>
      <c r="V28" s="59">
        <f t="shared" si="5"/>
        <v>0</v>
      </c>
    </row>
    <row r="29" spans="1:22" ht="21.75" customHeight="1">
      <c r="A29" s="87"/>
      <c r="B29" s="7" t="s">
        <v>13</v>
      </c>
      <c r="C29" s="3">
        <v>8</v>
      </c>
      <c r="D29" s="3">
        <v>7</v>
      </c>
      <c r="E29" s="4">
        <f t="shared" si="1"/>
        <v>4.2857142857142856</v>
      </c>
      <c r="F29" s="3">
        <v>3</v>
      </c>
      <c r="G29" s="3">
        <v>0</v>
      </c>
      <c r="H29" s="3">
        <v>1</v>
      </c>
      <c r="I29" s="3">
        <v>0</v>
      </c>
      <c r="J29" s="3">
        <v>0</v>
      </c>
      <c r="K29" s="3">
        <v>0</v>
      </c>
      <c r="L29" s="3"/>
      <c r="M29" s="5">
        <f t="shared" si="2"/>
        <v>-0.28571428571428559</v>
      </c>
      <c r="N29" s="28">
        <f t="shared" si="3"/>
        <v>107.14285714285714</v>
      </c>
      <c r="O29" s="7">
        <v>0</v>
      </c>
      <c r="P29" s="7">
        <v>1</v>
      </c>
      <c r="Q29" s="7">
        <v>5</v>
      </c>
      <c r="R29" s="7">
        <v>4</v>
      </c>
      <c r="S29" s="3">
        <v>5</v>
      </c>
      <c r="T29" s="37">
        <f t="shared" si="0"/>
        <v>15</v>
      </c>
      <c r="U29" s="28">
        <f t="shared" si="4"/>
        <v>144.04761904761904</v>
      </c>
      <c r="V29" s="59">
        <f t="shared" si="5"/>
        <v>0</v>
      </c>
    </row>
    <row r="30" spans="1:22" ht="21.75" customHeight="1">
      <c r="A30" s="87"/>
      <c r="B30" s="7" t="s">
        <v>14</v>
      </c>
      <c r="C30" s="3">
        <v>9</v>
      </c>
      <c r="D30" s="3">
        <v>7</v>
      </c>
      <c r="E30" s="4">
        <f t="shared" si="1"/>
        <v>4.4464285714285712</v>
      </c>
      <c r="F30" s="3">
        <v>3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  <c r="M30" s="5">
        <f t="shared" si="2"/>
        <v>-1.4464285714285712</v>
      </c>
      <c r="N30" s="28">
        <f t="shared" si="3"/>
        <v>148.21428571428572</v>
      </c>
      <c r="O30" s="7">
        <v>0</v>
      </c>
      <c r="P30" s="7">
        <v>0</v>
      </c>
      <c r="Q30" s="7">
        <v>7</v>
      </c>
      <c r="R30" s="7">
        <v>4</v>
      </c>
      <c r="S30" s="3">
        <v>5</v>
      </c>
      <c r="T30" s="37">
        <f t="shared" si="0"/>
        <v>16</v>
      </c>
      <c r="U30" s="28">
        <f t="shared" si="4"/>
        <v>203.968253968254</v>
      </c>
      <c r="V30" s="59">
        <f t="shared" si="5"/>
        <v>0</v>
      </c>
    </row>
    <row r="31" spans="1:22" ht="21.75" customHeight="1">
      <c r="A31" s="87">
        <v>8</v>
      </c>
      <c r="B31" s="7" t="s">
        <v>12</v>
      </c>
      <c r="C31" s="3">
        <v>9</v>
      </c>
      <c r="D31" s="3">
        <v>8</v>
      </c>
      <c r="E31" s="4">
        <f t="shared" si="1"/>
        <v>4.875</v>
      </c>
      <c r="F31" s="3">
        <v>3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  <c r="M31" s="5">
        <f t="shared" si="2"/>
        <v>-1.875</v>
      </c>
      <c r="N31" s="28">
        <f t="shared" si="3"/>
        <v>162.5</v>
      </c>
      <c r="O31" s="7">
        <v>0</v>
      </c>
      <c r="P31" s="7">
        <v>0</v>
      </c>
      <c r="Q31" s="7">
        <v>6</v>
      </c>
      <c r="R31" s="7">
        <v>5</v>
      </c>
      <c r="S31" s="3">
        <v>6</v>
      </c>
      <c r="T31" s="37">
        <f t="shared" si="0"/>
        <v>17</v>
      </c>
      <c r="U31" s="28">
        <f t="shared" si="4"/>
        <v>226.19047619047618</v>
      </c>
      <c r="V31" s="59">
        <f t="shared" si="5"/>
        <v>0</v>
      </c>
    </row>
    <row r="32" spans="1:22" ht="21.75" customHeight="1">
      <c r="A32" s="87"/>
      <c r="B32" s="7" t="s">
        <v>13</v>
      </c>
      <c r="C32" s="3">
        <v>9</v>
      </c>
      <c r="D32" s="3">
        <v>8</v>
      </c>
      <c r="E32" s="4">
        <f t="shared" si="1"/>
        <v>4.875</v>
      </c>
      <c r="F32" s="3">
        <v>3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/>
      <c r="M32" s="5">
        <f t="shared" si="2"/>
        <v>-1.875</v>
      </c>
      <c r="N32" s="28">
        <f t="shared" si="3"/>
        <v>162.5</v>
      </c>
      <c r="O32" s="7">
        <v>0</v>
      </c>
      <c r="P32" s="7">
        <v>2</v>
      </c>
      <c r="Q32" s="7">
        <v>7</v>
      </c>
      <c r="R32" s="7">
        <v>2</v>
      </c>
      <c r="S32" s="3">
        <v>6</v>
      </c>
      <c r="T32" s="37">
        <f t="shared" si="0"/>
        <v>17</v>
      </c>
      <c r="U32" s="28">
        <f t="shared" si="4"/>
        <v>210.31746031746033</v>
      </c>
      <c r="V32" s="59">
        <f t="shared" si="5"/>
        <v>0</v>
      </c>
    </row>
    <row r="33" spans="1:22" ht="21.75" customHeight="1">
      <c r="A33" s="87"/>
      <c r="B33" s="7" t="s">
        <v>14</v>
      </c>
      <c r="C33" s="3">
        <v>7</v>
      </c>
      <c r="D33" s="3">
        <v>8</v>
      </c>
      <c r="E33" s="4">
        <f t="shared" si="1"/>
        <v>4.5535714285714288</v>
      </c>
      <c r="F33" s="3">
        <v>3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/>
      <c r="M33" s="5">
        <f t="shared" si="2"/>
        <v>-1.5535714285714288</v>
      </c>
      <c r="N33" s="28">
        <f t="shared" si="3"/>
        <v>151.78571428571428</v>
      </c>
      <c r="O33" s="7">
        <v>0</v>
      </c>
      <c r="P33" s="7">
        <v>0</v>
      </c>
      <c r="Q33" s="7">
        <v>7</v>
      </c>
      <c r="R33" s="7">
        <v>2</v>
      </c>
      <c r="S33" s="3">
        <v>6</v>
      </c>
      <c r="T33" s="37">
        <f t="shared" si="0"/>
        <v>15</v>
      </c>
      <c r="U33" s="28">
        <f t="shared" si="4"/>
        <v>199.20634920634922</v>
      </c>
      <c r="V33" s="59">
        <f t="shared" si="5"/>
        <v>0</v>
      </c>
    </row>
    <row r="34" spans="1:22" ht="21.75" customHeight="1">
      <c r="A34" s="87">
        <v>9</v>
      </c>
      <c r="B34" s="7" t="s">
        <v>12</v>
      </c>
      <c r="C34" s="3">
        <v>9</v>
      </c>
      <c r="D34" s="3">
        <v>8</v>
      </c>
      <c r="E34" s="4">
        <f t="shared" si="1"/>
        <v>4.875</v>
      </c>
      <c r="F34" s="3">
        <v>3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  <c r="M34" s="5">
        <f t="shared" si="2"/>
        <v>-1.875</v>
      </c>
      <c r="N34" s="28">
        <f t="shared" si="3"/>
        <v>162.5</v>
      </c>
      <c r="O34" s="7">
        <v>0</v>
      </c>
      <c r="P34" s="7">
        <v>0</v>
      </c>
      <c r="Q34" s="7">
        <v>8</v>
      </c>
      <c r="R34" s="7">
        <v>3</v>
      </c>
      <c r="S34" s="3">
        <v>6</v>
      </c>
      <c r="T34" s="37">
        <f t="shared" si="0"/>
        <v>17</v>
      </c>
      <c r="U34" s="28">
        <f t="shared" si="4"/>
        <v>219.84126984126982</v>
      </c>
      <c r="V34" s="59">
        <f t="shared" si="5"/>
        <v>0</v>
      </c>
    </row>
    <row r="35" spans="1:22" ht="21.75" customHeight="1">
      <c r="A35" s="87"/>
      <c r="B35" s="7" t="s">
        <v>13</v>
      </c>
      <c r="C35" s="3">
        <v>9</v>
      </c>
      <c r="D35" s="3">
        <v>8</v>
      </c>
      <c r="E35" s="4">
        <f t="shared" si="1"/>
        <v>4.875</v>
      </c>
      <c r="F35" s="3">
        <v>3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/>
      <c r="M35" s="5">
        <f t="shared" si="2"/>
        <v>-1.875</v>
      </c>
      <c r="N35" s="28">
        <f t="shared" si="3"/>
        <v>162.5</v>
      </c>
      <c r="O35" s="7">
        <v>0</v>
      </c>
      <c r="P35" s="7">
        <v>0</v>
      </c>
      <c r="Q35" s="7">
        <v>8</v>
      </c>
      <c r="R35" s="7">
        <v>3</v>
      </c>
      <c r="S35" s="3">
        <v>6</v>
      </c>
      <c r="T35" s="37">
        <f t="shared" si="0"/>
        <v>17</v>
      </c>
      <c r="U35" s="28">
        <f t="shared" si="4"/>
        <v>219.84126984126982</v>
      </c>
      <c r="V35" s="59">
        <f t="shared" si="5"/>
        <v>0</v>
      </c>
    </row>
    <row r="36" spans="1:22" ht="21.75" customHeight="1">
      <c r="A36" s="87"/>
      <c r="B36" s="7" t="s">
        <v>14</v>
      </c>
      <c r="C36" s="3">
        <v>8</v>
      </c>
      <c r="D36" s="3">
        <v>8</v>
      </c>
      <c r="E36" s="4">
        <f t="shared" si="1"/>
        <v>4.7142857142857144</v>
      </c>
      <c r="F36" s="3">
        <v>3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5">
        <f t="shared" si="2"/>
        <v>-1.7142857142857144</v>
      </c>
      <c r="N36" s="28">
        <f t="shared" si="3"/>
        <v>157.14285714285714</v>
      </c>
      <c r="O36" s="7">
        <v>0</v>
      </c>
      <c r="P36" s="7">
        <v>0</v>
      </c>
      <c r="Q36" s="7">
        <v>8</v>
      </c>
      <c r="R36" s="7">
        <v>2</v>
      </c>
      <c r="S36" s="3">
        <v>6</v>
      </c>
      <c r="T36" s="37">
        <f t="shared" si="0"/>
        <v>16</v>
      </c>
      <c r="U36" s="28">
        <f t="shared" si="4"/>
        <v>207.93650793650789</v>
      </c>
      <c r="V36" s="59">
        <f t="shared" si="5"/>
        <v>0</v>
      </c>
    </row>
    <row r="37" spans="1:22" ht="21.75" customHeight="1">
      <c r="A37" s="87">
        <v>10</v>
      </c>
      <c r="B37" s="7" t="s">
        <v>12</v>
      </c>
      <c r="C37" s="3">
        <v>8</v>
      </c>
      <c r="D37" s="3">
        <v>8</v>
      </c>
      <c r="E37" s="4">
        <f t="shared" si="1"/>
        <v>4.7142857142857144</v>
      </c>
      <c r="F37" s="3">
        <v>3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/>
      <c r="M37" s="5">
        <f t="shared" si="2"/>
        <v>-1.7142857142857144</v>
      </c>
      <c r="N37" s="28">
        <f t="shared" si="3"/>
        <v>157.14285714285714</v>
      </c>
      <c r="O37" s="7">
        <v>0</v>
      </c>
      <c r="P37" s="7">
        <v>0</v>
      </c>
      <c r="Q37" s="7">
        <v>8</v>
      </c>
      <c r="R37" s="7">
        <v>2</v>
      </c>
      <c r="S37" s="3">
        <v>6</v>
      </c>
      <c r="T37" s="37">
        <f t="shared" si="0"/>
        <v>16</v>
      </c>
      <c r="U37" s="28">
        <f t="shared" si="4"/>
        <v>207.93650793650789</v>
      </c>
      <c r="V37" s="59">
        <f t="shared" si="5"/>
        <v>0</v>
      </c>
    </row>
    <row r="38" spans="1:22" ht="21.75" customHeight="1">
      <c r="A38" s="87"/>
      <c r="B38" s="7" t="s">
        <v>13</v>
      </c>
      <c r="C38" s="3">
        <v>6</v>
      </c>
      <c r="D38" s="3">
        <v>8</v>
      </c>
      <c r="E38" s="4">
        <f t="shared" si="1"/>
        <v>4.3928571428571432</v>
      </c>
      <c r="F38" s="3">
        <v>3</v>
      </c>
      <c r="G38" s="3">
        <v>0</v>
      </c>
      <c r="H38" s="3">
        <v>0</v>
      </c>
      <c r="I38" s="3">
        <v>1</v>
      </c>
      <c r="J38" s="3">
        <v>0</v>
      </c>
      <c r="K38" s="3">
        <v>0</v>
      </c>
      <c r="L38" s="3"/>
      <c r="M38" s="5">
        <f t="shared" si="2"/>
        <v>-1.3928571428571432</v>
      </c>
      <c r="N38" s="28">
        <f t="shared" si="3"/>
        <v>109.82142857142858</v>
      </c>
      <c r="O38" s="7">
        <v>0</v>
      </c>
      <c r="P38" s="7">
        <v>4</v>
      </c>
      <c r="Q38" s="7">
        <v>8</v>
      </c>
      <c r="R38" s="7">
        <v>0</v>
      </c>
      <c r="S38" s="3">
        <v>6</v>
      </c>
      <c r="T38" s="37">
        <f t="shared" si="0"/>
        <v>18</v>
      </c>
      <c r="U38" s="28">
        <f t="shared" si="4"/>
        <v>154.76190476190476</v>
      </c>
      <c r="V38" s="59">
        <f t="shared" si="5"/>
        <v>-4</v>
      </c>
    </row>
    <row r="39" spans="1:22" ht="21.75" customHeight="1">
      <c r="A39" s="87"/>
      <c r="B39" s="7" t="s">
        <v>14</v>
      </c>
      <c r="C39" s="3">
        <v>8</v>
      </c>
      <c r="D39" s="3">
        <v>6</v>
      </c>
      <c r="E39" s="4">
        <f t="shared" si="1"/>
        <v>3.8571428571428572</v>
      </c>
      <c r="F39" s="3">
        <v>3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/>
      <c r="M39" s="5">
        <f t="shared" si="2"/>
        <v>-0.85714285714285721</v>
      </c>
      <c r="N39" s="28">
        <f t="shared" si="3"/>
        <v>128.57142857142858</v>
      </c>
      <c r="O39" s="7">
        <v>0</v>
      </c>
      <c r="P39" s="7">
        <v>0</v>
      </c>
      <c r="Q39" s="7">
        <v>8</v>
      </c>
      <c r="R39" s="7">
        <v>2</v>
      </c>
      <c r="S39" s="3">
        <v>3</v>
      </c>
      <c r="T39" s="37">
        <f t="shared" si="0"/>
        <v>13</v>
      </c>
      <c r="U39" s="28">
        <f t="shared" si="4"/>
        <v>150.79365079365078</v>
      </c>
      <c r="V39" s="59">
        <f t="shared" si="5"/>
        <v>1</v>
      </c>
    </row>
    <row r="40" spans="1:22" ht="21.75" customHeight="1">
      <c r="A40" s="87">
        <v>11</v>
      </c>
      <c r="B40" s="7" t="s">
        <v>12</v>
      </c>
      <c r="C40" s="3">
        <v>8</v>
      </c>
      <c r="D40" s="3">
        <v>7</v>
      </c>
      <c r="E40" s="4">
        <f t="shared" si="1"/>
        <v>4.2857142857142856</v>
      </c>
      <c r="F40" s="3">
        <v>3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/>
      <c r="M40" s="5">
        <f t="shared" si="2"/>
        <v>-1.2857142857142856</v>
      </c>
      <c r="N40" s="28">
        <f t="shared" si="3"/>
        <v>142.85714285714286</v>
      </c>
      <c r="O40" s="7">
        <v>0</v>
      </c>
      <c r="P40" s="7">
        <v>0</v>
      </c>
      <c r="Q40" s="7">
        <v>8</v>
      </c>
      <c r="R40" s="7">
        <v>3</v>
      </c>
      <c r="S40" s="3">
        <v>4</v>
      </c>
      <c r="T40" s="37">
        <f t="shared" si="0"/>
        <v>15</v>
      </c>
      <c r="U40" s="28">
        <f t="shared" si="4"/>
        <v>181.74603174603175</v>
      </c>
      <c r="V40" s="59">
        <f t="shared" si="5"/>
        <v>0</v>
      </c>
    </row>
    <row r="41" spans="1:22" ht="21.75" customHeight="1">
      <c r="A41" s="87"/>
      <c r="B41" s="7" t="s">
        <v>13</v>
      </c>
      <c r="C41" s="3">
        <v>6</v>
      </c>
      <c r="D41" s="3">
        <v>7</v>
      </c>
      <c r="E41" s="4">
        <f t="shared" si="1"/>
        <v>3.9642857142857144</v>
      </c>
      <c r="F41" s="3">
        <v>3</v>
      </c>
      <c r="G41" s="3">
        <v>0</v>
      </c>
      <c r="H41" s="3">
        <v>0</v>
      </c>
      <c r="I41" s="3">
        <v>0</v>
      </c>
      <c r="J41" s="3">
        <v>0</v>
      </c>
      <c r="K41" s="3">
        <v>1</v>
      </c>
      <c r="L41" s="3"/>
      <c r="M41" s="5">
        <f t="shared" si="2"/>
        <v>-0.96428571428571441</v>
      </c>
      <c r="N41" s="28">
        <f t="shared" si="3"/>
        <v>99.107142857142861</v>
      </c>
      <c r="O41" s="7">
        <v>0</v>
      </c>
      <c r="P41" s="7">
        <v>2</v>
      </c>
      <c r="Q41" s="7">
        <v>4</v>
      </c>
      <c r="R41" s="7">
        <v>3</v>
      </c>
      <c r="S41" s="3">
        <v>4</v>
      </c>
      <c r="T41" s="37">
        <f t="shared" si="0"/>
        <v>13</v>
      </c>
      <c r="U41" s="28">
        <f t="shared" si="4"/>
        <v>118.45238095238095</v>
      </c>
      <c r="V41" s="59">
        <f t="shared" si="5"/>
        <v>0</v>
      </c>
    </row>
    <row r="42" spans="1:22" ht="21.75" customHeight="1">
      <c r="A42" s="87"/>
      <c r="B42" s="7" t="s">
        <v>14</v>
      </c>
      <c r="C42" s="3">
        <v>7</v>
      </c>
      <c r="D42" s="3">
        <v>7</v>
      </c>
      <c r="E42" s="4">
        <f t="shared" si="1"/>
        <v>4.125</v>
      </c>
      <c r="F42" s="3">
        <v>1</v>
      </c>
      <c r="G42" s="3">
        <v>0</v>
      </c>
      <c r="H42" s="3">
        <v>0</v>
      </c>
      <c r="I42" s="3">
        <v>2</v>
      </c>
      <c r="J42" s="3">
        <v>0</v>
      </c>
      <c r="K42" s="3">
        <v>0</v>
      </c>
      <c r="L42" s="3"/>
      <c r="M42" s="5">
        <f t="shared" si="2"/>
        <v>-3.125</v>
      </c>
      <c r="N42" s="28">
        <f t="shared" si="3"/>
        <v>137.5</v>
      </c>
      <c r="O42" s="7">
        <v>0</v>
      </c>
      <c r="P42" s="7">
        <v>0</v>
      </c>
      <c r="Q42" s="7">
        <v>6</v>
      </c>
      <c r="R42" s="7">
        <v>4</v>
      </c>
      <c r="S42" s="3">
        <v>4</v>
      </c>
      <c r="T42" s="37">
        <f t="shared" si="0"/>
        <v>14</v>
      </c>
      <c r="U42" s="28">
        <f t="shared" si="4"/>
        <v>176.19047619047618</v>
      </c>
      <c r="V42" s="59">
        <f t="shared" si="5"/>
        <v>0</v>
      </c>
    </row>
    <row r="43" spans="1:22" ht="21.75" customHeight="1">
      <c r="A43" s="87">
        <v>12</v>
      </c>
      <c r="B43" s="7" t="s">
        <v>12</v>
      </c>
      <c r="C43" s="3">
        <v>6</v>
      </c>
      <c r="D43" s="3">
        <v>7</v>
      </c>
      <c r="E43" s="4">
        <f t="shared" si="1"/>
        <v>3.9642857142857144</v>
      </c>
      <c r="F43" s="3">
        <v>3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  <c r="M43" s="5">
        <f t="shared" si="2"/>
        <v>-0.96428571428571441</v>
      </c>
      <c r="N43" s="28">
        <f t="shared" si="3"/>
        <v>132.14285714285714</v>
      </c>
      <c r="O43" s="7">
        <v>0</v>
      </c>
      <c r="P43" s="7">
        <v>0</v>
      </c>
      <c r="Q43" s="7">
        <v>6</v>
      </c>
      <c r="R43" s="7">
        <v>3</v>
      </c>
      <c r="S43" s="3">
        <v>4</v>
      </c>
      <c r="T43" s="37">
        <f t="shared" si="0"/>
        <v>13</v>
      </c>
      <c r="U43" s="28">
        <f t="shared" si="4"/>
        <v>164.28571428571428</v>
      </c>
      <c r="V43" s="59">
        <f t="shared" si="5"/>
        <v>0</v>
      </c>
    </row>
    <row r="44" spans="1:22" ht="21.75" customHeight="1">
      <c r="A44" s="87"/>
      <c r="B44" s="7" t="s">
        <v>13</v>
      </c>
      <c r="C44" s="3">
        <v>6</v>
      </c>
      <c r="D44" s="3">
        <v>7</v>
      </c>
      <c r="E44" s="4">
        <f t="shared" si="1"/>
        <v>3.9642857142857144</v>
      </c>
      <c r="F44" s="3">
        <v>2</v>
      </c>
      <c r="G44" s="3">
        <v>0</v>
      </c>
      <c r="H44" s="3">
        <v>0</v>
      </c>
      <c r="I44" s="3">
        <v>1</v>
      </c>
      <c r="J44" s="3">
        <v>0</v>
      </c>
      <c r="K44" s="3">
        <v>1</v>
      </c>
      <c r="L44" s="3"/>
      <c r="M44" s="5">
        <f t="shared" si="2"/>
        <v>-1.9642857142857144</v>
      </c>
      <c r="N44" s="28">
        <f t="shared" si="3"/>
        <v>99.107142857142861</v>
      </c>
      <c r="O44" s="7">
        <v>0</v>
      </c>
      <c r="P44" s="7">
        <v>1</v>
      </c>
      <c r="Q44" s="7">
        <v>5</v>
      </c>
      <c r="R44" s="7">
        <v>3</v>
      </c>
      <c r="S44" s="3">
        <v>4</v>
      </c>
      <c r="T44" s="37">
        <f t="shared" si="0"/>
        <v>13</v>
      </c>
      <c r="U44" s="28">
        <f t="shared" si="4"/>
        <v>120.83333333333334</v>
      </c>
      <c r="V44" s="59">
        <f t="shared" si="5"/>
        <v>0</v>
      </c>
    </row>
    <row r="45" spans="1:22" ht="21.75" customHeight="1">
      <c r="A45" s="87"/>
      <c r="B45" s="7" t="s">
        <v>14</v>
      </c>
      <c r="C45" s="3">
        <v>7</v>
      </c>
      <c r="D45" s="3">
        <v>7</v>
      </c>
      <c r="E45" s="4">
        <f t="shared" si="1"/>
        <v>4.125</v>
      </c>
      <c r="F45" s="3">
        <v>2</v>
      </c>
      <c r="G45" s="3">
        <v>0</v>
      </c>
      <c r="H45" s="3">
        <v>0</v>
      </c>
      <c r="I45" s="3">
        <v>1</v>
      </c>
      <c r="J45" s="3">
        <v>0</v>
      </c>
      <c r="K45" s="3">
        <v>1</v>
      </c>
      <c r="L45" s="3"/>
      <c r="M45" s="5">
        <f t="shared" si="2"/>
        <v>-2.125</v>
      </c>
      <c r="N45" s="28">
        <f t="shared" si="3"/>
        <v>103.125</v>
      </c>
      <c r="O45" s="7">
        <v>0</v>
      </c>
      <c r="P45" s="7">
        <v>0</v>
      </c>
      <c r="Q45" s="7">
        <v>8</v>
      </c>
      <c r="R45" s="7">
        <v>1</v>
      </c>
      <c r="S45" s="3">
        <v>5</v>
      </c>
      <c r="T45" s="37">
        <f t="shared" si="0"/>
        <v>14</v>
      </c>
      <c r="U45" s="28">
        <f t="shared" si="4"/>
        <v>132.73809523809524</v>
      </c>
      <c r="V45" s="59">
        <f t="shared" si="5"/>
        <v>0</v>
      </c>
    </row>
    <row r="46" spans="1:22" ht="21.75" customHeight="1">
      <c r="A46" s="87">
        <v>13</v>
      </c>
      <c r="B46" s="7" t="s">
        <v>12</v>
      </c>
      <c r="C46" s="3">
        <v>7</v>
      </c>
      <c r="D46" s="3">
        <v>7</v>
      </c>
      <c r="E46" s="4">
        <f t="shared" si="1"/>
        <v>4.125</v>
      </c>
      <c r="F46" s="3">
        <v>3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/>
      <c r="M46" s="5">
        <f t="shared" si="2"/>
        <v>-1.125</v>
      </c>
      <c r="N46" s="28">
        <f t="shared" si="3"/>
        <v>137.5</v>
      </c>
      <c r="O46" s="7">
        <v>0</v>
      </c>
      <c r="P46" s="7">
        <v>0</v>
      </c>
      <c r="Q46" s="7">
        <v>8</v>
      </c>
      <c r="R46" s="7">
        <v>1</v>
      </c>
      <c r="S46" s="3">
        <v>5</v>
      </c>
      <c r="T46" s="37">
        <f t="shared" si="0"/>
        <v>14</v>
      </c>
      <c r="U46" s="28">
        <f t="shared" si="4"/>
        <v>176.98412698412699</v>
      </c>
      <c r="V46" s="59">
        <f t="shared" si="5"/>
        <v>0</v>
      </c>
    </row>
    <row r="47" spans="1:22" ht="21.75" customHeight="1">
      <c r="A47" s="87"/>
      <c r="B47" s="7" t="s">
        <v>13</v>
      </c>
      <c r="C47" s="3">
        <v>6</v>
      </c>
      <c r="D47" s="3">
        <v>6</v>
      </c>
      <c r="E47" s="4">
        <f t="shared" si="1"/>
        <v>3.5357142857142856</v>
      </c>
      <c r="F47" s="3">
        <v>3</v>
      </c>
      <c r="G47" s="3">
        <v>0</v>
      </c>
      <c r="H47" s="3">
        <v>0</v>
      </c>
      <c r="I47" s="3">
        <v>0</v>
      </c>
      <c r="J47" s="3">
        <v>0</v>
      </c>
      <c r="K47" s="3">
        <v>1</v>
      </c>
      <c r="L47" s="3"/>
      <c r="M47" s="5">
        <f t="shared" si="2"/>
        <v>-0.53571428571428559</v>
      </c>
      <c r="N47" s="28">
        <f t="shared" si="3"/>
        <v>88.392857142857139</v>
      </c>
      <c r="O47" s="7">
        <v>0</v>
      </c>
      <c r="P47" s="7">
        <v>1</v>
      </c>
      <c r="Q47" s="7">
        <v>5</v>
      </c>
      <c r="R47" s="7">
        <v>1</v>
      </c>
      <c r="S47" s="3">
        <v>5</v>
      </c>
      <c r="T47" s="37">
        <f t="shared" si="0"/>
        <v>12</v>
      </c>
      <c r="U47" s="28">
        <f t="shared" si="4"/>
        <v>117.26190476190477</v>
      </c>
      <c r="V47" s="59">
        <f t="shared" si="5"/>
        <v>0</v>
      </c>
    </row>
    <row r="48" spans="1:22" ht="21.75" customHeight="1">
      <c r="A48" s="87"/>
      <c r="B48" s="7" t="s">
        <v>14</v>
      </c>
      <c r="C48" s="3">
        <v>6</v>
      </c>
      <c r="D48" s="3">
        <v>6</v>
      </c>
      <c r="E48" s="4">
        <f t="shared" si="1"/>
        <v>3.5357142857142856</v>
      </c>
      <c r="F48" s="3">
        <v>3</v>
      </c>
      <c r="G48" s="3">
        <v>0</v>
      </c>
      <c r="H48" s="3">
        <v>1</v>
      </c>
      <c r="I48" s="3">
        <v>0</v>
      </c>
      <c r="J48" s="3">
        <v>0</v>
      </c>
      <c r="K48" s="3">
        <v>0</v>
      </c>
      <c r="L48" s="3"/>
      <c r="M48" s="5">
        <f t="shared" si="2"/>
        <v>0.46428571428571441</v>
      </c>
      <c r="N48" s="28">
        <f t="shared" si="3"/>
        <v>88.392857142857139</v>
      </c>
      <c r="O48" s="7">
        <v>0</v>
      </c>
      <c r="P48" s="7">
        <v>0</v>
      </c>
      <c r="Q48" s="7">
        <v>6</v>
      </c>
      <c r="R48" s="7">
        <v>2</v>
      </c>
      <c r="S48" s="3">
        <v>4</v>
      </c>
      <c r="T48" s="37">
        <f t="shared" si="0"/>
        <v>12</v>
      </c>
      <c r="U48" s="28">
        <f t="shared" si="4"/>
        <v>114.28571428571428</v>
      </c>
      <c r="V48" s="59">
        <f t="shared" si="5"/>
        <v>0</v>
      </c>
    </row>
    <row r="49" spans="1:22" ht="21.75" customHeight="1">
      <c r="A49" s="87">
        <v>14</v>
      </c>
      <c r="B49" s="7" t="s">
        <v>12</v>
      </c>
      <c r="C49" s="3">
        <v>6</v>
      </c>
      <c r="D49" s="3">
        <v>6</v>
      </c>
      <c r="E49" s="4">
        <f t="shared" si="1"/>
        <v>3.5357142857142856</v>
      </c>
      <c r="F49" s="3">
        <v>3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  <c r="M49" s="5">
        <f t="shared" si="2"/>
        <v>-0.53571428571428559</v>
      </c>
      <c r="N49" s="28">
        <f t="shared" si="3"/>
        <v>117.85714285714286</v>
      </c>
      <c r="O49" s="7">
        <v>0</v>
      </c>
      <c r="P49" s="7">
        <v>0</v>
      </c>
      <c r="Q49" s="7">
        <v>6</v>
      </c>
      <c r="R49" s="7">
        <v>2</v>
      </c>
      <c r="S49" s="3">
        <v>4</v>
      </c>
      <c r="T49" s="37">
        <f t="shared" si="0"/>
        <v>12</v>
      </c>
      <c r="U49" s="28">
        <f t="shared" si="4"/>
        <v>152.38095238095238</v>
      </c>
      <c r="V49" s="59">
        <f t="shared" si="5"/>
        <v>0</v>
      </c>
    </row>
    <row r="50" spans="1:22" ht="21.75" customHeight="1">
      <c r="A50" s="87"/>
      <c r="B50" s="7" t="s">
        <v>13</v>
      </c>
      <c r="C50" s="3">
        <v>7</v>
      </c>
      <c r="D50" s="3">
        <v>7</v>
      </c>
      <c r="E50" s="4">
        <f t="shared" si="1"/>
        <v>4.125</v>
      </c>
      <c r="F50" s="3">
        <v>2</v>
      </c>
      <c r="G50" s="3">
        <v>0</v>
      </c>
      <c r="H50" s="3">
        <v>0</v>
      </c>
      <c r="I50" s="3">
        <v>1</v>
      </c>
      <c r="J50" s="3">
        <v>0</v>
      </c>
      <c r="K50" s="3">
        <v>1</v>
      </c>
      <c r="L50" s="3"/>
      <c r="M50" s="5">
        <f t="shared" si="2"/>
        <v>-2.125</v>
      </c>
      <c r="N50" s="28">
        <f t="shared" si="3"/>
        <v>103.125</v>
      </c>
      <c r="O50" s="7">
        <v>0</v>
      </c>
      <c r="P50" s="7">
        <v>2</v>
      </c>
      <c r="Q50" s="7">
        <v>5</v>
      </c>
      <c r="R50" s="7">
        <v>2</v>
      </c>
      <c r="S50" s="3">
        <v>5</v>
      </c>
      <c r="T50" s="37">
        <f t="shared" si="0"/>
        <v>14</v>
      </c>
      <c r="U50" s="28">
        <f t="shared" si="4"/>
        <v>130.35714285714286</v>
      </c>
      <c r="V50" s="59">
        <f t="shared" si="5"/>
        <v>0</v>
      </c>
    </row>
    <row r="51" spans="1:22" ht="21.75" customHeight="1">
      <c r="A51" s="87"/>
      <c r="B51" s="7" t="s">
        <v>14</v>
      </c>
      <c r="C51" s="3">
        <v>5</v>
      </c>
      <c r="D51" s="3">
        <v>7</v>
      </c>
      <c r="E51" s="4">
        <f t="shared" si="1"/>
        <v>3.8035714285714284</v>
      </c>
      <c r="F51" s="3">
        <v>3</v>
      </c>
      <c r="G51" s="3">
        <v>0</v>
      </c>
      <c r="H51" s="3">
        <v>1</v>
      </c>
      <c r="I51" s="3">
        <v>0</v>
      </c>
      <c r="J51" s="3">
        <v>0</v>
      </c>
      <c r="K51" s="3">
        <v>0</v>
      </c>
      <c r="L51" s="3"/>
      <c r="M51" s="5">
        <f t="shared" si="2"/>
        <v>0.19642857142857162</v>
      </c>
      <c r="N51" s="28">
        <f t="shared" si="3"/>
        <v>95.089285714285708</v>
      </c>
      <c r="O51" s="7">
        <v>0</v>
      </c>
      <c r="P51" s="7">
        <v>0</v>
      </c>
      <c r="Q51" s="7">
        <v>5</v>
      </c>
      <c r="R51" s="7">
        <v>4</v>
      </c>
      <c r="S51" s="3">
        <v>3</v>
      </c>
      <c r="T51" s="37">
        <f t="shared" si="0"/>
        <v>12</v>
      </c>
      <c r="U51" s="28">
        <f t="shared" si="4"/>
        <v>111.30952380952381</v>
      </c>
      <c r="V51" s="59">
        <f t="shared" si="5"/>
        <v>0</v>
      </c>
    </row>
    <row r="52" spans="1:22" ht="21.75" customHeight="1">
      <c r="A52" s="87">
        <v>15</v>
      </c>
      <c r="B52" s="7" t="s">
        <v>12</v>
      </c>
      <c r="C52" s="3">
        <v>5</v>
      </c>
      <c r="D52" s="3">
        <v>7</v>
      </c>
      <c r="E52" s="4">
        <f t="shared" si="1"/>
        <v>3.8035714285714284</v>
      </c>
      <c r="F52" s="3">
        <v>3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  <c r="M52" s="5">
        <f t="shared" si="2"/>
        <v>-0.80357142857142838</v>
      </c>
      <c r="N52" s="28">
        <f t="shared" si="3"/>
        <v>126.78571428571428</v>
      </c>
      <c r="O52" s="7">
        <v>0</v>
      </c>
      <c r="P52" s="7">
        <v>0</v>
      </c>
      <c r="Q52" s="7">
        <v>5</v>
      </c>
      <c r="R52" s="7">
        <v>4</v>
      </c>
      <c r="S52" s="3">
        <v>3</v>
      </c>
      <c r="T52" s="37">
        <f t="shared" si="0"/>
        <v>12</v>
      </c>
      <c r="U52" s="28">
        <f t="shared" si="4"/>
        <v>148.41269841269843</v>
      </c>
      <c r="V52" s="59">
        <f t="shared" si="5"/>
        <v>0</v>
      </c>
    </row>
    <row r="53" spans="1:22" ht="21.75" customHeight="1">
      <c r="A53" s="87"/>
      <c r="B53" s="7" t="s">
        <v>13</v>
      </c>
      <c r="C53" s="3">
        <v>5</v>
      </c>
      <c r="D53" s="3">
        <v>7</v>
      </c>
      <c r="E53" s="4">
        <f t="shared" si="1"/>
        <v>3.8035714285714284</v>
      </c>
      <c r="F53" s="3">
        <v>3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  <c r="M53" s="5">
        <f t="shared" si="2"/>
        <v>-0.80357142857142838</v>
      </c>
      <c r="N53" s="28">
        <f t="shared" si="3"/>
        <v>126.78571428571428</v>
      </c>
      <c r="O53" s="7">
        <v>0</v>
      </c>
      <c r="P53" s="7">
        <v>0</v>
      </c>
      <c r="Q53" s="7">
        <v>6</v>
      </c>
      <c r="R53" s="7">
        <v>3</v>
      </c>
      <c r="S53" s="3">
        <v>3</v>
      </c>
      <c r="T53" s="37">
        <f t="shared" si="0"/>
        <v>12</v>
      </c>
      <c r="U53" s="28">
        <f t="shared" si="4"/>
        <v>145.23809523809524</v>
      </c>
      <c r="V53" s="59">
        <f t="shared" si="5"/>
        <v>0</v>
      </c>
    </row>
    <row r="54" spans="1:22" ht="21.75" customHeight="1">
      <c r="A54" s="87"/>
      <c r="B54" s="7" t="s">
        <v>14</v>
      </c>
      <c r="C54" s="3">
        <v>7</v>
      </c>
      <c r="D54" s="3">
        <v>5</v>
      </c>
      <c r="E54" s="4">
        <f t="shared" si="1"/>
        <v>3.2678571428571428</v>
      </c>
      <c r="F54" s="3">
        <v>3</v>
      </c>
      <c r="G54" s="3">
        <v>0</v>
      </c>
      <c r="H54" s="3">
        <v>1</v>
      </c>
      <c r="I54" s="3">
        <v>0</v>
      </c>
      <c r="J54" s="3">
        <v>0</v>
      </c>
      <c r="K54" s="3">
        <v>0</v>
      </c>
      <c r="L54" s="3"/>
      <c r="M54" s="5">
        <f t="shared" si="2"/>
        <v>0.73214285714285721</v>
      </c>
      <c r="N54" s="28">
        <f t="shared" si="3"/>
        <v>81.696428571428569</v>
      </c>
      <c r="O54" s="7">
        <v>0</v>
      </c>
      <c r="P54" s="7">
        <v>0</v>
      </c>
      <c r="Q54" s="7">
        <v>7</v>
      </c>
      <c r="R54" s="7">
        <v>1</v>
      </c>
      <c r="S54" s="3">
        <v>4</v>
      </c>
      <c r="T54" s="37">
        <f t="shared" si="0"/>
        <v>12</v>
      </c>
      <c r="U54" s="28">
        <f t="shared" si="4"/>
        <v>111.90476190476191</v>
      </c>
      <c r="V54" s="59">
        <f t="shared" si="5"/>
        <v>0</v>
      </c>
    </row>
    <row r="55" spans="1:22" ht="21.75" customHeight="1">
      <c r="A55" s="87">
        <v>16</v>
      </c>
      <c r="B55" s="7" t="s">
        <v>12</v>
      </c>
      <c r="C55" s="3">
        <v>7</v>
      </c>
      <c r="D55" s="3">
        <v>5</v>
      </c>
      <c r="E55" s="4">
        <f t="shared" si="1"/>
        <v>3.2678571428571428</v>
      </c>
      <c r="F55" s="3">
        <v>3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/>
      <c r="M55" s="5">
        <f t="shared" si="2"/>
        <v>-0.26785714285714279</v>
      </c>
      <c r="N55" s="28">
        <f t="shared" si="3"/>
        <v>108.92857142857142</v>
      </c>
      <c r="O55" s="7">
        <v>0</v>
      </c>
      <c r="P55" s="7">
        <v>0</v>
      </c>
      <c r="Q55" s="7">
        <v>7</v>
      </c>
      <c r="R55" s="7">
        <v>1</v>
      </c>
      <c r="S55" s="3">
        <v>4</v>
      </c>
      <c r="T55" s="37">
        <f t="shared" si="0"/>
        <v>12</v>
      </c>
      <c r="U55" s="28">
        <f t="shared" si="4"/>
        <v>149.20634920634922</v>
      </c>
      <c r="V55" s="59">
        <f t="shared" si="5"/>
        <v>0</v>
      </c>
    </row>
    <row r="56" spans="1:22" ht="21.75" customHeight="1">
      <c r="A56" s="87"/>
      <c r="B56" s="7" t="s">
        <v>13</v>
      </c>
      <c r="C56" s="3">
        <v>8</v>
      </c>
      <c r="D56" s="3">
        <v>5</v>
      </c>
      <c r="E56" s="4">
        <f t="shared" si="1"/>
        <v>3.4285714285714284</v>
      </c>
      <c r="F56" s="3">
        <v>3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/>
      <c r="M56" s="5">
        <f t="shared" si="2"/>
        <v>-0.42857142857142838</v>
      </c>
      <c r="N56" s="28">
        <f t="shared" si="3"/>
        <v>114.28571428571428</v>
      </c>
      <c r="O56" s="7">
        <v>0</v>
      </c>
      <c r="P56" s="7">
        <v>3</v>
      </c>
      <c r="Q56" s="7">
        <v>5</v>
      </c>
      <c r="R56" s="7">
        <v>1</v>
      </c>
      <c r="S56" s="3">
        <v>4</v>
      </c>
      <c r="T56" s="37">
        <f t="shared" si="0"/>
        <v>13</v>
      </c>
      <c r="U56" s="28">
        <f t="shared" si="4"/>
        <v>148.41269841269843</v>
      </c>
      <c r="V56" s="59">
        <f t="shared" si="5"/>
        <v>0</v>
      </c>
    </row>
    <row r="57" spans="1:22" ht="21.75" customHeight="1">
      <c r="A57" s="87"/>
      <c r="B57" s="7" t="s">
        <v>14</v>
      </c>
      <c r="C57" s="3">
        <v>5</v>
      </c>
      <c r="D57" s="3">
        <v>5</v>
      </c>
      <c r="E57" s="4">
        <f t="shared" si="1"/>
        <v>2.9464285714285716</v>
      </c>
      <c r="F57" s="3">
        <v>3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  <c r="M57" s="5">
        <f t="shared" si="2"/>
        <v>5.3571428571428381E-2</v>
      </c>
      <c r="N57" s="28">
        <f t="shared" si="3"/>
        <v>98.214285714285708</v>
      </c>
      <c r="O57" s="7">
        <v>0</v>
      </c>
      <c r="P57" s="7">
        <v>0</v>
      </c>
      <c r="Q57" s="7">
        <v>4</v>
      </c>
      <c r="R57" s="7">
        <v>4</v>
      </c>
      <c r="S57" s="3">
        <v>2</v>
      </c>
      <c r="T57" s="37">
        <f t="shared" si="0"/>
        <v>10</v>
      </c>
      <c r="U57" s="28">
        <f t="shared" si="4"/>
        <v>120.63492063492063</v>
      </c>
      <c r="V57" s="59">
        <f t="shared" si="5"/>
        <v>0</v>
      </c>
    </row>
    <row r="58" spans="1:22" ht="21.75" customHeight="1">
      <c r="A58" s="87">
        <v>17</v>
      </c>
      <c r="B58" s="7" t="s">
        <v>12</v>
      </c>
      <c r="C58" s="3">
        <v>4</v>
      </c>
      <c r="D58" s="3">
        <v>5</v>
      </c>
      <c r="E58" s="4">
        <f t="shared" si="1"/>
        <v>2.7857142857142856</v>
      </c>
      <c r="F58" s="3">
        <v>3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  <c r="M58" s="5">
        <f t="shared" si="2"/>
        <v>0.21428571428571441</v>
      </c>
      <c r="N58" s="28">
        <f t="shared" si="3"/>
        <v>92.857142857142861</v>
      </c>
      <c r="O58" s="7">
        <v>0</v>
      </c>
      <c r="P58" s="7">
        <v>0</v>
      </c>
      <c r="Q58" s="7">
        <v>4</v>
      </c>
      <c r="R58" s="7">
        <v>3</v>
      </c>
      <c r="S58" s="3">
        <v>2</v>
      </c>
      <c r="T58" s="37">
        <f t="shared" si="0"/>
        <v>9</v>
      </c>
      <c r="U58" s="28">
        <f t="shared" si="4"/>
        <v>108.73015873015872</v>
      </c>
      <c r="V58" s="59">
        <f t="shared" si="5"/>
        <v>0</v>
      </c>
    </row>
    <row r="59" spans="1:22" ht="21.75" customHeight="1">
      <c r="A59" s="87"/>
      <c r="B59" s="7" t="s">
        <v>13</v>
      </c>
      <c r="C59" s="3">
        <v>5</v>
      </c>
      <c r="D59" s="3">
        <v>4</v>
      </c>
      <c r="E59" s="4">
        <f t="shared" si="1"/>
        <v>2.5178571428571428</v>
      </c>
      <c r="F59" s="3">
        <v>3</v>
      </c>
      <c r="G59" s="3">
        <v>0</v>
      </c>
      <c r="H59" s="3">
        <v>1</v>
      </c>
      <c r="I59" s="3">
        <v>0</v>
      </c>
      <c r="J59" s="3">
        <v>0</v>
      </c>
      <c r="K59" s="3">
        <v>0</v>
      </c>
      <c r="L59" s="3"/>
      <c r="M59" s="5">
        <f t="shared" si="2"/>
        <v>1.4821428571428572</v>
      </c>
      <c r="N59" s="28">
        <f t="shared" si="3"/>
        <v>62.946428571428569</v>
      </c>
      <c r="O59" s="7">
        <v>0</v>
      </c>
      <c r="P59" s="7">
        <v>0</v>
      </c>
      <c r="Q59" s="7">
        <v>5</v>
      </c>
      <c r="R59" s="7">
        <v>1</v>
      </c>
      <c r="S59" s="3">
        <v>2</v>
      </c>
      <c r="T59" s="37">
        <f t="shared" si="0"/>
        <v>8</v>
      </c>
      <c r="U59" s="28">
        <f t="shared" si="4"/>
        <v>70.238095238095241</v>
      </c>
      <c r="V59" s="59">
        <f t="shared" si="5"/>
        <v>1</v>
      </c>
    </row>
    <row r="60" spans="1:22" ht="21.75" customHeight="1">
      <c r="A60" s="87"/>
      <c r="B60" s="7" t="s">
        <v>14</v>
      </c>
      <c r="C60" s="3">
        <v>5</v>
      </c>
      <c r="D60" s="3">
        <v>4</v>
      </c>
      <c r="E60" s="4">
        <f t="shared" si="1"/>
        <v>2.5178571428571428</v>
      </c>
      <c r="F60" s="3">
        <v>2</v>
      </c>
      <c r="G60" s="3">
        <v>0</v>
      </c>
      <c r="H60" s="3">
        <v>1</v>
      </c>
      <c r="I60" s="3">
        <v>0</v>
      </c>
      <c r="J60" s="3">
        <v>0</v>
      </c>
      <c r="K60" s="3">
        <v>0</v>
      </c>
      <c r="L60" s="3"/>
      <c r="M60" s="5">
        <f t="shared" si="2"/>
        <v>0.48214285714285721</v>
      </c>
      <c r="N60" s="28">
        <f t="shared" si="3"/>
        <v>83.928571428571431</v>
      </c>
      <c r="O60" s="7">
        <v>0</v>
      </c>
      <c r="P60" s="7">
        <v>0</v>
      </c>
      <c r="Q60" s="7">
        <v>6</v>
      </c>
      <c r="R60" s="7">
        <v>1</v>
      </c>
      <c r="S60" s="3">
        <v>2</v>
      </c>
      <c r="T60" s="37">
        <f t="shared" si="0"/>
        <v>9</v>
      </c>
      <c r="U60" s="28">
        <f t="shared" si="4"/>
        <v>102.38095238095238</v>
      </c>
      <c r="V60" s="59">
        <f t="shared" si="5"/>
        <v>0</v>
      </c>
    </row>
    <row r="61" spans="1:22" ht="21.75" customHeight="1">
      <c r="A61" s="87">
        <v>18</v>
      </c>
      <c r="B61" s="7" t="s">
        <v>12</v>
      </c>
      <c r="C61" s="3">
        <v>5</v>
      </c>
      <c r="D61" s="3">
        <v>4</v>
      </c>
      <c r="E61" s="4">
        <f t="shared" si="1"/>
        <v>2.5178571428571428</v>
      </c>
      <c r="F61" s="3">
        <v>3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  <c r="M61" s="5">
        <f t="shared" si="2"/>
        <v>0.48214285714285721</v>
      </c>
      <c r="N61" s="28">
        <f t="shared" si="3"/>
        <v>83.928571428571431</v>
      </c>
      <c r="O61" s="7">
        <v>0</v>
      </c>
      <c r="P61" s="7">
        <v>0</v>
      </c>
      <c r="Q61" s="7">
        <v>7</v>
      </c>
      <c r="R61" s="7">
        <v>0</v>
      </c>
      <c r="S61" s="3">
        <v>2</v>
      </c>
      <c r="T61" s="37">
        <f t="shared" si="0"/>
        <v>9</v>
      </c>
      <c r="U61" s="28">
        <f t="shared" si="4"/>
        <v>99.206349206349202</v>
      </c>
      <c r="V61" s="59">
        <f t="shared" si="5"/>
        <v>0</v>
      </c>
    </row>
    <row r="62" spans="1:22" ht="21.75" customHeight="1">
      <c r="A62" s="87"/>
      <c r="B62" s="7" t="s">
        <v>13</v>
      </c>
      <c r="C62" s="3">
        <v>5</v>
      </c>
      <c r="D62" s="3">
        <v>4</v>
      </c>
      <c r="E62" s="4">
        <f t="shared" si="1"/>
        <v>2.5178571428571428</v>
      </c>
      <c r="F62" s="3">
        <v>2</v>
      </c>
      <c r="G62" s="3">
        <v>0</v>
      </c>
      <c r="H62" s="3">
        <v>1</v>
      </c>
      <c r="I62" s="3">
        <v>1</v>
      </c>
      <c r="J62" s="3">
        <v>0</v>
      </c>
      <c r="K62" s="3">
        <v>0</v>
      </c>
      <c r="L62" s="3"/>
      <c r="M62" s="5">
        <f t="shared" si="2"/>
        <v>0.48214285714285721</v>
      </c>
      <c r="N62" s="28">
        <f t="shared" si="3"/>
        <v>62.946428571428569</v>
      </c>
      <c r="O62" s="7">
        <v>0</v>
      </c>
      <c r="P62" s="7">
        <v>2</v>
      </c>
      <c r="Q62" s="7">
        <v>5</v>
      </c>
      <c r="R62" s="7">
        <v>0</v>
      </c>
      <c r="S62" s="3">
        <v>2</v>
      </c>
      <c r="T62" s="37">
        <f t="shared" si="0"/>
        <v>9</v>
      </c>
      <c r="U62" s="28">
        <f t="shared" si="4"/>
        <v>69.642857142857139</v>
      </c>
      <c r="V62" s="59">
        <f t="shared" si="5"/>
        <v>0</v>
      </c>
    </row>
    <row r="63" spans="1:22" ht="21.75" customHeight="1">
      <c r="A63" s="87"/>
      <c r="B63" s="7" t="s">
        <v>14</v>
      </c>
      <c r="C63" s="3">
        <v>4</v>
      </c>
      <c r="D63" s="3">
        <v>3</v>
      </c>
      <c r="E63" s="4">
        <f t="shared" si="1"/>
        <v>1.9285714285714286</v>
      </c>
      <c r="F63" s="3">
        <v>2</v>
      </c>
      <c r="G63" s="3">
        <v>0</v>
      </c>
      <c r="H63" s="3">
        <v>0</v>
      </c>
      <c r="I63" s="3">
        <v>0</v>
      </c>
      <c r="J63" s="3">
        <v>0</v>
      </c>
      <c r="K63" s="3">
        <v>1</v>
      </c>
      <c r="L63" s="3"/>
      <c r="M63" s="5">
        <f t="shared" si="2"/>
        <v>7.1428571428571397E-2</v>
      </c>
      <c r="N63" s="28">
        <f t="shared" si="3"/>
        <v>64.285714285714292</v>
      </c>
      <c r="O63" s="7">
        <v>0</v>
      </c>
      <c r="P63" s="7">
        <v>0</v>
      </c>
      <c r="Q63" s="7">
        <v>5</v>
      </c>
      <c r="R63" s="7">
        <v>0</v>
      </c>
      <c r="S63" s="3">
        <v>2</v>
      </c>
      <c r="T63" s="37">
        <f t="shared" si="0"/>
        <v>7</v>
      </c>
      <c r="U63" s="28">
        <f t="shared" si="4"/>
        <v>81.746031746031761</v>
      </c>
      <c r="V63" s="59">
        <f t="shared" si="5"/>
        <v>0</v>
      </c>
    </row>
    <row r="64" spans="1:22" ht="21.75" customHeight="1">
      <c r="A64" s="87">
        <v>19</v>
      </c>
      <c r="B64" s="7" t="s">
        <v>12</v>
      </c>
      <c r="C64" s="3">
        <v>4</v>
      </c>
      <c r="D64" s="3">
        <v>5</v>
      </c>
      <c r="E64" s="4">
        <f t="shared" si="1"/>
        <v>2.7857142857142856</v>
      </c>
      <c r="F64" s="3">
        <v>1</v>
      </c>
      <c r="G64" s="3">
        <v>0</v>
      </c>
      <c r="H64" s="3">
        <v>0</v>
      </c>
      <c r="I64" s="3">
        <v>2</v>
      </c>
      <c r="J64" s="3">
        <v>0</v>
      </c>
      <c r="K64" s="3">
        <v>0</v>
      </c>
      <c r="L64" s="3"/>
      <c r="M64" s="5">
        <f t="shared" si="2"/>
        <v>-1.7857142857142856</v>
      </c>
      <c r="N64" s="28">
        <f t="shared" si="3"/>
        <v>92.857142857142861</v>
      </c>
      <c r="O64" s="7">
        <v>0</v>
      </c>
      <c r="P64" s="7">
        <v>0</v>
      </c>
      <c r="Q64" s="7">
        <v>5</v>
      </c>
      <c r="R64" s="7">
        <v>0</v>
      </c>
      <c r="S64" s="3">
        <v>4</v>
      </c>
      <c r="T64" s="37">
        <f t="shared" si="0"/>
        <v>9</v>
      </c>
      <c r="U64" s="28">
        <f t="shared" si="4"/>
        <v>119.84126984126983</v>
      </c>
      <c r="V64" s="59">
        <f t="shared" si="5"/>
        <v>0</v>
      </c>
    </row>
    <row r="65" spans="1:22" ht="21.75" customHeight="1">
      <c r="A65" s="87"/>
      <c r="B65" s="7" t="s">
        <v>13</v>
      </c>
      <c r="C65" s="3">
        <v>4</v>
      </c>
      <c r="D65" s="3">
        <v>5</v>
      </c>
      <c r="E65" s="4">
        <f t="shared" si="1"/>
        <v>2.7857142857142856</v>
      </c>
      <c r="F65" s="3">
        <v>4</v>
      </c>
      <c r="G65" s="3">
        <v>0</v>
      </c>
      <c r="H65" s="3">
        <v>0</v>
      </c>
      <c r="I65" s="3">
        <v>0</v>
      </c>
      <c r="J65" s="3">
        <v>0</v>
      </c>
      <c r="K65" s="3">
        <v>1</v>
      </c>
      <c r="L65" s="3"/>
      <c r="M65" s="5">
        <f t="shared" si="2"/>
        <v>1.2142857142857144</v>
      </c>
      <c r="N65" s="28">
        <f t="shared" si="3"/>
        <v>55.714285714285715</v>
      </c>
      <c r="O65" s="7">
        <v>0</v>
      </c>
      <c r="P65" s="7">
        <v>1</v>
      </c>
      <c r="Q65" s="7">
        <v>4</v>
      </c>
      <c r="R65" s="7">
        <v>0</v>
      </c>
      <c r="S65" s="3">
        <v>4</v>
      </c>
      <c r="T65" s="37">
        <f t="shared" si="0"/>
        <v>9</v>
      </c>
      <c r="U65" s="28">
        <f t="shared" si="4"/>
        <v>70</v>
      </c>
      <c r="V65" s="59">
        <f t="shared" si="5"/>
        <v>0</v>
      </c>
    </row>
    <row r="66" spans="1:22" ht="21.75" customHeight="1">
      <c r="A66" s="87"/>
      <c r="B66" s="7" t="s">
        <v>14</v>
      </c>
      <c r="C66" s="3">
        <v>3</v>
      </c>
      <c r="D66" s="3">
        <v>5</v>
      </c>
      <c r="E66" s="4">
        <f t="shared" si="1"/>
        <v>2.625</v>
      </c>
      <c r="F66" s="3">
        <v>2</v>
      </c>
      <c r="G66" s="3">
        <v>0</v>
      </c>
      <c r="H66" s="3">
        <v>1</v>
      </c>
      <c r="I66" s="3">
        <v>1</v>
      </c>
      <c r="J66" s="3">
        <v>0</v>
      </c>
      <c r="K66" s="3">
        <v>0</v>
      </c>
      <c r="L66" s="3"/>
      <c r="M66" s="5">
        <f t="shared" si="2"/>
        <v>0.375</v>
      </c>
      <c r="N66" s="28">
        <f t="shared" si="3"/>
        <v>65.625</v>
      </c>
      <c r="O66" s="7">
        <v>0</v>
      </c>
      <c r="P66" s="7">
        <v>0</v>
      </c>
      <c r="Q66" s="7">
        <v>4</v>
      </c>
      <c r="R66" s="7">
        <v>0</v>
      </c>
      <c r="S66" s="3">
        <v>4</v>
      </c>
      <c r="T66" s="37">
        <f t="shared" si="0"/>
        <v>8</v>
      </c>
      <c r="U66" s="28">
        <f t="shared" si="4"/>
        <v>83.333333333333329</v>
      </c>
      <c r="V66" s="59">
        <f t="shared" si="5"/>
        <v>0</v>
      </c>
    </row>
    <row r="67" spans="1:22" ht="21.75" customHeight="1">
      <c r="A67" s="87">
        <v>20</v>
      </c>
      <c r="B67" s="7" t="s">
        <v>12</v>
      </c>
      <c r="C67" s="3">
        <v>3</v>
      </c>
      <c r="D67" s="3">
        <v>5</v>
      </c>
      <c r="E67" s="4">
        <f t="shared" si="1"/>
        <v>2.625</v>
      </c>
      <c r="F67" s="3">
        <v>3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/>
      <c r="M67" s="5">
        <f t="shared" si="2"/>
        <v>0.375</v>
      </c>
      <c r="N67" s="28">
        <f t="shared" si="3"/>
        <v>87.5</v>
      </c>
      <c r="O67" s="7">
        <v>0</v>
      </c>
      <c r="P67" s="7">
        <v>0</v>
      </c>
      <c r="Q67" s="7">
        <v>4</v>
      </c>
      <c r="R67" s="7">
        <v>0</v>
      </c>
      <c r="S67" s="3">
        <v>4</v>
      </c>
      <c r="T67" s="37">
        <f t="shared" si="0"/>
        <v>8</v>
      </c>
      <c r="U67" s="28">
        <f t="shared" si="4"/>
        <v>111.11111111111111</v>
      </c>
      <c r="V67" s="59">
        <f t="shared" si="5"/>
        <v>0</v>
      </c>
    </row>
    <row r="68" spans="1:22" ht="21.75" customHeight="1">
      <c r="A68" s="87"/>
      <c r="B68" s="7" t="s">
        <v>13</v>
      </c>
      <c r="C68" s="3">
        <v>3</v>
      </c>
      <c r="D68" s="3">
        <v>5</v>
      </c>
      <c r="E68" s="4"/>
      <c r="F68" s="3">
        <v>1</v>
      </c>
      <c r="G68" s="3">
        <v>0</v>
      </c>
      <c r="H68" s="3">
        <v>0</v>
      </c>
      <c r="I68" s="3">
        <v>2</v>
      </c>
      <c r="J68" s="3">
        <v>0</v>
      </c>
      <c r="K68" s="3">
        <v>1</v>
      </c>
      <c r="L68" s="3"/>
      <c r="M68" s="5">
        <f t="shared" si="2"/>
        <v>1</v>
      </c>
      <c r="N68" s="28">
        <f t="shared" si="3"/>
        <v>65.625</v>
      </c>
      <c r="O68" s="7">
        <v>0</v>
      </c>
      <c r="P68" s="7">
        <v>0</v>
      </c>
      <c r="Q68" s="7">
        <v>4</v>
      </c>
      <c r="R68" s="7">
        <v>0</v>
      </c>
      <c r="S68" s="3">
        <v>4</v>
      </c>
      <c r="T68" s="37">
        <f t="shared" si="0"/>
        <v>8</v>
      </c>
      <c r="U68" s="28">
        <f t="shared" si="4"/>
        <v>83.333333333333329</v>
      </c>
      <c r="V68" s="59">
        <f t="shared" si="5"/>
        <v>0</v>
      </c>
    </row>
    <row r="69" spans="1:22" ht="21.75" customHeight="1">
      <c r="A69" s="87"/>
      <c r="B69" s="7" t="s">
        <v>14</v>
      </c>
      <c r="C69" s="3">
        <v>2</v>
      </c>
      <c r="D69" s="3">
        <v>5</v>
      </c>
      <c r="E69" s="4">
        <f t="shared" si="1"/>
        <v>2.4642857142857144</v>
      </c>
      <c r="F69" s="3">
        <v>2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  <c r="M69" s="5">
        <f t="shared" si="2"/>
        <v>-0.46428571428571441</v>
      </c>
      <c r="N69" s="28">
        <f t="shared" si="3"/>
        <v>123.21428571428572</v>
      </c>
      <c r="O69" s="7">
        <v>0</v>
      </c>
      <c r="P69" s="7">
        <v>0</v>
      </c>
      <c r="Q69" s="7">
        <v>3</v>
      </c>
      <c r="R69" s="7">
        <v>0</v>
      </c>
      <c r="S69" s="3">
        <v>4</v>
      </c>
      <c r="T69" s="37">
        <f t="shared" si="0"/>
        <v>7</v>
      </c>
      <c r="U69" s="28">
        <f t="shared" si="4"/>
        <v>153.57142857142858</v>
      </c>
      <c r="V69" s="59">
        <f t="shared" si="5"/>
        <v>0</v>
      </c>
    </row>
    <row r="70" spans="1:22" ht="21.75" customHeight="1">
      <c r="A70" s="87">
        <v>21</v>
      </c>
      <c r="B70" s="7" t="s">
        <v>12</v>
      </c>
      <c r="C70" s="3">
        <v>3</v>
      </c>
      <c r="D70" s="3">
        <v>5</v>
      </c>
      <c r="E70" s="4">
        <f t="shared" si="1"/>
        <v>2.625</v>
      </c>
      <c r="F70" s="3">
        <v>3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  <c r="M70" s="5">
        <f t="shared" si="2"/>
        <v>0.375</v>
      </c>
      <c r="N70" s="28">
        <f t="shared" si="3"/>
        <v>87.5</v>
      </c>
      <c r="O70" s="7">
        <v>0</v>
      </c>
      <c r="P70" s="7">
        <v>0</v>
      </c>
      <c r="Q70" s="7">
        <v>4</v>
      </c>
      <c r="R70" s="7">
        <v>0</v>
      </c>
      <c r="S70" s="3">
        <v>4</v>
      </c>
      <c r="T70" s="37">
        <f t="shared" si="0"/>
        <v>8</v>
      </c>
      <c r="U70" s="28">
        <f t="shared" si="4"/>
        <v>111.11111111111111</v>
      </c>
      <c r="V70" s="59">
        <f t="shared" si="5"/>
        <v>0</v>
      </c>
    </row>
    <row r="71" spans="1:22" ht="21.75" customHeight="1">
      <c r="A71" s="87"/>
      <c r="B71" s="7" t="s">
        <v>13</v>
      </c>
      <c r="C71" s="3">
        <v>2</v>
      </c>
      <c r="D71" s="3">
        <v>5</v>
      </c>
      <c r="E71" s="4">
        <f t="shared" si="1"/>
        <v>2.4642857142857144</v>
      </c>
      <c r="F71" s="3">
        <v>3</v>
      </c>
      <c r="G71" s="3">
        <v>0</v>
      </c>
      <c r="H71" s="3">
        <v>1</v>
      </c>
      <c r="I71" s="3">
        <v>0</v>
      </c>
      <c r="J71" s="3">
        <v>0</v>
      </c>
      <c r="K71" s="3">
        <v>0</v>
      </c>
      <c r="L71" s="3"/>
      <c r="M71" s="5">
        <f t="shared" si="2"/>
        <v>1.5357142857142856</v>
      </c>
      <c r="N71" s="28">
        <f t="shared" si="3"/>
        <v>61.607142857142861</v>
      </c>
      <c r="O71" s="7">
        <v>0</v>
      </c>
      <c r="P71" s="7">
        <v>2</v>
      </c>
      <c r="Q71" s="7">
        <v>1</v>
      </c>
      <c r="R71" s="7">
        <v>0</v>
      </c>
      <c r="S71" s="3">
        <v>4</v>
      </c>
      <c r="T71" s="37">
        <f t="shared" si="0"/>
        <v>7</v>
      </c>
      <c r="U71" s="28">
        <f t="shared" si="4"/>
        <v>72.023809523809518</v>
      </c>
      <c r="V71" s="59">
        <f t="shared" si="5"/>
        <v>0</v>
      </c>
    </row>
    <row r="72" spans="1:22" ht="21.75" customHeight="1">
      <c r="A72" s="87"/>
      <c r="B72" s="7" t="s">
        <v>14</v>
      </c>
      <c r="C72" s="3">
        <v>1</v>
      </c>
      <c r="D72" s="3">
        <v>4</v>
      </c>
      <c r="E72" s="4">
        <f t="shared" si="1"/>
        <v>1.875</v>
      </c>
      <c r="F72" s="3">
        <v>3</v>
      </c>
      <c r="G72" s="3">
        <v>0</v>
      </c>
      <c r="H72" s="3">
        <v>1</v>
      </c>
      <c r="I72" s="3">
        <v>0</v>
      </c>
      <c r="J72" s="3">
        <v>0</v>
      </c>
      <c r="K72" s="3">
        <v>0</v>
      </c>
      <c r="L72" s="3"/>
      <c r="M72" s="5">
        <f t="shared" si="2"/>
        <v>2.125</v>
      </c>
      <c r="N72" s="28">
        <f t="shared" si="3"/>
        <v>46.875</v>
      </c>
      <c r="O72" s="7">
        <v>0</v>
      </c>
      <c r="P72" s="7">
        <v>0</v>
      </c>
      <c r="Q72" s="7">
        <v>1</v>
      </c>
      <c r="R72" s="7">
        <v>0</v>
      </c>
      <c r="S72" s="3">
        <v>4</v>
      </c>
      <c r="T72" s="37">
        <f t="shared" si="0"/>
        <v>5</v>
      </c>
      <c r="U72" s="28">
        <f t="shared" si="4"/>
        <v>63.69047619047619</v>
      </c>
      <c r="V72" s="59">
        <f t="shared" si="5"/>
        <v>0</v>
      </c>
    </row>
    <row r="73" spans="1:22" ht="21.75" customHeight="1">
      <c r="A73" s="87">
        <v>22</v>
      </c>
      <c r="B73" s="7" t="s">
        <v>12</v>
      </c>
      <c r="C73" s="3">
        <v>1</v>
      </c>
      <c r="D73" s="3">
        <v>4</v>
      </c>
      <c r="E73" s="4">
        <f t="shared" si="1"/>
        <v>1.875</v>
      </c>
      <c r="F73" s="3">
        <v>3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  <c r="M73" s="5">
        <f t="shared" si="2"/>
        <v>1.125</v>
      </c>
      <c r="N73" s="28">
        <f t="shared" si="3"/>
        <v>62.5</v>
      </c>
      <c r="O73" s="7">
        <v>0</v>
      </c>
      <c r="P73" s="7">
        <v>0</v>
      </c>
      <c r="Q73" s="7">
        <v>1</v>
      </c>
      <c r="R73" s="7">
        <v>0</v>
      </c>
      <c r="S73" s="3">
        <v>4</v>
      </c>
      <c r="T73" s="37">
        <f t="shared" si="0"/>
        <v>5</v>
      </c>
      <c r="U73" s="28">
        <f t="shared" si="4"/>
        <v>84.920634920634924</v>
      </c>
      <c r="V73" s="59">
        <f t="shared" si="5"/>
        <v>0</v>
      </c>
    </row>
    <row r="74" spans="1:22" ht="21.75" customHeight="1">
      <c r="A74" s="87"/>
      <c r="B74" s="7" t="s">
        <v>13</v>
      </c>
      <c r="C74" s="3">
        <v>1</v>
      </c>
      <c r="D74" s="3">
        <v>4</v>
      </c>
      <c r="E74" s="4">
        <f t="shared" si="1"/>
        <v>1.875</v>
      </c>
      <c r="F74" s="3">
        <v>2</v>
      </c>
      <c r="G74" s="3">
        <v>0</v>
      </c>
      <c r="H74" s="3">
        <v>0</v>
      </c>
      <c r="I74" s="3">
        <v>1</v>
      </c>
      <c r="J74" s="3">
        <v>0</v>
      </c>
      <c r="K74" s="3">
        <v>0</v>
      </c>
      <c r="L74" s="3"/>
      <c r="M74" s="5">
        <f t="shared" si="2"/>
        <v>0.125</v>
      </c>
      <c r="N74" s="28">
        <f t="shared" si="3"/>
        <v>62.5</v>
      </c>
      <c r="O74" s="7">
        <v>0</v>
      </c>
      <c r="P74" s="7">
        <v>0</v>
      </c>
      <c r="Q74" s="7">
        <v>1</v>
      </c>
      <c r="R74" s="7">
        <v>0</v>
      </c>
      <c r="S74" s="3">
        <v>4</v>
      </c>
      <c r="T74" s="37">
        <f t="shared" ref="T74:T106" si="6">SUM(O74:S74)</f>
        <v>5</v>
      </c>
      <c r="U74" s="28">
        <f t="shared" si="4"/>
        <v>84.920634920634924</v>
      </c>
      <c r="V74" s="59">
        <f t="shared" si="5"/>
        <v>0</v>
      </c>
    </row>
    <row r="75" spans="1:22" ht="21.75" customHeight="1">
      <c r="A75" s="87"/>
      <c r="B75" s="7" t="s">
        <v>14</v>
      </c>
      <c r="C75" s="3">
        <v>2</v>
      </c>
      <c r="D75" s="3">
        <v>4</v>
      </c>
      <c r="E75" s="4">
        <f t="shared" ref="E75:E102" si="7">((($B$3*C75)+(12*D75))*$E$4)/7</f>
        <v>2.0357142857142856</v>
      </c>
      <c r="F75" s="3">
        <v>2</v>
      </c>
      <c r="G75" s="3">
        <v>0</v>
      </c>
      <c r="H75" s="3">
        <v>1</v>
      </c>
      <c r="I75" s="3">
        <v>0</v>
      </c>
      <c r="J75" s="3">
        <v>0</v>
      </c>
      <c r="K75" s="3">
        <v>0</v>
      </c>
      <c r="L75" s="3"/>
      <c r="M75" s="5">
        <f t="shared" ref="M75:M106" si="8">(F75+G75+H75+L75)-E75</f>
        <v>0.96428571428571441</v>
      </c>
      <c r="N75" s="28">
        <f t="shared" ref="N75:N105" si="9">(((C75*4.5)+(12*D75))*$E$4)/((F75+G75+H75+I75+J75+K75+L75)*7)*100</f>
        <v>67.857142857142861</v>
      </c>
      <c r="O75" s="7">
        <v>0</v>
      </c>
      <c r="P75" s="7">
        <v>0</v>
      </c>
      <c r="Q75" s="7">
        <v>2</v>
      </c>
      <c r="R75" s="7">
        <v>0</v>
      </c>
      <c r="S75" s="3">
        <v>4</v>
      </c>
      <c r="T75" s="37">
        <f t="shared" si="6"/>
        <v>6</v>
      </c>
      <c r="U75" s="28">
        <f t="shared" ref="U75:U106" si="10">((((O75*1.5+(P75*3.5)+(Q75*5.5)+(R75*7.5)+(S75*12)))/3)/((F75+G75+H75+I75+J75+K75+L75)*7))*100</f>
        <v>93.650793650793645</v>
      </c>
      <c r="V75" s="59">
        <f t="shared" ref="V75:V106" si="11">C75+D75-T75</f>
        <v>0</v>
      </c>
    </row>
    <row r="76" spans="1:22" ht="21.75" customHeight="1">
      <c r="A76" s="87">
        <v>23</v>
      </c>
      <c r="B76" s="7" t="s">
        <v>12</v>
      </c>
      <c r="C76" s="3">
        <v>2</v>
      </c>
      <c r="D76" s="3">
        <v>4</v>
      </c>
      <c r="E76" s="4">
        <f t="shared" si="7"/>
        <v>2.0357142857142856</v>
      </c>
      <c r="F76" s="3">
        <v>3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/>
      <c r="M76" s="5">
        <f t="shared" si="8"/>
        <v>0.96428571428571441</v>
      </c>
      <c r="N76" s="28">
        <f t="shared" si="9"/>
        <v>67.857142857142861</v>
      </c>
      <c r="O76" s="7">
        <v>0</v>
      </c>
      <c r="P76" s="7">
        <v>0</v>
      </c>
      <c r="Q76" s="7">
        <v>1</v>
      </c>
      <c r="R76" s="7">
        <v>1</v>
      </c>
      <c r="S76" s="3">
        <v>4</v>
      </c>
      <c r="T76" s="37">
        <f t="shared" si="6"/>
        <v>6</v>
      </c>
      <c r="U76" s="28">
        <f t="shared" si="10"/>
        <v>96.825396825396808</v>
      </c>
      <c r="V76" s="59">
        <f t="shared" si="11"/>
        <v>0</v>
      </c>
    </row>
    <row r="77" spans="1:22" ht="21.75" customHeight="1">
      <c r="A77" s="87"/>
      <c r="B77" s="7" t="s">
        <v>13</v>
      </c>
      <c r="C77" s="3">
        <v>3</v>
      </c>
      <c r="D77" s="3">
        <v>5</v>
      </c>
      <c r="E77" s="4">
        <f t="shared" si="7"/>
        <v>2.625</v>
      </c>
      <c r="F77" s="3">
        <v>2</v>
      </c>
      <c r="G77" s="3">
        <v>0</v>
      </c>
      <c r="H77" s="3">
        <v>1</v>
      </c>
      <c r="I77" s="3">
        <v>1</v>
      </c>
      <c r="J77" s="3">
        <v>0</v>
      </c>
      <c r="K77" s="3">
        <v>0</v>
      </c>
      <c r="L77" s="3"/>
      <c r="M77" s="5">
        <f t="shared" si="8"/>
        <v>0.375</v>
      </c>
      <c r="N77" s="28">
        <f t="shared" si="9"/>
        <v>65.625</v>
      </c>
      <c r="O77" s="7">
        <v>0</v>
      </c>
      <c r="P77" s="7">
        <v>0</v>
      </c>
      <c r="Q77" s="7">
        <v>2</v>
      </c>
      <c r="R77" s="7">
        <v>1</v>
      </c>
      <c r="S77" s="3">
        <v>5</v>
      </c>
      <c r="T77" s="37">
        <f t="shared" si="6"/>
        <v>8</v>
      </c>
      <c r="U77" s="28">
        <f t="shared" si="10"/>
        <v>93.452380952380949</v>
      </c>
      <c r="V77" s="59">
        <f t="shared" si="11"/>
        <v>0</v>
      </c>
    </row>
    <row r="78" spans="1:22" ht="21.75" customHeight="1">
      <c r="A78" s="87"/>
      <c r="B78" s="7" t="s">
        <v>14</v>
      </c>
      <c r="C78" s="3">
        <v>2</v>
      </c>
      <c r="D78" s="3">
        <v>6</v>
      </c>
      <c r="E78" s="4">
        <f t="shared" si="7"/>
        <v>2.8928571428571428</v>
      </c>
      <c r="F78" s="3">
        <v>3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/>
      <c r="M78" s="5">
        <f t="shared" si="8"/>
        <v>0.10714285714285721</v>
      </c>
      <c r="N78" s="28">
        <f t="shared" si="9"/>
        <v>96.428571428571431</v>
      </c>
      <c r="O78" s="7">
        <v>0</v>
      </c>
      <c r="P78" s="7">
        <v>0</v>
      </c>
      <c r="Q78" s="7">
        <v>1</v>
      </c>
      <c r="R78" s="7">
        <v>2</v>
      </c>
      <c r="S78" s="3">
        <v>5</v>
      </c>
      <c r="T78" s="37">
        <f t="shared" si="6"/>
        <v>8</v>
      </c>
      <c r="U78" s="28">
        <f t="shared" si="10"/>
        <v>127.77777777777777</v>
      </c>
      <c r="V78" s="59">
        <f t="shared" si="11"/>
        <v>0</v>
      </c>
    </row>
    <row r="79" spans="1:22" ht="21.75" customHeight="1">
      <c r="A79" s="87">
        <v>24</v>
      </c>
      <c r="B79" s="7" t="s">
        <v>12</v>
      </c>
      <c r="C79" s="3">
        <v>2</v>
      </c>
      <c r="D79" s="3">
        <v>6</v>
      </c>
      <c r="E79" s="4">
        <f t="shared" si="7"/>
        <v>2.8928571428571428</v>
      </c>
      <c r="F79" s="3">
        <v>3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/>
      <c r="M79" s="5">
        <f t="shared" si="8"/>
        <v>0.10714285714285721</v>
      </c>
      <c r="N79" s="28">
        <f t="shared" si="9"/>
        <v>96.428571428571431</v>
      </c>
      <c r="O79" s="7">
        <v>0</v>
      </c>
      <c r="P79" s="7">
        <v>0</v>
      </c>
      <c r="Q79" s="7">
        <v>1</v>
      </c>
      <c r="R79" s="7">
        <v>2</v>
      </c>
      <c r="S79" s="3">
        <v>5</v>
      </c>
      <c r="T79" s="37">
        <f t="shared" si="6"/>
        <v>8</v>
      </c>
      <c r="U79" s="28">
        <f t="shared" si="10"/>
        <v>127.77777777777777</v>
      </c>
      <c r="V79" s="59">
        <f t="shared" si="11"/>
        <v>0</v>
      </c>
    </row>
    <row r="80" spans="1:22" ht="21.75" customHeight="1">
      <c r="A80" s="87"/>
      <c r="B80" s="7" t="s">
        <v>13</v>
      </c>
      <c r="C80" s="3">
        <v>2</v>
      </c>
      <c r="D80" s="3">
        <v>6</v>
      </c>
      <c r="E80" s="4">
        <f t="shared" si="7"/>
        <v>2.8928571428571428</v>
      </c>
      <c r="F80" s="3">
        <v>3</v>
      </c>
      <c r="G80" s="3">
        <v>0</v>
      </c>
      <c r="H80" s="3">
        <v>1</v>
      </c>
      <c r="I80" s="3">
        <v>1</v>
      </c>
      <c r="J80" s="3">
        <v>0</v>
      </c>
      <c r="K80" s="3">
        <v>0</v>
      </c>
      <c r="L80" s="3"/>
      <c r="M80" s="5">
        <f t="shared" si="8"/>
        <v>1.1071428571428572</v>
      </c>
      <c r="N80" s="28">
        <f t="shared" si="9"/>
        <v>57.857142857142861</v>
      </c>
      <c r="O80" s="7">
        <v>0</v>
      </c>
      <c r="P80" s="7">
        <v>0</v>
      </c>
      <c r="Q80" s="7">
        <v>1</v>
      </c>
      <c r="R80" s="7">
        <v>2</v>
      </c>
      <c r="S80" s="3">
        <v>5</v>
      </c>
      <c r="T80" s="37">
        <f t="shared" si="6"/>
        <v>8</v>
      </c>
      <c r="U80" s="28">
        <f t="shared" si="10"/>
        <v>76.666666666666657</v>
      </c>
      <c r="V80" s="59">
        <f t="shared" si="11"/>
        <v>0</v>
      </c>
    </row>
    <row r="81" spans="1:22" ht="21.75" customHeight="1">
      <c r="A81" s="87"/>
      <c r="B81" s="7" t="s">
        <v>14</v>
      </c>
      <c r="C81" s="3">
        <v>3</v>
      </c>
      <c r="D81" s="3">
        <v>6</v>
      </c>
      <c r="E81" s="4">
        <f t="shared" si="7"/>
        <v>3.0535714285714284</v>
      </c>
      <c r="F81" s="3">
        <v>1</v>
      </c>
      <c r="G81" s="3">
        <v>0</v>
      </c>
      <c r="H81" s="3">
        <v>1</v>
      </c>
      <c r="I81" s="3">
        <v>2</v>
      </c>
      <c r="J81" s="3">
        <v>0</v>
      </c>
      <c r="K81" s="3">
        <v>0</v>
      </c>
      <c r="L81" s="3"/>
      <c r="M81" s="5">
        <f t="shared" si="8"/>
        <v>-1.0535714285714284</v>
      </c>
      <c r="N81" s="28">
        <f t="shared" si="9"/>
        <v>76.339285714285708</v>
      </c>
      <c r="O81" s="7">
        <v>0</v>
      </c>
      <c r="P81" s="7">
        <v>0</v>
      </c>
      <c r="Q81" s="7">
        <v>2</v>
      </c>
      <c r="R81" s="7">
        <v>2</v>
      </c>
      <c r="S81" s="3">
        <v>5</v>
      </c>
      <c r="T81" s="37">
        <f t="shared" si="6"/>
        <v>9</v>
      </c>
      <c r="U81" s="28">
        <f t="shared" si="10"/>
        <v>102.38095238095239</v>
      </c>
      <c r="V81" s="59">
        <f t="shared" si="11"/>
        <v>0</v>
      </c>
    </row>
    <row r="82" spans="1:22" ht="21.75" customHeight="1">
      <c r="A82" s="87">
        <v>25</v>
      </c>
      <c r="B82" s="7" t="s">
        <v>12</v>
      </c>
      <c r="C82" s="3">
        <v>3</v>
      </c>
      <c r="D82" s="3">
        <v>6</v>
      </c>
      <c r="E82" s="4">
        <f t="shared" si="7"/>
        <v>3.0535714285714284</v>
      </c>
      <c r="F82" s="3">
        <v>3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/>
      <c r="M82" s="5">
        <f t="shared" si="8"/>
        <v>-5.3571428571428381E-2</v>
      </c>
      <c r="N82" s="28">
        <f t="shared" si="9"/>
        <v>101.78571428571428</v>
      </c>
      <c r="O82" s="7">
        <v>0</v>
      </c>
      <c r="P82" s="7">
        <v>0</v>
      </c>
      <c r="Q82" s="7">
        <v>2</v>
      </c>
      <c r="R82" s="7">
        <v>2</v>
      </c>
      <c r="S82" s="3">
        <v>5</v>
      </c>
      <c r="T82" s="37">
        <f t="shared" si="6"/>
        <v>9</v>
      </c>
      <c r="U82" s="28">
        <f t="shared" si="10"/>
        <v>136.50793650793651</v>
      </c>
      <c r="V82" s="59">
        <f t="shared" si="11"/>
        <v>0</v>
      </c>
    </row>
    <row r="83" spans="1:22" ht="21.75" customHeight="1">
      <c r="A83" s="87"/>
      <c r="B83" s="7" t="s">
        <v>13</v>
      </c>
      <c r="C83" s="3">
        <v>2</v>
      </c>
      <c r="D83" s="3">
        <v>6</v>
      </c>
      <c r="E83" s="4">
        <f t="shared" si="7"/>
        <v>2.8928571428571428</v>
      </c>
      <c r="F83" s="3">
        <v>3</v>
      </c>
      <c r="G83" s="3">
        <v>0</v>
      </c>
      <c r="H83" s="3">
        <v>1</v>
      </c>
      <c r="I83" s="3">
        <v>1</v>
      </c>
      <c r="J83" s="3">
        <v>0</v>
      </c>
      <c r="K83" s="3">
        <v>0</v>
      </c>
      <c r="L83" s="3"/>
      <c r="M83" s="5">
        <f t="shared" si="8"/>
        <v>1.1071428571428572</v>
      </c>
      <c r="N83" s="28">
        <f t="shared" si="9"/>
        <v>57.857142857142861</v>
      </c>
      <c r="O83" s="7">
        <v>0</v>
      </c>
      <c r="P83" s="7">
        <v>0</v>
      </c>
      <c r="Q83" s="7">
        <v>2</v>
      </c>
      <c r="R83" s="7">
        <v>1</v>
      </c>
      <c r="S83" s="3">
        <v>5</v>
      </c>
      <c r="T83" s="37">
        <f t="shared" si="6"/>
        <v>8</v>
      </c>
      <c r="U83" s="28">
        <f t="shared" si="10"/>
        <v>74.761904761904759</v>
      </c>
      <c r="V83" s="59">
        <f t="shared" si="11"/>
        <v>0</v>
      </c>
    </row>
    <row r="84" spans="1:22" ht="21.75" customHeight="1">
      <c r="A84" s="87"/>
      <c r="B84" s="7" t="s">
        <v>14</v>
      </c>
      <c r="C84" s="3">
        <v>4</v>
      </c>
      <c r="D84" s="3">
        <v>6</v>
      </c>
      <c r="E84" s="4">
        <f t="shared" si="7"/>
        <v>3.2142857142857144</v>
      </c>
      <c r="F84" s="3">
        <v>3</v>
      </c>
      <c r="G84" s="3">
        <v>0</v>
      </c>
      <c r="H84" s="3">
        <v>1</v>
      </c>
      <c r="I84" s="3">
        <v>0</v>
      </c>
      <c r="J84" s="3">
        <v>0</v>
      </c>
      <c r="K84" s="3">
        <v>0</v>
      </c>
      <c r="L84" s="3"/>
      <c r="M84" s="5">
        <f t="shared" si="8"/>
        <v>0.78571428571428559</v>
      </c>
      <c r="N84" s="28">
        <f t="shared" si="9"/>
        <v>80.357142857142861</v>
      </c>
      <c r="O84" s="7">
        <v>0</v>
      </c>
      <c r="P84" s="7">
        <v>0</v>
      </c>
      <c r="Q84" s="7">
        <v>5</v>
      </c>
      <c r="R84" s="7">
        <v>1</v>
      </c>
      <c r="S84" s="3">
        <v>4</v>
      </c>
      <c r="T84" s="37">
        <f t="shared" si="6"/>
        <v>10</v>
      </c>
      <c r="U84" s="28">
        <f t="shared" si="10"/>
        <v>98.80952380952381</v>
      </c>
      <c r="V84" s="59">
        <f t="shared" si="11"/>
        <v>0</v>
      </c>
    </row>
    <row r="85" spans="1:22" ht="21.75" customHeight="1">
      <c r="A85" s="87">
        <v>26</v>
      </c>
      <c r="B85" s="7" t="s">
        <v>12</v>
      </c>
      <c r="C85" s="3">
        <v>2</v>
      </c>
      <c r="D85" s="3">
        <v>6</v>
      </c>
      <c r="E85" s="4">
        <f t="shared" si="7"/>
        <v>2.8928571428571428</v>
      </c>
      <c r="F85" s="3">
        <v>3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  <c r="M85" s="5">
        <f t="shared" si="8"/>
        <v>0.10714285714285721</v>
      </c>
      <c r="N85" s="28">
        <f t="shared" si="9"/>
        <v>96.428571428571431</v>
      </c>
      <c r="O85" s="7">
        <v>0</v>
      </c>
      <c r="P85" s="7">
        <v>0</v>
      </c>
      <c r="Q85" s="7">
        <v>3</v>
      </c>
      <c r="R85" s="7">
        <v>1</v>
      </c>
      <c r="S85" s="3">
        <v>4</v>
      </c>
      <c r="T85" s="37">
        <f t="shared" si="6"/>
        <v>8</v>
      </c>
      <c r="U85" s="28">
        <f t="shared" si="10"/>
        <v>114.28571428571428</v>
      </c>
      <c r="V85" s="59">
        <f t="shared" si="11"/>
        <v>0</v>
      </c>
    </row>
    <row r="86" spans="1:22" ht="21.75" customHeight="1">
      <c r="A86" s="87"/>
      <c r="B86" s="7" t="s">
        <v>13</v>
      </c>
      <c r="C86" s="3">
        <v>6</v>
      </c>
      <c r="D86" s="3">
        <v>6</v>
      </c>
      <c r="E86" s="4">
        <f t="shared" si="7"/>
        <v>3.5357142857142856</v>
      </c>
      <c r="F86" s="3">
        <v>4</v>
      </c>
      <c r="G86" s="3">
        <v>0</v>
      </c>
      <c r="H86" s="3">
        <v>1</v>
      </c>
      <c r="I86" s="3">
        <v>0</v>
      </c>
      <c r="J86" s="3">
        <v>0</v>
      </c>
      <c r="K86" s="3">
        <v>0</v>
      </c>
      <c r="L86" s="3"/>
      <c r="M86" s="5">
        <f t="shared" si="8"/>
        <v>1.4642857142857144</v>
      </c>
      <c r="N86" s="28">
        <f t="shared" si="9"/>
        <v>70.714285714285722</v>
      </c>
      <c r="O86" s="7">
        <v>0</v>
      </c>
      <c r="P86" s="7">
        <v>0</v>
      </c>
      <c r="Q86" s="7">
        <v>7</v>
      </c>
      <c r="R86" s="7">
        <v>1</v>
      </c>
      <c r="S86" s="3">
        <v>4</v>
      </c>
      <c r="T86" s="37">
        <f t="shared" si="6"/>
        <v>12</v>
      </c>
      <c r="U86" s="28">
        <f t="shared" si="10"/>
        <v>89.523809523809518</v>
      </c>
      <c r="V86" s="59">
        <f t="shared" si="11"/>
        <v>0</v>
      </c>
    </row>
    <row r="87" spans="1:22" ht="21.75" customHeight="1">
      <c r="A87" s="87"/>
      <c r="B87" s="7" t="s">
        <v>14</v>
      </c>
      <c r="C87" s="3">
        <v>5</v>
      </c>
      <c r="D87" s="3">
        <v>5</v>
      </c>
      <c r="E87" s="4">
        <f t="shared" si="7"/>
        <v>2.9464285714285716</v>
      </c>
      <c r="F87" s="3">
        <v>3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  <c r="M87" s="5">
        <f t="shared" si="8"/>
        <v>5.3571428571428381E-2</v>
      </c>
      <c r="N87" s="28">
        <f t="shared" si="9"/>
        <v>98.214285714285708</v>
      </c>
      <c r="O87" s="7">
        <v>0</v>
      </c>
      <c r="P87" s="7">
        <v>0</v>
      </c>
      <c r="Q87" s="7">
        <v>6</v>
      </c>
      <c r="R87" s="7">
        <v>1</v>
      </c>
      <c r="S87" s="3">
        <v>3</v>
      </c>
      <c r="T87" s="37">
        <f t="shared" si="6"/>
        <v>10</v>
      </c>
      <c r="U87" s="28">
        <f t="shared" si="10"/>
        <v>121.42857142857142</v>
      </c>
      <c r="V87" s="59">
        <f t="shared" si="11"/>
        <v>0</v>
      </c>
    </row>
    <row r="88" spans="1:22" ht="21.75" customHeight="1">
      <c r="A88" s="87">
        <v>27</v>
      </c>
      <c r="B88" s="7" t="s">
        <v>12</v>
      </c>
      <c r="C88" s="3">
        <v>5</v>
      </c>
      <c r="D88" s="3">
        <v>5</v>
      </c>
      <c r="E88" s="4">
        <f t="shared" si="7"/>
        <v>2.9464285714285716</v>
      </c>
      <c r="F88" s="3">
        <v>3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  <c r="M88" s="5">
        <f t="shared" si="8"/>
        <v>5.3571428571428381E-2</v>
      </c>
      <c r="N88" s="28">
        <f t="shared" si="9"/>
        <v>98.214285714285708</v>
      </c>
      <c r="O88" s="7">
        <v>0</v>
      </c>
      <c r="P88" s="7">
        <v>0</v>
      </c>
      <c r="Q88" s="7">
        <v>6</v>
      </c>
      <c r="R88" s="7">
        <v>1</v>
      </c>
      <c r="S88" s="3">
        <v>3</v>
      </c>
      <c r="T88" s="37">
        <f t="shared" si="6"/>
        <v>10</v>
      </c>
      <c r="U88" s="28">
        <f t="shared" si="10"/>
        <v>121.42857142857142</v>
      </c>
      <c r="V88" s="59">
        <f t="shared" si="11"/>
        <v>0</v>
      </c>
    </row>
    <row r="89" spans="1:22" ht="21.75" customHeight="1">
      <c r="A89" s="87"/>
      <c r="B89" s="7" t="s">
        <v>13</v>
      </c>
      <c r="C89" s="3">
        <v>5</v>
      </c>
      <c r="D89" s="3">
        <v>5</v>
      </c>
      <c r="E89" s="4">
        <f t="shared" si="7"/>
        <v>2.9464285714285716</v>
      </c>
      <c r="F89" s="3">
        <v>3</v>
      </c>
      <c r="G89" s="3">
        <v>0</v>
      </c>
      <c r="H89" s="3">
        <v>1</v>
      </c>
      <c r="I89" s="3">
        <v>0</v>
      </c>
      <c r="J89" s="3">
        <v>0</v>
      </c>
      <c r="K89" s="3">
        <v>0</v>
      </c>
      <c r="L89" s="3"/>
      <c r="M89" s="5">
        <f t="shared" si="8"/>
        <v>1.0535714285714284</v>
      </c>
      <c r="N89" s="28">
        <f t="shared" si="9"/>
        <v>73.660714285714292</v>
      </c>
      <c r="O89" s="7">
        <v>0</v>
      </c>
      <c r="P89" s="7">
        <v>1</v>
      </c>
      <c r="Q89" s="7">
        <v>5</v>
      </c>
      <c r="R89" s="7">
        <v>1</v>
      </c>
      <c r="S89" s="3">
        <v>3</v>
      </c>
      <c r="T89" s="37">
        <f t="shared" si="6"/>
        <v>10</v>
      </c>
      <c r="U89" s="28">
        <f t="shared" si="10"/>
        <v>88.69047619047619</v>
      </c>
      <c r="V89" s="59">
        <f t="shared" si="11"/>
        <v>0</v>
      </c>
    </row>
    <row r="90" spans="1:22" ht="21.75" customHeight="1">
      <c r="A90" s="87"/>
      <c r="B90" s="7" t="s">
        <v>14</v>
      </c>
      <c r="C90" s="3">
        <v>6</v>
      </c>
      <c r="D90" s="3">
        <v>5</v>
      </c>
      <c r="E90" s="4">
        <f t="shared" si="7"/>
        <v>3.1071428571428572</v>
      </c>
      <c r="F90" s="3">
        <v>3</v>
      </c>
      <c r="G90" s="3">
        <v>0</v>
      </c>
      <c r="H90" s="3">
        <v>1</v>
      </c>
      <c r="I90" s="3">
        <v>0</v>
      </c>
      <c r="J90" s="3">
        <v>0</v>
      </c>
      <c r="K90" s="3">
        <v>0</v>
      </c>
      <c r="L90" s="3"/>
      <c r="M90" s="5">
        <f t="shared" si="8"/>
        <v>0.89285714285714279</v>
      </c>
      <c r="N90" s="28">
        <f t="shared" si="9"/>
        <v>77.678571428571431</v>
      </c>
      <c r="O90" s="7">
        <v>0</v>
      </c>
      <c r="P90" s="7">
        <v>0</v>
      </c>
      <c r="Q90" s="7">
        <v>7</v>
      </c>
      <c r="R90" s="7">
        <v>2</v>
      </c>
      <c r="S90" s="3">
        <v>2</v>
      </c>
      <c r="T90" s="37">
        <f t="shared" si="6"/>
        <v>11</v>
      </c>
      <c r="U90" s="28">
        <f t="shared" si="10"/>
        <v>92.261904761904759</v>
      </c>
      <c r="V90" s="59">
        <f t="shared" si="11"/>
        <v>0</v>
      </c>
    </row>
    <row r="91" spans="1:22" ht="21.75" customHeight="1">
      <c r="A91" s="87">
        <v>28</v>
      </c>
      <c r="B91" s="7" t="s">
        <v>12</v>
      </c>
      <c r="C91" s="3">
        <v>6</v>
      </c>
      <c r="D91" s="3">
        <v>6</v>
      </c>
      <c r="E91" s="4">
        <f t="shared" si="7"/>
        <v>3.5357142857142856</v>
      </c>
      <c r="F91" s="3">
        <v>3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  <c r="M91" s="5">
        <f t="shared" si="8"/>
        <v>-0.53571428571428559</v>
      </c>
      <c r="N91" s="28">
        <f t="shared" si="9"/>
        <v>117.85714285714286</v>
      </c>
      <c r="O91" s="7">
        <v>0</v>
      </c>
      <c r="P91" s="7">
        <v>0</v>
      </c>
      <c r="Q91" s="7">
        <v>7</v>
      </c>
      <c r="R91" s="7">
        <v>2</v>
      </c>
      <c r="S91" s="3">
        <v>3</v>
      </c>
      <c r="T91" s="37">
        <f t="shared" si="6"/>
        <v>12</v>
      </c>
      <c r="U91" s="28">
        <f t="shared" si="10"/>
        <v>142.06349206349205</v>
      </c>
      <c r="V91" s="59">
        <f t="shared" si="11"/>
        <v>0</v>
      </c>
    </row>
    <row r="92" spans="1:22" ht="21.75" customHeight="1">
      <c r="A92" s="87"/>
      <c r="B92" s="7" t="s">
        <v>13</v>
      </c>
      <c r="C92" s="3">
        <v>6</v>
      </c>
      <c r="D92" s="3">
        <v>6</v>
      </c>
      <c r="E92" s="4">
        <f t="shared" si="7"/>
        <v>3.5357142857142856</v>
      </c>
      <c r="F92" s="3">
        <v>1</v>
      </c>
      <c r="G92" s="3">
        <v>0</v>
      </c>
      <c r="H92" s="3">
        <v>1</v>
      </c>
      <c r="I92" s="3">
        <v>2</v>
      </c>
      <c r="J92" s="3">
        <v>0</v>
      </c>
      <c r="K92" s="3">
        <v>0</v>
      </c>
      <c r="L92" s="3"/>
      <c r="M92" s="5">
        <f t="shared" si="8"/>
        <v>-1.5357142857142856</v>
      </c>
      <c r="N92" s="28">
        <f t="shared" si="9"/>
        <v>88.392857142857139</v>
      </c>
      <c r="O92" s="7">
        <v>0</v>
      </c>
      <c r="P92" s="7">
        <v>0</v>
      </c>
      <c r="Q92" s="7">
        <v>8</v>
      </c>
      <c r="R92" s="7">
        <v>1</v>
      </c>
      <c r="S92" s="3">
        <v>3</v>
      </c>
      <c r="T92" s="37">
        <f t="shared" si="6"/>
        <v>12</v>
      </c>
      <c r="U92" s="28">
        <f t="shared" si="10"/>
        <v>104.16666666666667</v>
      </c>
      <c r="V92" s="59">
        <f t="shared" si="11"/>
        <v>0</v>
      </c>
    </row>
    <row r="93" spans="1:22" ht="21.75" customHeight="1">
      <c r="A93" s="87"/>
      <c r="B93" s="7" t="s">
        <v>14</v>
      </c>
      <c r="C93" s="3">
        <v>7</v>
      </c>
      <c r="D93" s="3">
        <v>6</v>
      </c>
      <c r="E93" s="4">
        <f t="shared" si="7"/>
        <v>3.6964285714285716</v>
      </c>
      <c r="F93" s="3">
        <v>3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  <c r="M93" s="5">
        <f t="shared" si="8"/>
        <v>-0.69642857142857162</v>
      </c>
      <c r="N93" s="28">
        <f t="shared" si="9"/>
        <v>123.21428571428572</v>
      </c>
      <c r="O93" s="7">
        <v>0</v>
      </c>
      <c r="P93" s="7">
        <v>0</v>
      </c>
      <c r="Q93" s="7">
        <v>9</v>
      </c>
      <c r="R93" s="7">
        <v>1</v>
      </c>
      <c r="S93" s="3">
        <v>3</v>
      </c>
      <c r="T93" s="37">
        <f t="shared" si="6"/>
        <v>13</v>
      </c>
      <c r="U93" s="28">
        <f t="shared" si="10"/>
        <v>147.61904761904762</v>
      </c>
      <c r="V93" s="59">
        <f t="shared" si="11"/>
        <v>0</v>
      </c>
    </row>
    <row r="94" spans="1:22" ht="21.75" customHeight="1">
      <c r="A94" s="87">
        <v>29</v>
      </c>
      <c r="B94" s="7" t="s">
        <v>12</v>
      </c>
      <c r="C94" s="3">
        <v>7</v>
      </c>
      <c r="D94" s="3">
        <v>6</v>
      </c>
      <c r="E94" s="4">
        <f t="shared" si="7"/>
        <v>3.6964285714285716</v>
      </c>
      <c r="F94" s="3">
        <v>3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/>
      <c r="M94" s="5">
        <f t="shared" si="8"/>
        <v>-0.69642857142857162</v>
      </c>
      <c r="N94" s="28">
        <f t="shared" si="9"/>
        <v>123.21428571428572</v>
      </c>
      <c r="O94" s="7">
        <v>0</v>
      </c>
      <c r="P94" s="7">
        <v>0</v>
      </c>
      <c r="Q94" s="7">
        <v>9</v>
      </c>
      <c r="R94" s="7">
        <v>1</v>
      </c>
      <c r="S94" s="3">
        <v>3</v>
      </c>
      <c r="T94" s="37">
        <f t="shared" si="6"/>
        <v>13</v>
      </c>
      <c r="U94" s="28">
        <f t="shared" si="10"/>
        <v>147.61904761904762</v>
      </c>
      <c r="V94" s="59">
        <f t="shared" si="11"/>
        <v>0</v>
      </c>
    </row>
    <row r="95" spans="1:22" ht="21.75" customHeight="1">
      <c r="A95" s="87"/>
      <c r="B95" s="7" t="s">
        <v>13</v>
      </c>
      <c r="C95" s="3">
        <v>7</v>
      </c>
      <c r="D95" s="3">
        <v>6</v>
      </c>
      <c r="E95" s="4">
        <f t="shared" si="7"/>
        <v>3.6964285714285716</v>
      </c>
      <c r="F95" s="3">
        <v>1</v>
      </c>
      <c r="G95" s="3">
        <v>0</v>
      </c>
      <c r="H95" s="3">
        <v>1</v>
      </c>
      <c r="I95" s="3">
        <v>2</v>
      </c>
      <c r="J95" s="3">
        <v>0</v>
      </c>
      <c r="K95" s="3">
        <v>0</v>
      </c>
      <c r="L95" s="3"/>
      <c r="M95" s="5">
        <f t="shared" si="8"/>
        <v>-1.6964285714285716</v>
      </c>
      <c r="N95" s="28">
        <f t="shared" si="9"/>
        <v>92.410714285714292</v>
      </c>
      <c r="O95" s="7">
        <v>0</v>
      </c>
      <c r="P95" s="7">
        <v>0</v>
      </c>
      <c r="Q95" s="7">
        <v>9</v>
      </c>
      <c r="R95" s="7">
        <v>1</v>
      </c>
      <c r="S95" s="3">
        <v>3</v>
      </c>
      <c r="T95" s="37">
        <f t="shared" si="6"/>
        <v>13</v>
      </c>
      <c r="U95" s="28">
        <f t="shared" si="10"/>
        <v>110.71428571428572</v>
      </c>
      <c r="V95" s="59">
        <f t="shared" si="11"/>
        <v>0</v>
      </c>
    </row>
    <row r="96" spans="1:22" ht="21.75" customHeight="1">
      <c r="A96" s="87"/>
      <c r="B96" s="7" t="s">
        <v>14</v>
      </c>
      <c r="C96" s="3">
        <v>7</v>
      </c>
      <c r="D96" s="3">
        <v>6</v>
      </c>
      <c r="E96" s="4">
        <f t="shared" si="7"/>
        <v>3.6964285714285716</v>
      </c>
      <c r="F96" s="3">
        <v>2</v>
      </c>
      <c r="G96" s="3">
        <v>0</v>
      </c>
      <c r="H96" s="3">
        <v>1</v>
      </c>
      <c r="I96" s="3">
        <v>1</v>
      </c>
      <c r="J96" s="3">
        <v>0</v>
      </c>
      <c r="K96" s="3">
        <v>0</v>
      </c>
      <c r="L96" s="3"/>
      <c r="M96" s="5">
        <f t="shared" si="8"/>
        <v>-0.69642857142857162</v>
      </c>
      <c r="N96" s="28">
        <f t="shared" si="9"/>
        <v>92.410714285714292</v>
      </c>
      <c r="O96" s="7">
        <v>0</v>
      </c>
      <c r="P96" s="7">
        <v>0</v>
      </c>
      <c r="Q96" s="7">
        <v>9</v>
      </c>
      <c r="R96" s="7">
        <v>2</v>
      </c>
      <c r="S96" s="3">
        <v>2</v>
      </c>
      <c r="T96" s="37">
        <f t="shared" si="6"/>
        <v>13</v>
      </c>
      <c r="U96" s="28">
        <f t="shared" si="10"/>
        <v>105.35714285714286</v>
      </c>
      <c r="V96" s="59">
        <f t="shared" si="11"/>
        <v>0</v>
      </c>
    </row>
    <row r="97" spans="1:22" ht="21.75" customHeight="1">
      <c r="A97" s="87">
        <v>30</v>
      </c>
      <c r="B97" s="7" t="s">
        <v>12</v>
      </c>
      <c r="C97" s="3">
        <v>8</v>
      </c>
      <c r="D97" s="3">
        <v>6</v>
      </c>
      <c r="E97" s="4">
        <f t="shared" si="7"/>
        <v>3.8571428571428572</v>
      </c>
      <c r="F97" s="3">
        <v>2</v>
      </c>
      <c r="G97" s="3">
        <v>0</v>
      </c>
      <c r="H97" s="3">
        <v>0</v>
      </c>
      <c r="I97" s="3">
        <v>1</v>
      </c>
      <c r="J97" s="3">
        <v>0</v>
      </c>
      <c r="K97" s="3">
        <v>0</v>
      </c>
      <c r="L97" s="3"/>
      <c r="M97" s="5">
        <f t="shared" si="8"/>
        <v>-1.8571428571428572</v>
      </c>
      <c r="N97" s="28">
        <f t="shared" si="9"/>
        <v>128.57142857142858</v>
      </c>
      <c r="O97" s="7">
        <v>0</v>
      </c>
      <c r="P97" s="7">
        <v>0</v>
      </c>
      <c r="Q97" s="7">
        <v>9</v>
      </c>
      <c r="R97" s="7">
        <v>3</v>
      </c>
      <c r="S97" s="3">
        <v>2</v>
      </c>
      <c r="T97" s="37">
        <f t="shared" si="6"/>
        <v>14</v>
      </c>
      <c r="U97" s="28">
        <f t="shared" si="10"/>
        <v>152.38095238095238</v>
      </c>
      <c r="V97" s="59">
        <f t="shared" si="11"/>
        <v>0</v>
      </c>
    </row>
    <row r="98" spans="1:22" ht="21.75" customHeight="1">
      <c r="A98" s="87"/>
      <c r="B98" s="7" t="s">
        <v>13</v>
      </c>
      <c r="C98" s="3">
        <v>10</v>
      </c>
      <c r="D98" s="3">
        <v>5</v>
      </c>
      <c r="E98" s="4">
        <f t="shared" si="7"/>
        <v>3.75</v>
      </c>
      <c r="F98" s="3">
        <v>3</v>
      </c>
      <c r="G98" s="3">
        <v>0</v>
      </c>
      <c r="H98" s="3">
        <v>1</v>
      </c>
      <c r="I98" s="3">
        <v>0</v>
      </c>
      <c r="J98" s="3">
        <v>0</v>
      </c>
      <c r="K98" s="3">
        <v>0</v>
      </c>
      <c r="L98" s="3"/>
      <c r="M98" s="5">
        <f t="shared" si="8"/>
        <v>0.25</v>
      </c>
      <c r="N98" s="28">
        <f t="shared" si="9"/>
        <v>93.75</v>
      </c>
      <c r="O98" s="7">
        <v>0</v>
      </c>
      <c r="P98" s="7">
        <v>4</v>
      </c>
      <c r="Q98" s="7">
        <v>6</v>
      </c>
      <c r="R98" s="7">
        <v>4</v>
      </c>
      <c r="S98" s="3">
        <v>2</v>
      </c>
      <c r="T98" s="37">
        <f t="shared" si="6"/>
        <v>16</v>
      </c>
      <c r="U98" s="28">
        <f t="shared" si="10"/>
        <v>120.23809523809523</v>
      </c>
      <c r="V98" s="59">
        <f t="shared" si="11"/>
        <v>-1</v>
      </c>
    </row>
    <row r="99" spans="1:22" ht="21.75" customHeight="1">
      <c r="A99" s="87"/>
      <c r="B99" s="7" t="s">
        <v>14</v>
      </c>
      <c r="C99" s="3">
        <v>6</v>
      </c>
      <c r="D99" s="3">
        <v>5</v>
      </c>
      <c r="E99" s="4">
        <f t="shared" si="7"/>
        <v>3.1071428571428572</v>
      </c>
      <c r="F99" s="3">
        <v>3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  <c r="M99" s="5">
        <f t="shared" si="8"/>
        <v>-0.10714285714285721</v>
      </c>
      <c r="N99" s="28">
        <f t="shared" si="9"/>
        <v>103.57142857142858</v>
      </c>
      <c r="O99" s="7">
        <v>0</v>
      </c>
      <c r="P99" s="7">
        <v>0</v>
      </c>
      <c r="Q99" s="7">
        <v>7</v>
      </c>
      <c r="R99" s="7">
        <v>3</v>
      </c>
      <c r="S99" s="3">
        <v>1</v>
      </c>
      <c r="T99" s="37">
        <f t="shared" si="6"/>
        <v>11</v>
      </c>
      <c r="U99" s="28">
        <f t="shared" si="10"/>
        <v>115.87301587301586</v>
      </c>
      <c r="V99" s="59">
        <f t="shared" si="11"/>
        <v>0</v>
      </c>
    </row>
    <row r="100" spans="1:22" ht="21.75" customHeight="1">
      <c r="A100" s="87">
        <v>31</v>
      </c>
      <c r="B100" s="7" t="s">
        <v>12</v>
      </c>
      <c r="C100" s="3">
        <v>6</v>
      </c>
      <c r="D100" s="3">
        <v>5</v>
      </c>
      <c r="E100" s="4">
        <f t="shared" si="7"/>
        <v>3.1071428571428572</v>
      </c>
      <c r="F100" s="3">
        <v>3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/>
      <c r="M100" s="5">
        <f t="shared" si="8"/>
        <v>-0.10714285714285721</v>
      </c>
      <c r="N100" s="28">
        <f t="shared" si="9"/>
        <v>103.57142857142858</v>
      </c>
      <c r="O100" s="7">
        <v>0</v>
      </c>
      <c r="P100" s="7">
        <v>0</v>
      </c>
      <c r="Q100" s="7">
        <v>9</v>
      </c>
      <c r="R100" s="7">
        <v>1</v>
      </c>
      <c r="S100" s="3">
        <v>1</v>
      </c>
      <c r="T100" s="37">
        <f t="shared" si="6"/>
        <v>11</v>
      </c>
      <c r="U100" s="28">
        <f t="shared" si="10"/>
        <v>109.52380952380953</v>
      </c>
      <c r="V100" s="59">
        <f t="shared" si="11"/>
        <v>0</v>
      </c>
    </row>
    <row r="101" spans="1:22" ht="21.75" customHeight="1">
      <c r="A101" s="87"/>
      <c r="B101" s="7" t="s">
        <v>13</v>
      </c>
      <c r="C101" s="3">
        <v>6</v>
      </c>
      <c r="D101" s="3">
        <v>5</v>
      </c>
      <c r="E101" s="4">
        <f t="shared" si="7"/>
        <v>3.1071428571428572</v>
      </c>
      <c r="F101" s="3">
        <v>3</v>
      </c>
      <c r="G101" s="3">
        <v>0</v>
      </c>
      <c r="H101" s="3">
        <v>1</v>
      </c>
      <c r="I101" s="3">
        <v>0</v>
      </c>
      <c r="J101" s="3">
        <v>0</v>
      </c>
      <c r="K101" s="3">
        <v>0</v>
      </c>
      <c r="L101" s="3"/>
      <c r="M101" s="5">
        <f t="shared" si="8"/>
        <v>0.89285714285714279</v>
      </c>
      <c r="N101" s="28">
        <f t="shared" si="9"/>
        <v>77.678571428571431</v>
      </c>
      <c r="O101" s="7">
        <v>0</v>
      </c>
      <c r="P101" s="7">
        <v>2</v>
      </c>
      <c r="Q101" s="7">
        <v>6</v>
      </c>
      <c r="R101" s="7">
        <v>2</v>
      </c>
      <c r="S101" s="3">
        <v>1</v>
      </c>
      <c r="T101" s="37">
        <f t="shared" si="6"/>
        <v>11</v>
      </c>
      <c r="U101" s="28">
        <f t="shared" si="10"/>
        <v>79.761904761904759</v>
      </c>
      <c r="V101" s="59">
        <f t="shared" si="11"/>
        <v>0</v>
      </c>
    </row>
    <row r="102" spans="1:22" ht="21.75" customHeight="1">
      <c r="A102" s="87"/>
      <c r="B102" s="7" t="s">
        <v>14</v>
      </c>
      <c r="C102" s="3">
        <v>5</v>
      </c>
      <c r="D102" s="3">
        <v>5</v>
      </c>
      <c r="E102" s="4">
        <f t="shared" si="7"/>
        <v>2.9464285714285716</v>
      </c>
      <c r="F102" s="3">
        <v>3</v>
      </c>
      <c r="G102" s="3">
        <v>0</v>
      </c>
      <c r="H102" s="3">
        <v>1</v>
      </c>
      <c r="I102" s="3">
        <v>0</v>
      </c>
      <c r="J102" s="3">
        <v>0</v>
      </c>
      <c r="K102" s="3">
        <v>0</v>
      </c>
      <c r="L102" s="3"/>
      <c r="M102" s="5">
        <f t="shared" si="8"/>
        <v>1.0535714285714284</v>
      </c>
      <c r="N102" s="28">
        <f t="shared" si="9"/>
        <v>73.660714285714292</v>
      </c>
      <c r="O102" s="7">
        <v>0</v>
      </c>
      <c r="P102" s="7">
        <v>0</v>
      </c>
      <c r="Q102" s="7">
        <v>7</v>
      </c>
      <c r="R102" s="7">
        <v>2</v>
      </c>
      <c r="S102" s="3">
        <v>1</v>
      </c>
      <c r="T102" s="37">
        <f t="shared" si="6"/>
        <v>10</v>
      </c>
      <c r="U102" s="28">
        <f t="shared" si="10"/>
        <v>77.976190476190482</v>
      </c>
      <c r="V102" s="59">
        <f t="shared" si="11"/>
        <v>0</v>
      </c>
    </row>
    <row r="103" spans="1:22" ht="21.75" customHeight="1">
      <c r="A103" s="87" t="s">
        <v>41</v>
      </c>
      <c r="B103" s="1" t="s">
        <v>12</v>
      </c>
      <c r="C103" s="37">
        <f>C10+C13+C16+C19+C22+C25+C28+C31+C34+C37+C40+C43+C46+C49+C52+C55+C58+C61+C64+C67+C70+C73+C76+C79+C82+C85+C88+C91+C94+C97+C100</f>
        <v>187</v>
      </c>
      <c r="D103" s="37">
        <f>D10+D13+D16+D19+D22+D25+D28+D31+D34+D37+D40+D43+D46+D49+D52+D55+D58+D61+D64+D67+D70+D73+D76+D79+D82+D85+D88+D91+D94+D97+D100</f>
        <v>177</v>
      </c>
      <c r="E103" s="4">
        <f>((($B$3*C103)+(12*D103))*$M$4)/7</f>
        <v>148.27500000000001</v>
      </c>
      <c r="F103" s="1">
        <f t="shared" ref="F103:L105" si="12">F10+F13+F16+F19+F22+F25+F28+F31+F34+F37+F40+F43+F46+F49+F52+F55+F58+F61+F64+F67+F70+F73+F76+F79+F82+F85+F88+F91+F94+F97+F100</f>
        <v>89</v>
      </c>
      <c r="G103" s="1">
        <f t="shared" si="12"/>
        <v>0</v>
      </c>
      <c r="H103" s="1">
        <f t="shared" si="12"/>
        <v>0</v>
      </c>
      <c r="I103" s="1">
        <f t="shared" si="12"/>
        <v>4</v>
      </c>
      <c r="J103" s="1">
        <f t="shared" si="12"/>
        <v>0</v>
      </c>
      <c r="K103" s="1">
        <f t="shared" si="12"/>
        <v>0</v>
      </c>
      <c r="L103" s="1">
        <f t="shared" si="12"/>
        <v>0</v>
      </c>
      <c r="M103" s="5">
        <f t="shared" si="8"/>
        <v>-59.275000000000006</v>
      </c>
      <c r="N103" s="28">
        <f t="shared" si="9"/>
        <v>113.88248847926268</v>
      </c>
      <c r="O103" s="1">
        <f t="shared" ref="O103:S105" si="13">O10+O13+O16+O19+O22+O25+O28+O31+O34+O37+O40+O43+O46+O49+O52+O55+O58+O61+O64+O67+O70+O73+O76+O79+O82+O85+O88+O91+O94+O97+O100</f>
        <v>0</v>
      </c>
      <c r="P103" s="1">
        <f t="shared" si="13"/>
        <v>0</v>
      </c>
      <c r="Q103" s="1">
        <f t="shared" si="13"/>
        <v>197</v>
      </c>
      <c r="R103" s="1">
        <f t="shared" si="13"/>
        <v>48</v>
      </c>
      <c r="S103" s="1">
        <f t="shared" si="13"/>
        <v>119</v>
      </c>
      <c r="T103" s="37">
        <f t="shared" si="6"/>
        <v>364</v>
      </c>
      <c r="U103" s="28">
        <f t="shared" si="10"/>
        <v>147.03020993343574</v>
      </c>
      <c r="V103" s="59">
        <f t="shared" si="11"/>
        <v>0</v>
      </c>
    </row>
    <row r="104" spans="1:22" ht="21.75" customHeight="1">
      <c r="A104" s="87"/>
      <c r="B104" s="1" t="s">
        <v>13</v>
      </c>
      <c r="C104" s="37">
        <f t="shared" ref="C104:D105" si="14">C11+C14+C17+C20+C23+C26+C29+C32+C35+C38+C41+C44+C47+C50+C53+C56+C59+C62+C65+C68+C71+C74+C77+C80+C83+C86+C89+C92+C95+C98+C101</f>
        <v>194</v>
      </c>
      <c r="D104" s="37">
        <f t="shared" si="14"/>
        <v>179</v>
      </c>
      <c r="E104" s="4">
        <f t="shared" ref="E104:E105" si="15">((($B$3*C104)+(12*D104))*$M$4)/7</f>
        <v>151.04999999999998</v>
      </c>
      <c r="F104" s="1">
        <f t="shared" si="12"/>
        <v>81</v>
      </c>
      <c r="G104" s="1">
        <f t="shared" si="12"/>
        <v>0</v>
      </c>
      <c r="H104" s="1">
        <f t="shared" ref="H104" si="16">H11+H14+H17+H20+H23+H26+H29+H32+H35+H38+H41+H44+H47+H50+H53+H56+H59+H62+H65+H68+H71+H74+H77+H80+H83+H86+H89+H92+H95+H98+H101</f>
        <v>15</v>
      </c>
      <c r="I104" s="1">
        <f t="shared" si="12"/>
        <v>17</v>
      </c>
      <c r="J104" s="1">
        <f t="shared" si="12"/>
        <v>0</v>
      </c>
      <c r="K104" s="1">
        <f t="shared" ref="K104" si="17">K11+K14+K17+K20+K23+K26+K29+K32+K35+K38+K41+K44+K47+K50+K53+K56+K59+K62+K65+K68+K71+K74+K77+K80+K83+K86+K89+K92+K95+K98+K101</f>
        <v>10</v>
      </c>
      <c r="L104" s="1">
        <f t="shared" si="12"/>
        <v>0</v>
      </c>
      <c r="M104" s="5">
        <f t="shared" si="8"/>
        <v>-55.049999999999983</v>
      </c>
      <c r="N104" s="28">
        <f t="shared" si="9"/>
        <v>87.717770034843198</v>
      </c>
      <c r="O104" s="1">
        <f t="shared" si="13"/>
        <v>0</v>
      </c>
      <c r="P104" s="1">
        <f t="shared" si="13"/>
        <v>39</v>
      </c>
      <c r="Q104" s="1">
        <f t="shared" si="13"/>
        <v>172</v>
      </c>
      <c r="R104" s="1">
        <f t="shared" si="13"/>
        <v>44</v>
      </c>
      <c r="S104" s="1">
        <f>S11+S14+S17+S20+S23+S26+S29+S32+S35+S38+S41+S44+S47+S50+S53+S56+S59+S62+S65+S68+S71+S74+S77+S80+S83+S86+S89+S92+S95+S98+S101</f>
        <v>123</v>
      </c>
      <c r="T104" s="37">
        <f t="shared" si="6"/>
        <v>378</v>
      </c>
      <c r="U104" s="28">
        <f t="shared" si="10"/>
        <v>111.82733255903987</v>
      </c>
      <c r="V104" s="59">
        <f t="shared" si="11"/>
        <v>-5</v>
      </c>
    </row>
    <row r="105" spans="1:22" ht="21.75" customHeight="1">
      <c r="A105" s="87"/>
      <c r="B105" s="1" t="s">
        <v>14</v>
      </c>
      <c r="C105" s="37">
        <f t="shared" si="14"/>
        <v>180</v>
      </c>
      <c r="D105" s="37">
        <f t="shared" si="14"/>
        <v>172</v>
      </c>
      <c r="E105" s="4">
        <f t="shared" si="15"/>
        <v>143.69999999999999</v>
      </c>
      <c r="F105" s="1">
        <f t="shared" si="12"/>
        <v>82</v>
      </c>
      <c r="G105" s="1">
        <f t="shared" si="12"/>
        <v>0</v>
      </c>
      <c r="H105" s="1">
        <f t="shared" ref="H105" si="18">H12+H15+H18+H21+H24+H27+H30+H33+H36+H39+H42+H45+H48+H51+H54+H57+H60+H63+H66+H69+H72+H75+H78+H81+H84+H87+H90+H93+H96+H99+H102</f>
        <v>13</v>
      </c>
      <c r="I105" s="1">
        <f t="shared" si="12"/>
        <v>7</v>
      </c>
      <c r="J105" s="1">
        <f t="shared" si="12"/>
        <v>0</v>
      </c>
      <c r="K105" s="1">
        <f t="shared" ref="K105" si="19">K12+K15+K18+K21+K24+K27+K30+K33+K36+K39+K42+K45+K48+K51+K54+K57+K60+K63+K66+K69+K72+K75+K78+K81+K84+K87+K90+K93+K96+K99+K102</f>
        <v>2</v>
      </c>
      <c r="L105" s="1">
        <f t="shared" si="12"/>
        <v>0</v>
      </c>
      <c r="M105" s="5">
        <f t="shared" si="8"/>
        <v>-48.699999999999989</v>
      </c>
      <c r="N105" s="28">
        <f t="shared" si="9"/>
        <v>98.695054945054949</v>
      </c>
      <c r="O105" s="1">
        <f t="shared" si="13"/>
        <v>0</v>
      </c>
      <c r="P105" s="1">
        <f t="shared" si="13"/>
        <v>0</v>
      </c>
      <c r="Q105" s="1">
        <f t="shared" si="13"/>
        <v>190</v>
      </c>
      <c r="R105" s="1">
        <f t="shared" si="13"/>
        <v>49</v>
      </c>
      <c r="S105" s="1">
        <f>S12+S15+S18+S21+S24+S27+S30+S33+S36+S39+S42+S45+S48+S51+S54+S57+S60+S63+S66+S69+S72+S75+S78+S81+S84+S87+S90+S93+S96+S99+S102</f>
        <v>112</v>
      </c>
      <c r="T105" s="37">
        <f t="shared" si="6"/>
        <v>351</v>
      </c>
      <c r="U105" s="28">
        <f t="shared" si="10"/>
        <v>126.21336996336996</v>
      </c>
      <c r="V105" s="59">
        <f t="shared" si="11"/>
        <v>1</v>
      </c>
    </row>
    <row r="106" spans="1:22" ht="21.75" customHeight="1">
      <c r="A106" s="7" t="s">
        <v>42</v>
      </c>
      <c r="B106" s="7"/>
      <c r="C106" s="60">
        <f>SUM(C103:C105)/3</f>
        <v>187</v>
      </c>
      <c r="D106" s="60">
        <f>SUM(D103:D105)/3</f>
        <v>176</v>
      </c>
      <c r="E106" s="25"/>
      <c r="F106" s="42">
        <f>SUM(F103:F105)</f>
        <v>252</v>
      </c>
      <c r="G106" s="42">
        <f t="shared" ref="G106:L106" si="20">SUM(G103:G105)</f>
        <v>0</v>
      </c>
      <c r="H106" s="42">
        <f t="shared" si="20"/>
        <v>28</v>
      </c>
      <c r="I106" s="42">
        <f t="shared" si="20"/>
        <v>28</v>
      </c>
      <c r="J106" s="42">
        <f t="shared" si="20"/>
        <v>0</v>
      </c>
      <c r="K106" s="42">
        <f t="shared" si="20"/>
        <v>12</v>
      </c>
      <c r="L106" s="42">
        <f t="shared" si="20"/>
        <v>0</v>
      </c>
      <c r="M106" s="5">
        <f t="shared" si="8"/>
        <v>280</v>
      </c>
      <c r="N106" s="25"/>
      <c r="O106" s="25">
        <f>SUM(O103:O105)/3</f>
        <v>0</v>
      </c>
      <c r="P106" s="25">
        <f>SUM(P103:P105)/3</f>
        <v>13</v>
      </c>
      <c r="Q106" s="25">
        <f t="shared" ref="Q106:R106" si="21">SUM(Q103:Q105)/3</f>
        <v>186.33333333333334</v>
      </c>
      <c r="R106" s="25">
        <f t="shared" si="21"/>
        <v>47</v>
      </c>
      <c r="S106" s="25">
        <f>SUM(S103:S105)/3</f>
        <v>118</v>
      </c>
      <c r="T106" s="37">
        <f t="shared" si="6"/>
        <v>364.33333333333337</v>
      </c>
      <c r="U106" s="28">
        <f t="shared" si="10"/>
        <v>42.244543650793652</v>
      </c>
      <c r="V106" s="59">
        <f t="shared" si="11"/>
        <v>-1.3333333333333712</v>
      </c>
    </row>
  </sheetData>
  <mergeCells count="77">
    <mergeCell ref="O7:S7"/>
    <mergeCell ref="T7:T9"/>
    <mergeCell ref="O8:O9"/>
    <mergeCell ref="Q4:R4"/>
    <mergeCell ref="F5:L5"/>
    <mergeCell ref="O5:P5"/>
    <mergeCell ref="Q5:R5"/>
    <mergeCell ref="O6:Q6"/>
    <mergeCell ref="R6:S6"/>
    <mergeCell ref="P8:P9"/>
    <mergeCell ref="I4:L4"/>
    <mergeCell ref="E4:H4"/>
    <mergeCell ref="I6:K6"/>
    <mergeCell ref="A1:N1"/>
    <mergeCell ref="A2:N2"/>
    <mergeCell ref="M3:N3"/>
    <mergeCell ref="O3:P3"/>
    <mergeCell ref="Q3:R3"/>
    <mergeCell ref="I3:L3"/>
    <mergeCell ref="E3:H3"/>
    <mergeCell ref="C5:D5"/>
    <mergeCell ref="C6:D6"/>
    <mergeCell ref="N7:N9"/>
    <mergeCell ref="E7:E9"/>
    <mergeCell ref="F6:H6"/>
    <mergeCell ref="F7:K7"/>
    <mergeCell ref="I8:K8"/>
    <mergeCell ref="F8:H8"/>
    <mergeCell ref="A97:A99"/>
    <mergeCell ref="A100:A102"/>
    <mergeCell ref="A103:A105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91:A93"/>
    <mergeCell ref="A94:A96"/>
    <mergeCell ref="A49:A51"/>
    <mergeCell ref="A52:A54"/>
    <mergeCell ref="A55:A57"/>
    <mergeCell ref="A58:A60"/>
    <mergeCell ref="A61:A63"/>
    <mergeCell ref="A37:A39"/>
    <mergeCell ref="A40:A42"/>
    <mergeCell ref="A43:A45"/>
    <mergeCell ref="A46:A48"/>
    <mergeCell ref="A7:A9"/>
    <mergeCell ref="A10:A12"/>
    <mergeCell ref="A28:A30"/>
    <mergeCell ref="A31:A33"/>
    <mergeCell ref="A34:A36"/>
    <mergeCell ref="A13:A15"/>
    <mergeCell ref="A16:A18"/>
    <mergeCell ref="A19:A21"/>
    <mergeCell ref="A22:A24"/>
    <mergeCell ref="A25:A27"/>
    <mergeCell ref="U7:U9"/>
    <mergeCell ref="L7:L9"/>
    <mergeCell ref="M7:M9"/>
    <mergeCell ref="A3:A4"/>
    <mergeCell ref="B3:B4"/>
    <mergeCell ref="C3:C4"/>
    <mergeCell ref="Q8:Q9"/>
    <mergeCell ref="R8:R9"/>
    <mergeCell ref="S8:S9"/>
    <mergeCell ref="M4:N4"/>
    <mergeCell ref="O4:P4"/>
    <mergeCell ref="B7:B9"/>
    <mergeCell ref="C7:C9"/>
    <mergeCell ref="D7:D9"/>
    <mergeCell ref="A5:B5"/>
    <mergeCell ref="A6:B6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06"/>
  <sheetViews>
    <sheetView zoomScale="85" zoomScaleNormal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G14" sqref="G14"/>
    </sheetView>
  </sheetViews>
  <sheetFormatPr defaultColWidth="9" defaultRowHeight="21.75" customHeight="1"/>
  <cols>
    <col min="1" max="1" width="10.33203125" style="2" customWidth="1"/>
    <col min="2" max="2" width="4.109375" style="2" customWidth="1"/>
    <col min="3" max="3" width="7.88671875" style="2" customWidth="1"/>
    <col min="4" max="4" width="9.33203125" style="2" customWidth="1"/>
    <col min="5" max="5" width="7" style="2" customWidth="1"/>
    <col min="6" max="6" width="7.77734375" style="2" customWidth="1"/>
    <col min="7" max="8" width="6" style="2" customWidth="1"/>
    <col min="9" max="9" width="5.33203125" style="2" bestFit="1" customWidth="1"/>
    <col min="10" max="11" width="6.33203125" style="2" customWidth="1"/>
    <col min="12" max="12" width="6" style="2" customWidth="1"/>
    <col min="13" max="13" width="6.88671875" style="2" bestFit="1" customWidth="1"/>
    <col min="14" max="14" width="7.88671875" style="2" bestFit="1" customWidth="1"/>
    <col min="15" max="15" width="5.33203125" style="2" bestFit="1" customWidth="1"/>
    <col min="16" max="17" width="6.33203125" style="2" bestFit="1" customWidth="1"/>
    <col min="18" max="18" width="5" style="2" customWidth="1"/>
    <col min="19" max="19" width="7.6640625" style="2" customWidth="1"/>
    <col min="20" max="20" width="7.109375" style="2" customWidth="1"/>
    <col min="21" max="21" width="6.77734375" style="2" customWidth="1"/>
    <col min="22" max="22" width="4.109375" style="2" bestFit="1" customWidth="1"/>
    <col min="23" max="16384" width="9" style="2"/>
  </cols>
  <sheetData>
    <row r="1" spans="1:22" ht="21.75" customHeight="1">
      <c r="A1" s="90" t="s">
        <v>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</row>
    <row r="2" spans="1:22" ht="21.75" customHeight="1">
      <c r="A2" s="90" t="s">
        <v>65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</row>
    <row r="3" spans="1:22" ht="21.75" customHeight="1">
      <c r="A3" s="91" t="s">
        <v>10</v>
      </c>
      <c r="B3" s="92">
        <v>4.5</v>
      </c>
      <c r="C3" s="93" t="s">
        <v>11</v>
      </c>
      <c r="D3" s="38"/>
      <c r="E3" s="116" t="s">
        <v>12</v>
      </c>
      <c r="F3" s="95"/>
      <c r="G3" s="95"/>
      <c r="H3" s="96"/>
      <c r="I3" s="93" t="s">
        <v>13</v>
      </c>
      <c r="J3" s="93"/>
      <c r="K3" s="93"/>
      <c r="L3" s="93"/>
      <c r="M3" s="95" t="s">
        <v>14</v>
      </c>
      <c r="N3" s="96"/>
      <c r="O3" s="113" t="s">
        <v>15</v>
      </c>
      <c r="P3" s="113"/>
      <c r="Q3" s="115">
        <f>((F103+F105)*240)+((G103+G105)*180)</f>
        <v>1920</v>
      </c>
      <c r="R3" s="115"/>
      <c r="S3" s="7" t="s">
        <v>16</v>
      </c>
    </row>
    <row r="4" spans="1:22" ht="21.75" customHeight="1">
      <c r="A4" s="91"/>
      <c r="B4" s="92"/>
      <c r="C4" s="93"/>
      <c r="D4" s="38"/>
      <c r="E4" s="114">
        <v>0.25</v>
      </c>
      <c r="F4" s="97"/>
      <c r="G4" s="97"/>
      <c r="H4" s="98"/>
      <c r="I4" s="94">
        <v>0.4</v>
      </c>
      <c r="J4" s="94"/>
      <c r="K4" s="94"/>
      <c r="L4" s="94"/>
      <c r="M4" s="97">
        <v>0.35</v>
      </c>
      <c r="N4" s="98"/>
      <c r="O4" s="113" t="s">
        <v>17</v>
      </c>
      <c r="P4" s="113"/>
      <c r="Q4" s="115">
        <f>((I103+L103+I104+L104+I105+L105)*660)+((J103+J105+J104)*530)</f>
        <v>660</v>
      </c>
      <c r="R4" s="115"/>
      <c r="S4" s="7" t="s">
        <v>16</v>
      </c>
    </row>
    <row r="5" spans="1:22" ht="21.75" customHeight="1">
      <c r="A5" s="99" t="s">
        <v>18</v>
      </c>
      <c r="B5" s="99"/>
      <c r="C5" s="103"/>
      <c r="D5" s="104"/>
      <c r="E5" s="35" t="s">
        <v>19</v>
      </c>
      <c r="F5" s="114" t="s">
        <v>20</v>
      </c>
      <c r="G5" s="97"/>
      <c r="H5" s="97"/>
      <c r="I5" s="97"/>
      <c r="J5" s="97"/>
      <c r="K5" s="97"/>
      <c r="L5" s="97"/>
      <c r="M5" s="6"/>
      <c r="N5" s="34" t="s">
        <v>21</v>
      </c>
      <c r="O5" s="113"/>
      <c r="P5" s="113"/>
      <c r="Q5" s="115"/>
      <c r="R5" s="115"/>
      <c r="S5" s="7"/>
    </row>
    <row r="6" spans="1:22" ht="21.75" customHeight="1">
      <c r="A6" s="99" t="s">
        <v>23</v>
      </c>
      <c r="B6" s="99"/>
      <c r="C6" s="105" t="e">
        <f>((C106*12)/(M5*7)+((D106*12)/(M5*7)))</f>
        <v>#DIV/0!</v>
      </c>
      <c r="D6" s="106"/>
      <c r="E6" s="35" t="s">
        <v>19</v>
      </c>
      <c r="F6" s="80" t="s">
        <v>24</v>
      </c>
      <c r="G6" s="81"/>
      <c r="H6" s="82"/>
      <c r="I6" s="77" t="e">
        <f>C5-C6</f>
        <v>#DIV/0!</v>
      </c>
      <c r="J6" s="78"/>
      <c r="K6" s="79"/>
      <c r="L6" s="39" t="s">
        <v>19</v>
      </c>
      <c r="M6" s="36" t="s">
        <v>25</v>
      </c>
      <c r="N6" s="27">
        <f>((((C106*4.5)+(D106*12))/((F106+G106+H106+I106+J106+K106+L106)*7)))*100</f>
        <v>118.0672268907563</v>
      </c>
      <c r="O6" s="71" t="s">
        <v>26</v>
      </c>
      <c r="P6" s="71"/>
      <c r="Q6" s="71"/>
      <c r="R6" s="72">
        <f>U106</f>
        <v>33.986928104575163</v>
      </c>
      <c r="S6" s="73"/>
    </row>
    <row r="7" spans="1:22" ht="21.75" customHeight="1">
      <c r="A7" s="65" t="s">
        <v>27</v>
      </c>
      <c r="B7" s="65" t="s">
        <v>28</v>
      </c>
      <c r="C7" s="100" t="s">
        <v>77</v>
      </c>
      <c r="D7" s="100" t="s">
        <v>78</v>
      </c>
      <c r="E7" s="65" t="s">
        <v>30</v>
      </c>
      <c r="F7" s="74" t="s">
        <v>31</v>
      </c>
      <c r="G7" s="75"/>
      <c r="H7" s="75"/>
      <c r="I7" s="75"/>
      <c r="J7" s="76"/>
      <c r="K7" s="56"/>
      <c r="L7" s="65" t="s">
        <v>32</v>
      </c>
      <c r="M7" s="65" t="s">
        <v>33</v>
      </c>
      <c r="N7" s="68" t="s">
        <v>25</v>
      </c>
      <c r="O7" s="87" t="s">
        <v>34</v>
      </c>
      <c r="P7" s="87"/>
      <c r="Q7" s="87"/>
      <c r="R7" s="87"/>
      <c r="S7" s="87"/>
      <c r="T7" s="83" t="s">
        <v>35</v>
      </c>
      <c r="U7" s="85" t="s">
        <v>26</v>
      </c>
    </row>
    <row r="8" spans="1:22" ht="21.75" customHeight="1">
      <c r="A8" s="66"/>
      <c r="B8" s="66"/>
      <c r="C8" s="101"/>
      <c r="D8" s="101"/>
      <c r="E8" s="66"/>
      <c r="F8" s="120" t="s">
        <v>37</v>
      </c>
      <c r="G8" s="121"/>
      <c r="H8" s="122"/>
      <c r="I8" s="110" t="s">
        <v>38</v>
      </c>
      <c r="J8" s="111"/>
      <c r="K8" s="112"/>
      <c r="L8" s="66"/>
      <c r="M8" s="66"/>
      <c r="N8" s="69"/>
      <c r="O8" s="88">
        <v>1</v>
      </c>
      <c r="P8" s="88">
        <v>2</v>
      </c>
      <c r="Q8" s="88">
        <v>3</v>
      </c>
      <c r="R8" s="88">
        <v>4</v>
      </c>
      <c r="S8" s="88">
        <v>5</v>
      </c>
      <c r="T8" s="83"/>
      <c r="U8" s="85"/>
    </row>
    <row r="9" spans="1:22" ht="21.75" customHeight="1">
      <c r="A9" s="67"/>
      <c r="B9" s="67"/>
      <c r="C9" s="102"/>
      <c r="D9" s="102"/>
      <c r="E9" s="67"/>
      <c r="F9" s="24" t="s">
        <v>39</v>
      </c>
      <c r="G9" s="24" t="s">
        <v>40</v>
      </c>
      <c r="H9" s="24" t="s">
        <v>76</v>
      </c>
      <c r="I9" s="57" t="s">
        <v>39</v>
      </c>
      <c r="J9" s="57" t="s">
        <v>40</v>
      </c>
      <c r="K9" s="57" t="s">
        <v>76</v>
      </c>
      <c r="L9" s="67"/>
      <c r="M9" s="67"/>
      <c r="N9" s="70"/>
      <c r="O9" s="89"/>
      <c r="P9" s="89"/>
      <c r="Q9" s="89"/>
      <c r="R9" s="89"/>
      <c r="S9" s="89"/>
      <c r="T9" s="84"/>
      <c r="U9" s="86"/>
    </row>
    <row r="10" spans="1:22" ht="21.75" customHeight="1">
      <c r="A10" s="87">
        <v>1</v>
      </c>
      <c r="B10" s="7" t="s">
        <v>12</v>
      </c>
      <c r="C10" s="3">
        <v>6</v>
      </c>
      <c r="D10" s="3">
        <v>5</v>
      </c>
      <c r="E10" s="4">
        <f>((($B$3*C10)+(12*D10))*$E$4)/7</f>
        <v>3.1071428571428572</v>
      </c>
      <c r="F10" s="3">
        <v>3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/>
      <c r="M10" s="5">
        <f>(F10+G10+H10+L10)-E10</f>
        <v>-0.10714285714285721</v>
      </c>
      <c r="N10" s="28">
        <f>(((C10*4.5)+(12*D10))*$E$4)/((F10+G10+H10+I10+J10+K10+L10)*7)*100</f>
        <v>103.57142857142858</v>
      </c>
      <c r="O10" s="7">
        <v>0</v>
      </c>
      <c r="P10" s="7">
        <v>0</v>
      </c>
      <c r="Q10" s="7">
        <v>8</v>
      </c>
      <c r="R10" s="7">
        <v>2</v>
      </c>
      <c r="S10" s="3">
        <v>1</v>
      </c>
      <c r="T10" s="37">
        <f t="shared" ref="T10:T73" si="0">SUM(O10:S10)</f>
        <v>11</v>
      </c>
      <c r="U10" s="28">
        <f>((((O10*1.5+(P10*3.5)+(Q10*5.5)+(R10*7.5)+(S10*12)))/3)/((F10+G10+H10+I10+J10+K10+L10)*7))*100</f>
        <v>112.6984126984127</v>
      </c>
      <c r="V10" s="59">
        <f>C10+D10-T10</f>
        <v>0</v>
      </c>
    </row>
    <row r="11" spans="1:22" ht="21.75" customHeight="1">
      <c r="A11" s="87"/>
      <c r="B11" s="7" t="s">
        <v>13</v>
      </c>
      <c r="C11" s="3">
        <v>6</v>
      </c>
      <c r="D11" s="3">
        <v>5</v>
      </c>
      <c r="E11" s="4">
        <f t="shared" ref="E11:E74" si="1">((($B$3*C11)+(12*D11))*$E$4)/7</f>
        <v>3.1071428571428572</v>
      </c>
      <c r="F11" s="3">
        <v>3</v>
      </c>
      <c r="G11" s="3"/>
      <c r="H11" s="3"/>
      <c r="I11" s="3"/>
      <c r="J11" s="3"/>
      <c r="K11" s="3">
        <v>1</v>
      </c>
      <c r="L11" s="3"/>
      <c r="M11" s="5">
        <f t="shared" ref="M11:M74" si="2">(F11+G11+H11+L11)-E11</f>
        <v>-0.10714285714285721</v>
      </c>
      <c r="N11" s="28">
        <f t="shared" ref="N11:N74" si="3">(((C11*4.5)+(12*D11))*$E$4)/((F11+G11+H11+I11+J11+K11+L11)*7)*100</f>
        <v>77.678571428571431</v>
      </c>
      <c r="O11" s="7">
        <v>0</v>
      </c>
      <c r="P11" s="7">
        <v>1</v>
      </c>
      <c r="Q11" s="7">
        <v>7</v>
      </c>
      <c r="R11" s="7">
        <v>2</v>
      </c>
      <c r="S11" s="3">
        <v>1</v>
      </c>
      <c r="T11" s="37">
        <f t="shared" si="0"/>
        <v>11</v>
      </c>
      <c r="U11" s="28">
        <f t="shared" ref="U11:U74" si="4">((((O11*1.5+(P11*3.5)+(Q11*5.5)+(R11*7.5)+(S11*12)))/3)/((F11+G11+H11+I11+J11+K11+L11)*7))*100</f>
        <v>82.142857142857139</v>
      </c>
      <c r="V11" s="59">
        <f t="shared" ref="V11:V74" si="5">C11+D11-T11</f>
        <v>0</v>
      </c>
    </row>
    <row r="12" spans="1:22" ht="21.75" customHeight="1">
      <c r="A12" s="87"/>
      <c r="B12" s="7" t="s">
        <v>14</v>
      </c>
      <c r="C12" s="3">
        <v>7</v>
      </c>
      <c r="D12" s="3">
        <v>4</v>
      </c>
      <c r="E12" s="4">
        <f t="shared" si="1"/>
        <v>2.8392857142857144</v>
      </c>
      <c r="F12" s="3">
        <v>3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/>
      <c r="M12" s="5">
        <f t="shared" si="2"/>
        <v>0.16071428571428559</v>
      </c>
      <c r="N12" s="28">
        <f t="shared" si="3"/>
        <v>94.642857142857139</v>
      </c>
      <c r="O12" s="7">
        <v>0</v>
      </c>
      <c r="P12" s="7">
        <v>0</v>
      </c>
      <c r="Q12" s="7">
        <v>8</v>
      </c>
      <c r="R12" s="7">
        <v>2</v>
      </c>
      <c r="S12" s="3">
        <v>1</v>
      </c>
      <c r="T12" s="37">
        <f t="shared" si="0"/>
        <v>11</v>
      </c>
      <c r="U12" s="28">
        <f t="shared" si="4"/>
        <v>112.6984126984127</v>
      </c>
      <c r="V12" s="59">
        <f t="shared" si="5"/>
        <v>0</v>
      </c>
    </row>
    <row r="13" spans="1:22" ht="21.75" customHeight="1">
      <c r="A13" s="87">
        <v>2</v>
      </c>
      <c r="B13" s="7" t="s">
        <v>12</v>
      </c>
      <c r="C13" s="3">
        <v>8</v>
      </c>
      <c r="D13" s="3">
        <v>4</v>
      </c>
      <c r="E13" s="4">
        <f t="shared" si="1"/>
        <v>3</v>
      </c>
      <c r="F13" s="3">
        <v>2</v>
      </c>
      <c r="G13" s="3">
        <v>0</v>
      </c>
      <c r="H13" s="3">
        <v>0</v>
      </c>
      <c r="I13" s="3">
        <v>1</v>
      </c>
      <c r="J13" s="3">
        <v>0</v>
      </c>
      <c r="K13" s="3">
        <v>0</v>
      </c>
      <c r="L13" s="3"/>
      <c r="M13" s="5">
        <f t="shared" si="2"/>
        <v>-1</v>
      </c>
      <c r="N13" s="28">
        <f t="shared" si="3"/>
        <v>100</v>
      </c>
      <c r="O13" s="7">
        <v>0</v>
      </c>
      <c r="P13" s="7">
        <v>0</v>
      </c>
      <c r="Q13" s="7">
        <v>9</v>
      </c>
      <c r="R13" s="7">
        <v>2</v>
      </c>
      <c r="S13" s="3">
        <v>1</v>
      </c>
      <c r="T13" s="37">
        <f t="shared" si="0"/>
        <v>12</v>
      </c>
      <c r="U13" s="28">
        <f t="shared" si="4"/>
        <v>121.42857142857142</v>
      </c>
      <c r="V13" s="59">
        <f t="shared" si="5"/>
        <v>0</v>
      </c>
    </row>
    <row r="14" spans="1:22" ht="21.75" customHeight="1">
      <c r="A14" s="87"/>
      <c r="B14" s="7" t="s">
        <v>13</v>
      </c>
      <c r="C14" s="3">
        <v>8</v>
      </c>
      <c r="D14" s="3">
        <v>4</v>
      </c>
      <c r="E14" s="4">
        <f t="shared" si="1"/>
        <v>3</v>
      </c>
      <c r="F14" s="3">
        <v>3</v>
      </c>
      <c r="G14" s="3">
        <v>0</v>
      </c>
      <c r="H14" s="3">
        <v>1</v>
      </c>
      <c r="I14" s="3">
        <v>0</v>
      </c>
      <c r="J14" s="3">
        <v>0</v>
      </c>
      <c r="K14" s="3">
        <v>0</v>
      </c>
      <c r="L14" s="3"/>
      <c r="M14" s="5">
        <f t="shared" si="2"/>
        <v>1</v>
      </c>
      <c r="N14" s="28">
        <f t="shared" si="3"/>
        <v>75</v>
      </c>
      <c r="O14" s="7">
        <v>0</v>
      </c>
      <c r="P14" s="7">
        <v>0</v>
      </c>
      <c r="Q14" s="7">
        <v>9</v>
      </c>
      <c r="R14" s="7">
        <v>2</v>
      </c>
      <c r="S14" s="3">
        <v>1</v>
      </c>
      <c r="T14" s="37">
        <f t="shared" si="0"/>
        <v>12</v>
      </c>
      <c r="U14" s="28">
        <f t="shared" si="4"/>
        <v>91.071428571428569</v>
      </c>
      <c r="V14" s="59">
        <f t="shared" si="5"/>
        <v>0</v>
      </c>
    </row>
    <row r="15" spans="1:22" ht="21.75" customHeight="1">
      <c r="A15" s="87"/>
      <c r="B15" s="7" t="s">
        <v>14</v>
      </c>
      <c r="C15" s="3"/>
      <c r="D15" s="3"/>
      <c r="E15" s="4">
        <f t="shared" si="1"/>
        <v>0</v>
      </c>
      <c r="F15" s="3"/>
      <c r="G15" s="3"/>
      <c r="H15" s="3"/>
      <c r="I15" s="3"/>
      <c r="J15" s="3"/>
      <c r="K15" s="3"/>
      <c r="L15" s="3"/>
      <c r="M15" s="5">
        <f t="shared" si="2"/>
        <v>0</v>
      </c>
      <c r="N15" s="28" t="e">
        <f t="shared" si="3"/>
        <v>#DIV/0!</v>
      </c>
      <c r="O15" s="7"/>
      <c r="P15" s="7"/>
      <c r="Q15" s="7"/>
      <c r="R15" s="7"/>
      <c r="S15" s="3"/>
      <c r="T15" s="37">
        <f t="shared" si="0"/>
        <v>0</v>
      </c>
      <c r="U15" s="28" t="e">
        <f t="shared" si="4"/>
        <v>#DIV/0!</v>
      </c>
      <c r="V15" s="59">
        <f t="shared" si="5"/>
        <v>0</v>
      </c>
    </row>
    <row r="16" spans="1:22" ht="21.75" customHeight="1">
      <c r="A16" s="87">
        <v>3</v>
      </c>
      <c r="B16" s="7" t="s">
        <v>12</v>
      </c>
      <c r="C16" s="3"/>
      <c r="D16" s="3"/>
      <c r="E16" s="4">
        <f t="shared" si="1"/>
        <v>0</v>
      </c>
      <c r="F16" s="3"/>
      <c r="G16" s="3"/>
      <c r="H16" s="3"/>
      <c r="I16" s="3"/>
      <c r="J16" s="3"/>
      <c r="K16" s="3"/>
      <c r="L16" s="3"/>
      <c r="M16" s="5">
        <f t="shared" si="2"/>
        <v>0</v>
      </c>
      <c r="N16" s="28" t="e">
        <f t="shared" si="3"/>
        <v>#DIV/0!</v>
      </c>
      <c r="O16" s="7"/>
      <c r="P16" s="7"/>
      <c r="Q16" s="7"/>
      <c r="R16" s="7"/>
      <c r="S16" s="3"/>
      <c r="T16" s="37">
        <f t="shared" si="0"/>
        <v>0</v>
      </c>
      <c r="U16" s="28" t="e">
        <f t="shared" si="4"/>
        <v>#DIV/0!</v>
      </c>
      <c r="V16" s="59">
        <f t="shared" si="5"/>
        <v>0</v>
      </c>
    </row>
    <row r="17" spans="1:22" ht="21.75" customHeight="1">
      <c r="A17" s="87"/>
      <c r="B17" s="7" t="s">
        <v>13</v>
      </c>
      <c r="C17" s="3"/>
      <c r="D17" s="3"/>
      <c r="E17" s="4">
        <f t="shared" si="1"/>
        <v>0</v>
      </c>
      <c r="F17" s="3"/>
      <c r="G17" s="3"/>
      <c r="H17" s="3"/>
      <c r="I17" s="3"/>
      <c r="J17" s="3"/>
      <c r="K17" s="3"/>
      <c r="L17" s="3"/>
      <c r="M17" s="5">
        <f t="shared" si="2"/>
        <v>0</v>
      </c>
      <c r="N17" s="28" t="e">
        <f t="shared" si="3"/>
        <v>#DIV/0!</v>
      </c>
      <c r="O17" s="7"/>
      <c r="P17" s="7"/>
      <c r="Q17" s="7"/>
      <c r="R17" s="7"/>
      <c r="S17" s="3"/>
      <c r="T17" s="37">
        <f t="shared" si="0"/>
        <v>0</v>
      </c>
      <c r="U17" s="28" t="e">
        <f t="shared" si="4"/>
        <v>#DIV/0!</v>
      </c>
      <c r="V17" s="59">
        <f t="shared" si="5"/>
        <v>0</v>
      </c>
    </row>
    <row r="18" spans="1:22" ht="21.75" customHeight="1">
      <c r="A18" s="87"/>
      <c r="B18" s="7" t="s">
        <v>14</v>
      </c>
      <c r="C18" s="3"/>
      <c r="D18" s="3"/>
      <c r="E18" s="4">
        <f t="shared" si="1"/>
        <v>0</v>
      </c>
      <c r="F18" s="3"/>
      <c r="G18" s="3"/>
      <c r="H18" s="3"/>
      <c r="I18" s="3"/>
      <c r="J18" s="3"/>
      <c r="K18" s="3"/>
      <c r="L18" s="3"/>
      <c r="M18" s="5">
        <f t="shared" si="2"/>
        <v>0</v>
      </c>
      <c r="N18" s="28" t="e">
        <f t="shared" si="3"/>
        <v>#DIV/0!</v>
      </c>
      <c r="O18" s="7"/>
      <c r="P18" s="7"/>
      <c r="Q18" s="7"/>
      <c r="R18" s="7"/>
      <c r="S18" s="3"/>
      <c r="T18" s="37">
        <f t="shared" si="0"/>
        <v>0</v>
      </c>
      <c r="U18" s="28" t="e">
        <f t="shared" si="4"/>
        <v>#DIV/0!</v>
      </c>
      <c r="V18" s="59">
        <f t="shared" si="5"/>
        <v>0</v>
      </c>
    </row>
    <row r="19" spans="1:22" ht="21.75" customHeight="1">
      <c r="A19" s="87">
        <v>4</v>
      </c>
      <c r="B19" s="7" t="s">
        <v>12</v>
      </c>
      <c r="C19" s="3"/>
      <c r="D19" s="3"/>
      <c r="E19" s="4">
        <f t="shared" si="1"/>
        <v>0</v>
      </c>
      <c r="F19" s="3"/>
      <c r="G19" s="3"/>
      <c r="H19" s="3"/>
      <c r="I19" s="3"/>
      <c r="J19" s="3"/>
      <c r="K19" s="3"/>
      <c r="L19" s="3"/>
      <c r="M19" s="5">
        <f t="shared" si="2"/>
        <v>0</v>
      </c>
      <c r="N19" s="28" t="e">
        <f t="shared" si="3"/>
        <v>#DIV/0!</v>
      </c>
      <c r="O19" s="7"/>
      <c r="P19" s="7"/>
      <c r="Q19" s="7"/>
      <c r="R19" s="7"/>
      <c r="S19" s="3"/>
      <c r="T19" s="37">
        <f t="shared" si="0"/>
        <v>0</v>
      </c>
      <c r="U19" s="28" t="e">
        <f t="shared" si="4"/>
        <v>#DIV/0!</v>
      </c>
      <c r="V19" s="59">
        <f t="shared" si="5"/>
        <v>0</v>
      </c>
    </row>
    <row r="20" spans="1:22" ht="21.75" customHeight="1">
      <c r="A20" s="87"/>
      <c r="B20" s="7" t="s">
        <v>13</v>
      </c>
      <c r="C20" s="3"/>
      <c r="D20" s="3"/>
      <c r="E20" s="4">
        <f t="shared" si="1"/>
        <v>0</v>
      </c>
      <c r="F20" s="3"/>
      <c r="G20" s="3"/>
      <c r="H20" s="3"/>
      <c r="I20" s="3"/>
      <c r="J20" s="3"/>
      <c r="K20" s="3"/>
      <c r="L20" s="3"/>
      <c r="M20" s="5">
        <f t="shared" si="2"/>
        <v>0</v>
      </c>
      <c r="N20" s="28" t="e">
        <f t="shared" si="3"/>
        <v>#DIV/0!</v>
      </c>
      <c r="O20" s="7"/>
      <c r="P20" s="7"/>
      <c r="Q20" s="7"/>
      <c r="R20" s="7"/>
      <c r="S20" s="3"/>
      <c r="T20" s="37">
        <f t="shared" si="0"/>
        <v>0</v>
      </c>
      <c r="U20" s="28" t="e">
        <f t="shared" si="4"/>
        <v>#DIV/0!</v>
      </c>
      <c r="V20" s="59">
        <f t="shared" si="5"/>
        <v>0</v>
      </c>
    </row>
    <row r="21" spans="1:22" ht="21.75" customHeight="1">
      <c r="A21" s="87"/>
      <c r="B21" s="7" t="s">
        <v>14</v>
      </c>
      <c r="C21" s="3"/>
      <c r="D21" s="3"/>
      <c r="E21" s="4">
        <f t="shared" si="1"/>
        <v>0</v>
      </c>
      <c r="F21" s="3"/>
      <c r="G21" s="3"/>
      <c r="H21" s="3"/>
      <c r="I21" s="3"/>
      <c r="J21" s="3"/>
      <c r="K21" s="3"/>
      <c r="L21" s="3"/>
      <c r="M21" s="5">
        <f t="shared" si="2"/>
        <v>0</v>
      </c>
      <c r="N21" s="28" t="e">
        <f t="shared" si="3"/>
        <v>#DIV/0!</v>
      </c>
      <c r="O21" s="7"/>
      <c r="P21" s="7"/>
      <c r="Q21" s="7"/>
      <c r="R21" s="7"/>
      <c r="S21" s="3"/>
      <c r="T21" s="37">
        <f t="shared" si="0"/>
        <v>0</v>
      </c>
      <c r="U21" s="28" t="e">
        <f t="shared" si="4"/>
        <v>#DIV/0!</v>
      </c>
      <c r="V21" s="59">
        <f t="shared" si="5"/>
        <v>0</v>
      </c>
    </row>
    <row r="22" spans="1:22" ht="21.75" customHeight="1">
      <c r="A22" s="87">
        <v>5</v>
      </c>
      <c r="B22" s="7" t="s">
        <v>12</v>
      </c>
      <c r="C22" s="3"/>
      <c r="D22" s="3"/>
      <c r="E22" s="4">
        <f t="shared" si="1"/>
        <v>0</v>
      </c>
      <c r="F22" s="3"/>
      <c r="G22" s="3"/>
      <c r="H22" s="3"/>
      <c r="I22" s="3"/>
      <c r="J22" s="3"/>
      <c r="K22" s="3"/>
      <c r="L22" s="3"/>
      <c r="M22" s="5">
        <f t="shared" si="2"/>
        <v>0</v>
      </c>
      <c r="N22" s="28" t="e">
        <f t="shared" si="3"/>
        <v>#DIV/0!</v>
      </c>
      <c r="O22" s="7"/>
      <c r="P22" s="7"/>
      <c r="Q22" s="7"/>
      <c r="R22" s="7"/>
      <c r="S22" s="3"/>
      <c r="T22" s="37">
        <f t="shared" si="0"/>
        <v>0</v>
      </c>
      <c r="U22" s="28" t="e">
        <f t="shared" si="4"/>
        <v>#DIV/0!</v>
      </c>
      <c r="V22" s="59">
        <f t="shared" si="5"/>
        <v>0</v>
      </c>
    </row>
    <row r="23" spans="1:22" ht="21.75" customHeight="1">
      <c r="A23" s="87"/>
      <c r="B23" s="7" t="s">
        <v>13</v>
      </c>
      <c r="C23" s="3"/>
      <c r="D23" s="3"/>
      <c r="E23" s="4">
        <f t="shared" si="1"/>
        <v>0</v>
      </c>
      <c r="F23" s="3"/>
      <c r="G23" s="3"/>
      <c r="H23" s="3"/>
      <c r="I23" s="3"/>
      <c r="J23" s="3"/>
      <c r="K23" s="3"/>
      <c r="L23" s="3"/>
      <c r="M23" s="5">
        <f t="shared" si="2"/>
        <v>0</v>
      </c>
      <c r="N23" s="28" t="e">
        <f t="shared" si="3"/>
        <v>#DIV/0!</v>
      </c>
      <c r="O23" s="7"/>
      <c r="P23" s="7"/>
      <c r="Q23" s="7"/>
      <c r="R23" s="7"/>
      <c r="S23" s="3"/>
      <c r="T23" s="37">
        <f t="shared" si="0"/>
        <v>0</v>
      </c>
      <c r="U23" s="28" t="e">
        <f t="shared" si="4"/>
        <v>#DIV/0!</v>
      </c>
      <c r="V23" s="59">
        <f t="shared" si="5"/>
        <v>0</v>
      </c>
    </row>
    <row r="24" spans="1:22" ht="21.75" customHeight="1">
      <c r="A24" s="87"/>
      <c r="B24" s="7" t="s">
        <v>14</v>
      </c>
      <c r="C24" s="3"/>
      <c r="D24" s="3"/>
      <c r="E24" s="4">
        <f t="shared" si="1"/>
        <v>0</v>
      </c>
      <c r="F24" s="3"/>
      <c r="G24" s="3"/>
      <c r="H24" s="3"/>
      <c r="I24" s="3"/>
      <c r="J24" s="3"/>
      <c r="K24" s="3"/>
      <c r="L24" s="3"/>
      <c r="M24" s="5">
        <f t="shared" si="2"/>
        <v>0</v>
      </c>
      <c r="N24" s="28" t="e">
        <f t="shared" si="3"/>
        <v>#DIV/0!</v>
      </c>
      <c r="O24" s="7"/>
      <c r="P24" s="7"/>
      <c r="Q24" s="7"/>
      <c r="R24" s="7"/>
      <c r="S24" s="3"/>
      <c r="T24" s="37">
        <f t="shared" si="0"/>
        <v>0</v>
      </c>
      <c r="U24" s="28" t="e">
        <f t="shared" si="4"/>
        <v>#DIV/0!</v>
      </c>
      <c r="V24" s="59">
        <f t="shared" si="5"/>
        <v>0</v>
      </c>
    </row>
    <row r="25" spans="1:22" ht="21.75" customHeight="1">
      <c r="A25" s="87">
        <v>6</v>
      </c>
      <c r="B25" s="7" t="s">
        <v>12</v>
      </c>
      <c r="C25" s="3"/>
      <c r="D25" s="3"/>
      <c r="E25" s="4">
        <f t="shared" si="1"/>
        <v>0</v>
      </c>
      <c r="F25" s="3"/>
      <c r="G25" s="3"/>
      <c r="H25" s="3"/>
      <c r="I25" s="3"/>
      <c r="J25" s="3"/>
      <c r="K25" s="3"/>
      <c r="L25" s="3"/>
      <c r="M25" s="5">
        <f t="shared" si="2"/>
        <v>0</v>
      </c>
      <c r="N25" s="28" t="e">
        <f t="shared" si="3"/>
        <v>#DIV/0!</v>
      </c>
      <c r="O25" s="7"/>
      <c r="P25" s="7"/>
      <c r="Q25" s="7"/>
      <c r="R25" s="7"/>
      <c r="S25" s="3"/>
      <c r="T25" s="37">
        <f t="shared" si="0"/>
        <v>0</v>
      </c>
      <c r="U25" s="28" t="e">
        <f t="shared" si="4"/>
        <v>#DIV/0!</v>
      </c>
      <c r="V25" s="59">
        <f t="shared" si="5"/>
        <v>0</v>
      </c>
    </row>
    <row r="26" spans="1:22" ht="21.75" customHeight="1">
      <c r="A26" s="87"/>
      <c r="B26" s="7" t="s">
        <v>13</v>
      </c>
      <c r="C26" s="3"/>
      <c r="D26" s="3"/>
      <c r="E26" s="4">
        <f t="shared" si="1"/>
        <v>0</v>
      </c>
      <c r="F26" s="3"/>
      <c r="G26" s="3"/>
      <c r="H26" s="3"/>
      <c r="I26" s="3"/>
      <c r="J26" s="3"/>
      <c r="K26" s="3"/>
      <c r="L26" s="3"/>
      <c r="M26" s="5">
        <f t="shared" si="2"/>
        <v>0</v>
      </c>
      <c r="N26" s="28" t="e">
        <f t="shared" si="3"/>
        <v>#DIV/0!</v>
      </c>
      <c r="O26" s="7"/>
      <c r="P26" s="7"/>
      <c r="Q26" s="7"/>
      <c r="R26" s="7"/>
      <c r="S26" s="3"/>
      <c r="T26" s="37">
        <f t="shared" si="0"/>
        <v>0</v>
      </c>
      <c r="U26" s="28" t="e">
        <f t="shared" si="4"/>
        <v>#DIV/0!</v>
      </c>
      <c r="V26" s="59">
        <f t="shared" si="5"/>
        <v>0</v>
      </c>
    </row>
    <row r="27" spans="1:22" ht="21.75" customHeight="1">
      <c r="A27" s="87"/>
      <c r="B27" s="7" t="s">
        <v>14</v>
      </c>
      <c r="C27" s="3"/>
      <c r="D27" s="3"/>
      <c r="E27" s="4">
        <f t="shared" si="1"/>
        <v>0</v>
      </c>
      <c r="F27" s="3"/>
      <c r="G27" s="3"/>
      <c r="H27" s="3"/>
      <c r="I27" s="3"/>
      <c r="J27" s="3"/>
      <c r="K27" s="3"/>
      <c r="L27" s="3"/>
      <c r="M27" s="5">
        <f t="shared" si="2"/>
        <v>0</v>
      </c>
      <c r="N27" s="28" t="e">
        <f t="shared" si="3"/>
        <v>#DIV/0!</v>
      </c>
      <c r="O27" s="7"/>
      <c r="P27" s="7"/>
      <c r="Q27" s="7"/>
      <c r="R27" s="7"/>
      <c r="S27" s="3"/>
      <c r="T27" s="37">
        <f t="shared" si="0"/>
        <v>0</v>
      </c>
      <c r="U27" s="28" t="e">
        <f t="shared" si="4"/>
        <v>#DIV/0!</v>
      </c>
      <c r="V27" s="59">
        <f t="shared" si="5"/>
        <v>0</v>
      </c>
    </row>
    <row r="28" spans="1:22" ht="21.75" customHeight="1">
      <c r="A28" s="87">
        <v>7</v>
      </c>
      <c r="B28" s="7" t="s">
        <v>12</v>
      </c>
      <c r="C28" s="3"/>
      <c r="D28" s="3"/>
      <c r="E28" s="4">
        <f t="shared" si="1"/>
        <v>0</v>
      </c>
      <c r="F28" s="3"/>
      <c r="G28" s="3"/>
      <c r="H28" s="3"/>
      <c r="I28" s="3"/>
      <c r="J28" s="3"/>
      <c r="K28" s="3"/>
      <c r="L28" s="3"/>
      <c r="M28" s="5">
        <f t="shared" si="2"/>
        <v>0</v>
      </c>
      <c r="N28" s="28" t="e">
        <f t="shared" si="3"/>
        <v>#DIV/0!</v>
      </c>
      <c r="O28" s="7"/>
      <c r="P28" s="7"/>
      <c r="Q28" s="7"/>
      <c r="R28" s="7"/>
      <c r="S28" s="3"/>
      <c r="T28" s="37">
        <f t="shared" si="0"/>
        <v>0</v>
      </c>
      <c r="U28" s="28" t="e">
        <f t="shared" si="4"/>
        <v>#DIV/0!</v>
      </c>
      <c r="V28" s="59">
        <f t="shared" si="5"/>
        <v>0</v>
      </c>
    </row>
    <row r="29" spans="1:22" ht="21.75" customHeight="1">
      <c r="A29" s="87"/>
      <c r="B29" s="7" t="s">
        <v>13</v>
      </c>
      <c r="C29" s="3"/>
      <c r="D29" s="3"/>
      <c r="E29" s="4">
        <f t="shared" si="1"/>
        <v>0</v>
      </c>
      <c r="F29" s="3"/>
      <c r="G29" s="3"/>
      <c r="H29" s="3"/>
      <c r="I29" s="3"/>
      <c r="J29" s="3"/>
      <c r="K29" s="3"/>
      <c r="L29" s="3"/>
      <c r="M29" s="5">
        <f t="shared" si="2"/>
        <v>0</v>
      </c>
      <c r="N29" s="28" t="e">
        <f t="shared" si="3"/>
        <v>#DIV/0!</v>
      </c>
      <c r="O29" s="7"/>
      <c r="P29" s="7"/>
      <c r="Q29" s="7"/>
      <c r="R29" s="7"/>
      <c r="S29" s="3"/>
      <c r="T29" s="37">
        <f t="shared" si="0"/>
        <v>0</v>
      </c>
      <c r="U29" s="28" t="e">
        <f t="shared" si="4"/>
        <v>#DIV/0!</v>
      </c>
      <c r="V29" s="59">
        <f t="shared" si="5"/>
        <v>0</v>
      </c>
    </row>
    <row r="30" spans="1:22" ht="21.75" customHeight="1">
      <c r="A30" s="87"/>
      <c r="B30" s="7" t="s">
        <v>14</v>
      </c>
      <c r="C30" s="3"/>
      <c r="D30" s="3"/>
      <c r="E30" s="4">
        <f t="shared" si="1"/>
        <v>0</v>
      </c>
      <c r="F30" s="3"/>
      <c r="G30" s="3"/>
      <c r="H30" s="3"/>
      <c r="I30" s="3"/>
      <c r="J30" s="3"/>
      <c r="K30" s="3"/>
      <c r="L30" s="3"/>
      <c r="M30" s="5">
        <f t="shared" si="2"/>
        <v>0</v>
      </c>
      <c r="N30" s="28" t="e">
        <f t="shared" si="3"/>
        <v>#DIV/0!</v>
      </c>
      <c r="O30" s="7"/>
      <c r="P30" s="7"/>
      <c r="Q30" s="7"/>
      <c r="R30" s="7"/>
      <c r="S30" s="3"/>
      <c r="T30" s="37">
        <f t="shared" si="0"/>
        <v>0</v>
      </c>
      <c r="U30" s="28" t="e">
        <f t="shared" si="4"/>
        <v>#DIV/0!</v>
      </c>
      <c r="V30" s="59">
        <f t="shared" si="5"/>
        <v>0</v>
      </c>
    </row>
    <row r="31" spans="1:22" ht="21.75" customHeight="1">
      <c r="A31" s="87">
        <v>8</v>
      </c>
      <c r="B31" s="7" t="s">
        <v>12</v>
      </c>
      <c r="C31" s="3"/>
      <c r="D31" s="3"/>
      <c r="E31" s="4">
        <f t="shared" si="1"/>
        <v>0</v>
      </c>
      <c r="F31" s="3"/>
      <c r="G31" s="3"/>
      <c r="H31" s="3"/>
      <c r="I31" s="3"/>
      <c r="J31" s="3"/>
      <c r="K31" s="3"/>
      <c r="L31" s="3"/>
      <c r="M31" s="5">
        <f t="shared" si="2"/>
        <v>0</v>
      </c>
      <c r="N31" s="28" t="e">
        <f t="shared" si="3"/>
        <v>#DIV/0!</v>
      </c>
      <c r="O31" s="7"/>
      <c r="P31" s="7"/>
      <c r="Q31" s="7"/>
      <c r="R31" s="7"/>
      <c r="S31" s="3"/>
      <c r="T31" s="37">
        <f t="shared" si="0"/>
        <v>0</v>
      </c>
      <c r="U31" s="28" t="e">
        <f t="shared" si="4"/>
        <v>#DIV/0!</v>
      </c>
      <c r="V31" s="59">
        <f t="shared" si="5"/>
        <v>0</v>
      </c>
    </row>
    <row r="32" spans="1:22" ht="21.75" customHeight="1">
      <c r="A32" s="87"/>
      <c r="B32" s="7" t="s">
        <v>13</v>
      </c>
      <c r="C32" s="3"/>
      <c r="D32" s="3"/>
      <c r="E32" s="4">
        <f t="shared" si="1"/>
        <v>0</v>
      </c>
      <c r="F32" s="3"/>
      <c r="G32" s="3"/>
      <c r="H32" s="3"/>
      <c r="I32" s="3"/>
      <c r="J32" s="3"/>
      <c r="K32" s="3"/>
      <c r="L32" s="3"/>
      <c r="M32" s="5">
        <f t="shared" si="2"/>
        <v>0</v>
      </c>
      <c r="N32" s="28" t="e">
        <f t="shared" si="3"/>
        <v>#DIV/0!</v>
      </c>
      <c r="O32" s="7"/>
      <c r="P32" s="7"/>
      <c r="Q32" s="7"/>
      <c r="R32" s="7"/>
      <c r="S32" s="3"/>
      <c r="T32" s="37">
        <f t="shared" si="0"/>
        <v>0</v>
      </c>
      <c r="U32" s="28" t="e">
        <f t="shared" si="4"/>
        <v>#DIV/0!</v>
      </c>
      <c r="V32" s="59">
        <f t="shared" si="5"/>
        <v>0</v>
      </c>
    </row>
    <row r="33" spans="1:22" ht="21.75" customHeight="1">
      <c r="A33" s="87"/>
      <c r="B33" s="7" t="s">
        <v>14</v>
      </c>
      <c r="C33" s="3"/>
      <c r="D33" s="3"/>
      <c r="E33" s="4">
        <f t="shared" si="1"/>
        <v>0</v>
      </c>
      <c r="F33" s="3"/>
      <c r="G33" s="3"/>
      <c r="H33" s="3"/>
      <c r="I33" s="3"/>
      <c r="J33" s="3"/>
      <c r="K33" s="3"/>
      <c r="L33" s="3"/>
      <c r="M33" s="5">
        <f t="shared" si="2"/>
        <v>0</v>
      </c>
      <c r="N33" s="28" t="e">
        <f t="shared" si="3"/>
        <v>#DIV/0!</v>
      </c>
      <c r="O33" s="7"/>
      <c r="P33" s="7"/>
      <c r="Q33" s="7"/>
      <c r="R33" s="7"/>
      <c r="S33" s="3"/>
      <c r="T33" s="37">
        <f t="shared" si="0"/>
        <v>0</v>
      </c>
      <c r="U33" s="28" t="e">
        <f t="shared" si="4"/>
        <v>#DIV/0!</v>
      </c>
      <c r="V33" s="59">
        <f t="shared" si="5"/>
        <v>0</v>
      </c>
    </row>
    <row r="34" spans="1:22" ht="21.75" customHeight="1">
      <c r="A34" s="87">
        <v>9</v>
      </c>
      <c r="B34" s="7" t="s">
        <v>12</v>
      </c>
      <c r="C34" s="3"/>
      <c r="D34" s="3"/>
      <c r="E34" s="4">
        <f t="shared" si="1"/>
        <v>0</v>
      </c>
      <c r="F34" s="3"/>
      <c r="G34" s="3"/>
      <c r="H34" s="3"/>
      <c r="I34" s="3"/>
      <c r="J34" s="3"/>
      <c r="K34" s="3"/>
      <c r="L34" s="3"/>
      <c r="M34" s="5">
        <f t="shared" si="2"/>
        <v>0</v>
      </c>
      <c r="N34" s="28" t="e">
        <f t="shared" si="3"/>
        <v>#DIV/0!</v>
      </c>
      <c r="O34" s="7"/>
      <c r="P34" s="7"/>
      <c r="Q34" s="7"/>
      <c r="R34" s="7"/>
      <c r="S34" s="3"/>
      <c r="T34" s="37">
        <f t="shared" si="0"/>
        <v>0</v>
      </c>
      <c r="U34" s="28" t="e">
        <f t="shared" si="4"/>
        <v>#DIV/0!</v>
      </c>
      <c r="V34" s="59">
        <f t="shared" si="5"/>
        <v>0</v>
      </c>
    </row>
    <row r="35" spans="1:22" ht="21.75" customHeight="1">
      <c r="A35" s="87"/>
      <c r="B35" s="7" t="s">
        <v>13</v>
      </c>
      <c r="C35" s="3"/>
      <c r="D35" s="3"/>
      <c r="E35" s="4">
        <f t="shared" si="1"/>
        <v>0</v>
      </c>
      <c r="F35" s="3"/>
      <c r="G35" s="3"/>
      <c r="H35" s="3"/>
      <c r="I35" s="3"/>
      <c r="J35" s="3"/>
      <c r="K35" s="3"/>
      <c r="L35" s="3"/>
      <c r="M35" s="5">
        <f t="shared" si="2"/>
        <v>0</v>
      </c>
      <c r="N35" s="28" t="e">
        <f t="shared" si="3"/>
        <v>#DIV/0!</v>
      </c>
      <c r="O35" s="7"/>
      <c r="P35" s="7"/>
      <c r="Q35" s="7"/>
      <c r="R35" s="7"/>
      <c r="S35" s="3"/>
      <c r="T35" s="37">
        <f t="shared" si="0"/>
        <v>0</v>
      </c>
      <c r="U35" s="28" t="e">
        <f t="shared" si="4"/>
        <v>#DIV/0!</v>
      </c>
      <c r="V35" s="59">
        <f t="shared" si="5"/>
        <v>0</v>
      </c>
    </row>
    <row r="36" spans="1:22" ht="21.75" customHeight="1">
      <c r="A36" s="87"/>
      <c r="B36" s="7" t="s">
        <v>14</v>
      </c>
      <c r="C36" s="3"/>
      <c r="D36" s="3"/>
      <c r="E36" s="4">
        <f t="shared" si="1"/>
        <v>0</v>
      </c>
      <c r="F36" s="3"/>
      <c r="G36" s="3"/>
      <c r="H36" s="3"/>
      <c r="I36" s="3"/>
      <c r="J36" s="3"/>
      <c r="K36" s="3"/>
      <c r="L36" s="3"/>
      <c r="M36" s="5">
        <f t="shared" si="2"/>
        <v>0</v>
      </c>
      <c r="N36" s="28" t="e">
        <f t="shared" si="3"/>
        <v>#DIV/0!</v>
      </c>
      <c r="O36" s="7"/>
      <c r="P36" s="7"/>
      <c r="Q36" s="7"/>
      <c r="R36" s="7"/>
      <c r="S36" s="3"/>
      <c r="T36" s="37">
        <f t="shared" si="0"/>
        <v>0</v>
      </c>
      <c r="U36" s="28" t="e">
        <f t="shared" si="4"/>
        <v>#DIV/0!</v>
      </c>
      <c r="V36" s="59">
        <f t="shared" si="5"/>
        <v>0</v>
      </c>
    </row>
    <row r="37" spans="1:22" ht="21.75" customHeight="1">
      <c r="A37" s="87">
        <v>10</v>
      </c>
      <c r="B37" s="7" t="s">
        <v>12</v>
      </c>
      <c r="C37" s="3"/>
      <c r="D37" s="3"/>
      <c r="E37" s="4">
        <f t="shared" si="1"/>
        <v>0</v>
      </c>
      <c r="F37" s="3"/>
      <c r="G37" s="3"/>
      <c r="H37" s="3"/>
      <c r="I37" s="3"/>
      <c r="J37" s="3"/>
      <c r="K37" s="3"/>
      <c r="L37" s="3"/>
      <c r="M37" s="5">
        <f t="shared" si="2"/>
        <v>0</v>
      </c>
      <c r="N37" s="28" t="e">
        <f t="shared" si="3"/>
        <v>#DIV/0!</v>
      </c>
      <c r="O37" s="7"/>
      <c r="P37" s="7"/>
      <c r="Q37" s="7"/>
      <c r="R37" s="7"/>
      <c r="S37" s="3"/>
      <c r="T37" s="37">
        <f t="shared" si="0"/>
        <v>0</v>
      </c>
      <c r="U37" s="28" t="e">
        <f t="shared" si="4"/>
        <v>#DIV/0!</v>
      </c>
      <c r="V37" s="59">
        <f t="shared" si="5"/>
        <v>0</v>
      </c>
    </row>
    <row r="38" spans="1:22" ht="21.75" customHeight="1">
      <c r="A38" s="87"/>
      <c r="B38" s="7" t="s">
        <v>13</v>
      </c>
      <c r="C38" s="3"/>
      <c r="D38" s="3"/>
      <c r="E38" s="4">
        <f t="shared" si="1"/>
        <v>0</v>
      </c>
      <c r="F38" s="3"/>
      <c r="G38" s="3"/>
      <c r="H38" s="3"/>
      <c r="I38" s="3"/>
      <c r="J38" s="3"/>
      <c r="K38" s="3"/>
      <c r="L38" s="3"/>
      <c r="M38" s="5">
        <f t="shared" si="2"/>
        <v>0</v>
      </c>
      <c r="N38" s="28" t="e">
        <f t="shared" si="3"/>
        <v>#DIV/0!</v>
      </c>
      <c r="O38" s="7"/>
      <c r="P38" s="7"/>
      <c r="Q38" s="7"/>
      <c r="R38" s="7"/>
      <c r="S38" s="3"/>
      <c r="T38" s="37">
        <f t="shared" si="0"/>
        <v>0</v>
      </c>
      <c r="U38" s="28" t="e">
        <f t="shared" si="4"/>
        <v>#DIV/0!</v>
      </c>
      <c r="V38" s="59">
        <f t="shared" si="5"/>
        <v>0</v>
      </c>
    </row>
    <row r="39" spans="1:22" ht="21.75" customHeight="1">
      <c r="A39" s="87"/>
      <c r="B39" s="7" t="s">
        <v>14</v>
      </c>
      <c r="C39" s="3"/>
      <c r="D39" s="3"/>
      <c r="E39" s="4">
        <f t="shared" si="1"/>
        <v>0</v>
      </c>
      <c r="F39" s="3"/>
      <c r="G39" s="3"/>
      <c r="H39" s="3"/>
      <c r="I39" s="3"/>
      <c r="J39" s="3"/>
      <c r="K39" s="3"/>
      <c r="L39" s="3"/>
      <c r="M39" s="5">
        <f t="shared" si="2"/>
        <v>0</v>
      </c>
      <c r="N39" s="28" t="e">
        <f t="shared" si="3"/>
        <v>#DIV/0!</v>
      </c>
      <c r="O39" s="7"/>
      <c r="P39" s="7"/>
      <c r="Q39" s="7"/>
      <c r="R39" s="7"/>
      <c r="S39" s="3"/>
      <c r="T39" s="37">
        <f t="shared" si="0"/>
        <v>0</v>
      </c>
      <c r="U39" s="28" t="e">
        <f t="shared" si="4"/>
        <v>#DIV/0!</v>
      </c>
      <c r="V39" s="59">
        <f t="shared" si="5"/>
        <v>0</v>
      </c>
    </row>
    <row r="40" spans="1:22" ht="21.75" customHeight="1">
      <c r="A40" s="87">
        <v>11</v>
      </c>
      <c r="B40" s="7" t="s">
        <v>12</v>
      </c>
      <c r="C40" s="3"/>
      <c r="D40" s="3"/>
      <c r="E40" s="4">
        <f t="shared" si="1"/>
        <v>0</v>
      </c>
      <c r="F40" s="3"/>
      <c r="G40" s="3"/>
      <c r="H40" s="3"/>
      <c r="I40" s="3"/>
      <c r="J40" s="3"/>
      <c r="K40" s="3"/>
      <c r="L40" s="3"/>
      <c r="M40" s="5">
        <f t="shared" si="2"/>
        <v>0</v>
      </c>
      <c r="N40" s="28" t="e">
        <f t="shared" si="3"/>
        <v>#DIV/0!</v>
      </c>
      <c r="O40" s="7"/>
      <c r="P40" s="7"/>
      <c r="Q40" s="7"/>
      <c r="R40" s="7"/>
      <c r="S40" s="3"/>
      <c r="T40" s="37">
        <f t="shared" si="0"/>
        <v>0</v>
      </c>
      <c r="U40" s="28" t="e">
        <f t="shared" si="4"/>
        <v>#DIV/0!</v>
      </c>
      <c r="V40" s="59">
        <f t="shared" si="5"/>
        <v>0</v>
      </c>
    </row>
    <row r="41" spans="1:22" ht="21.75" customHeight="1">
      <c r="A41" s="87"/>
      <c r="B41" s="7" t="s">
        <v>13</v>
      </c>
      <c r="C41" s="3"/>
      <c r="D41" s="3"/>
      <c r="E41" s="4">
        <f t="shared" si="1"/>
        <v>0</v>
      </c>
      <c r="F41" s="3"/>
      <c r="G41" s="3"/>
      <c r="H41" s="3"/>
      <c r="I41" s="3"/>
      <c r="J41" s="3"/>
      <c r="K41" s="3"/>
      <c r="L41" s="3"/>
      <c r="M41" s="5">
        <f t="shared" si="2"/>
        <v>0</v>
      </c>
      <c r="N41" s="28" t="e">
        <f t="shared" si="3"/>
        <v>#DIV/0!</v>
      </c>
      <c r="O41" s="7"/>
      <c r="P41" s="7"/>
      <c r="Q41" s="7"/>
      <c r="R41" s="7"/>
      <c r="S41" s="3"/>
      <c r="T41" s="37">
        <f t="shared" si="0"/>
        <v>0</v>
      </c>
      <c r="U41" s="28" t="e">
        <f t="shared" si="4"/>
        <v>#DIV/0!</v>
      </c>
      <c r="V41" s="59">
        <f t="shared" si="5"/>
        <v>0</v>
      </c>
    </row>
    <row r="42" spans="1:22" ht="21.75" customHeight="1">
      <c r="A42" s="87"/>
      <c r="B42" s="7" t="s">
        <v>14</v>
      </c>
      <c r="C42" s="3"/>
      <c r="D42" s="3"/>
      <c r="E42" s="4">
        <f t="shared" si="1"/>
        <v>0</v>
      </c>
      <c r="F42" s="3"/>
      <c r="G42" s="3"/>
      <c r="H42" s="3"/>
      <c r="I42" s="3"/>
      <c r="J42" s="3"/>
      <c r="K42" s="3"/>
      <c r="L42" s="3"/>
      <c r="M42" s="5">
        <f t="shared" si="2"/>
        <v>0</v>
      </c>
      <c r="N42" s="28" t="e">
        <f t="shared" si="3"/>
        <v>#DIV/0!</v>
      </c>
      <c r="O42" s="7"/>
      <c r="P42" s="7"/>
      <c r="Q42" s="7"/>
      <c r="R42" s="7"/>
      <c r="S42" s="3"/>
      <c r="T42" s="37">
        <f t="shared" si="0"/>
        <v>0</v>
      </c>
      <c r="U42" s="28" t="e">
        <f t="shared" si="4"/>
        <v>#DIV/0!</v>
      </c>
      <c r="V42" s="59">
        <f t="shared" si="5"/>
        <v>0</v>
      </c>
    </row>
    <row r="43" spans="1:22" ht="21.75" customHeight="1">
      <c r="A43" s="87">
        <v>12</v>
      </c>
      <c r="B43" s="7" t="s">
        <v>12</v>
      </c>
      <c r="C43" s="3"/>
      <c r="D43" s="3"/>
      <c r="E43" s="4">
        <f t="shared" si="1"/>
        <v>0</v>
      </c>
      <c r="F43" s="3"/>
      <c r="G43" s="3"/>
      <c r="H43" s="3"/>
      <c r="I43" s="3"/>
      <c r="J43" s="3"/>
      <c r="K43" s="3"/>
      <c r="L43" s="3"/>
      <c r="M43" s="5">
        <f t="shared" si="2"/>
        <v>0</v>
      </c>
      <c r="N43" s="28" t="e">
        <f t="shared" si="3"/>
        <v>#DIV/0!</v>
      </c>
      <c r="O43" s="7"/>
      <c r="P43" s="7"/>
      <c r="Q43" s="7"/>
      <c r="R43" s="7"/>
      <c r="S43" s="3"/>
      <c r="T43" s="37">
        <f t="shared" si="0"/>
        <v>0</v>
      </c>
      <c r="U43" s="28" t="e">
        <f t="shared" si="4"/>
        <v>#DIV/0!</v>
      </c>
      <c r="V43" s="59">
        <f t="shared" si="5"/>
        <v>0</v>
      </c>
    </row>
    <row r="44" spans="1:22" ht="21.75" customHeight="1">
      <c r="A44" s="87"/>
      <c r="B44" s="7" t="s">
        <v>13</v>
      </c>
      <c r="C44" s="3"/>
      <c r="D44" s="3"/>
      <c r="E44" s="4">
        <f t="shared" si="1"/>
        <v>0</v>
      </c>
      <c r="F44" s="3"/>
      <c r="G44" s="3"/>
      <c r="H44" s="3"/>
      <c r="I44" s="3"/>
      <c r="J44" s="3"/>
      <c r="K44" s="3"/>
      <c r="L44" s="3"/>
      <c r="M44" s="5">
        <f t="shared" si="2"/>
        <v>0</v>
      </c>
      <c r="N44" s="28" t="e">
        <f t="shared" si="3"/>
        <v>#DIV/0!</v>
      </c>
      <c r="O44" s="7"/>
      <c r="P44" s="7"/>
      <c r="Q44" s="7"/>
      <c r="R44" s="7"/>
      <c r="S44" s="3"/>
      <c r="T44" s="37">
        <f t="shared" si="0"/>
        <v>0</v>
      </c>
      <c r="U44" s="28" t="e">
        <f t="shared" si="4"/>
        <v>#DIV/0!</v>
      </c>
      <c r="V44" s="59">
        <f t="shared" si="5"/>
        <v>0</v>
      </c>
    </row>
    <row r="45" spans="1:22" ht="21.75" customHeight="1">
      <c r="A45" s="87"/>
      <c r="B45" s="7" t="s">
        <v>14</v>
      </c>
      <c r="C45" s="3"/>
      <c r="D45" s="3"/>
      <c r="E45" s="4">
        <f t="shared" si="1"/>
        <v>0</v>
      </c>
      <c r="F45" s="3"/>
      <c r="G45" s="3"/>
      <c r="H45" s="3"/>
      <c r="I45" s="3"/>
      <c r="J45" s="3"/>
      <c r="K45" s="3"/>
      <c r="L45" s="3"/>
      <c r="M45" s="5">
        <f t="shared" si="2"/>
        <v>0</v>
      </c>
      <c r="N45" s="28" t="e">
        <f t="shared" si="3"/>
        <v>#DIV/0!</v>
      </c>
      <c r="O45" s="7"/>
      <c r="P45" s="7"/>
      <c r="Q45" s="7"/>
      <c r="R45" s="7"/>
      <c r="S45" s="3"/>
      <c r="T45" s="37">
        <f t="shared" si="0"/>
        <v>0</v>
      </c>
      <c r="U45" s="28" t="e">
        <f t="shared" si="4"/>
        <v>#DIV/0!</v>
      </c>
      <c r="V45" s="59">
        <f t="shared" si="5"/>
        <v>0</v>
      </c>
    </row>
    <row r="46" spans="1:22" ht="21.75" customHeight="1">
      <c r="A46" s="87">
        <v>13</v>
      </c>
      <c r="B46" s="7" t="s">
        <v>12</v>
      </c>
      <c r="C46" s="3"/>
      <c r="D46" s="3"/>
      <c r="E46" s="4">
        <f t="shared" si="1"/>
        <v>0</v>
      </c>
      <c r="F46" s="3"/>
      <c r="G46" s="3"/>
      <c r="H46" s="3"/>
      <c r="I46" s="3"/>
      <c r="J46" s="3"/>
      <c r="K46" s="3"/>
      <c r="L46" s="3"/>
      <c r="M46" s="5">
        <f t="shared" si="2"/>
        <v>0</v>
      </c>
      <c r="N46" s="28" t="e">
        <f t="shared" si="3"/>
        <v>#DIV/0!</v>
      </c>
      <c r="O46" s="7"/>
      <c r="P46" s="7"/>
      <c r="Q46" s="7"/>
      <c r="R46" s="7"/>
      <c r="S46" s="3"/>
      <c r="T46" s="37">
        <f t="shared" si="0"/>
        <v>0</v>
      </c>
      <c r="U46" s="28" t="e">
        <f t="shared" si="4"/>
        <v>#DIV/0!</v>
      </c>
      <c r="V46" s="59">
        <f t="shared" si="5"/>
        <v>0</v>
      </c>
    </row>
    <row r="47" spans="1:22" ht="21.75" customHeight="1">
      <c r="A47" s="87"/>
      <c r="B47" s="7" t="s">
        <v>13</v>
      </c>
      <c r="C47" s="3"/>
      <c r="D47" s="3"/>
      <c r="E47" s="4">
        <f t="shared" si="1"/>
        <v>0</v>
      </c>
      <c r="F47" s="3"/>
      <c r="G47" s="3"/>
      <c r="H47" s="3"/>
      <c r="I47" s="3"/>
      <c r="J47" s="3"/>
      <c r="K47" s="3"/>
      <c r="L47" s="3"/>
      <c r="M47" s="5">
        <f t="shared" si="2"/>
        <v>0</v>
      </c>
      <c r="N47" s="28" t="e">
        <f t="shared" si="3"/>
        <v>#DIV/0!</v>
      </c>
      <c r="O47" s="7"/>
      <c r="P47" s="7"/>
      <c r="Q47" s="7"/>
      <c r="R47" s="7"/>
      <c r="S47" s="3"/>
      <c r="T47" s="37">
        <f t="shared" si="0"/>
        <v>0</v>
      </c>
      <c r="U47" s="28" t="e">
        <f t="shared" si="4"/>
        <v>#DIV/0!</v>
      </c>
      <c r="V47" s="59">
        <f>C47+D47-T47</f>
        <v>0</v>
      </c>
    </row>
    <row r="48" spans="1:22" ht="21.75" customHeight="1">
      <c r="A48" s="87"/>
      <c r="B48" s="7" t="s">
        <v>14</v>
      </c>
      <c r="C48" s="3"/>
      <c r="D48" s="3"/>
      <c r="E48" s="4">
        <f t="shared" si="1"/>
        <v>0</v>
      </c>
      <c r="F48" s="3"/>
      <c r="G48" s="3"/>
      <c r="H48" s="3"/>
      <c r="I48" s="3"/>
      <c r="J48" s="3"/>
      <c r="K48" s="3"/>
      <c r="L48" s="3"/>
      <c r="M48" s="5">
        <f t="shared" si="2"/>
        <v>0</v>
      </c>
      <c r="N48" s="28" t="e">
        <f t="shared" si="3"/>
        <v>#DIV/0!</v>
      </c>
      <c r="O48" s="7"/>
      <c r="P48" s="7"/>
      <c r="Q48" s="7"/>
      <c r="R48" s="7"/>
      <c r="S48" s="3"/>
      <c r="T48" s="37">
        <f t="shared" si="0"/>
        <v>0</v>
      </c>
      <c r="U48" s="28" t="e">
        <f t="shared" si="4"/>
        <v>#DIV/0!</v>
      </c>
      <c r="V48" s="59">
        <f t="shared" si="5"/>
        <v>0</v>
      </c>
    </row>
    <row r="49" spans="1:22" ht="21.75" customHeight="1">
      <c r="A49" s="87">
        <v>14</v>
      </c>
      <c r="B49" s="7" t="s">
        <v>12</v>
      </c>
      <c r="C49" s="3"/>
      <c r="D49" s="3"/>
      <c r="E49" s="4">
        <f t="shared" si="1"/>
        <v>0</v>
      </c>
      <c r="F49" s="3"/>
      <c r="G49" s="3"/>
      <c r="H49" s="3"/>
      <c r="I49" s="3"/>
      <c r="J49" s="3"/>
      <c r="K49" s="3"/>
      <c r="L49" s="3"/>
      <c r="M49" s="5">
        <f t="shared" si="2"/>
        <v>0</v>
      </c>
      <c r="N49" s="28" t="e">
        <f t="shared" si="3"/>
        <v>#DIV/0!</v>
      </c>
      <c r="O49" s="7"/>
      <c r="P49" s="7"/>
      <c r="Q49" s="7"/>
      <c r="R49" s="7"/>
      <c r="S49" s="3"/>
      <c r="T49" s="37">
        <f t="shared" si="0"/>
        <v>0</v>
      </c>
      <c r="U49" s="28" t="e">
        <f t="shared" si="4"/>
        <v>#DIV/0!</v>
      </c>
      <c r="V49" s="59">
        <f t="shared" si="5"/>
        <v>0</v>
      </c>
    </row>
    <row r="50" spans="1:22" ht="21.75" customHeight="1">
      <c r="A50" s="87"/>
      <c r="B50" s="7" t="s">
        <v>13</v>
      </c>
      <c r="C50" s="3"/>
      <c r="D50" s="3"/>
      <c r="E50" s="4">
        <f t="shared" si="1"/>
        <v>0</v>
      </c>
      <c r="F50" s="3"/>
      <c r="G50" s="3"/>
      <c r="H50" s="3"/>
      <c r="I50" s="3"/>
      <c r="J50" s="3"/>
      <c r="K50" s="3"/>
      <c r="L50" s="3"/>
      <c r="M50" s="5">
        <f t="shared" si="2"/>
        <v>0</v>
      </c>
      <c r="N50" s="28" t="e">
        <f t="shared" si="3"/>
        <v>#DIV/0!</v>
      </c>
      <c r="O50" s="7"/>
      <c r="P50" s="7"/>
      <c r="Q50" s="7"/>
      <c r="R50" s="7"/>
      <c r="S50" s="3"/>
      <c r="T50" s="37">
        <f t="shared" si="0"/>
        <v>0</v>
      </c>
      <c r="U50" s="28" t="e">
        <f t="shared" si="4"/>
        <v>#DIV/0!</v>
      </c>
      <c r="V50" s="59">
        <f t="shared" si="5"/>
        <v>0</v>
      </c>
    </row>
    <row r="51" spans="1:22" ht="21.75" customHeight="1">
      <c r="A51" s="87"/>
      <c r="B51" s="7" t="s">
        <v>14</v>
      </c>
      <c r="C51" s="3"/>
      <c r="D51" s="3"/>
      <c r="E51" s="4">
        <f t="shared" si="1"/>
        <v>0</v>
      </c>
      <c r="F51" s="3"/>
      <c r="G51" s="3"/>
      <c r="H51" s="3"/>
      <c r="I51" s="3"/>
      <c r="J51" s="3"/>
      <c r="K51" s="3"/>
      <c r="L51" s="3"/>
      <c r="M51" s="5">
        <f t="shared" si="2"/>
        <v>0</v>
      </c>
      <c r="N51" s="28" t="e">
        <f t="shared" si="3"/>
        <v>#DIV/0!</v>
      </c>
      <c r="O51" s="7"/>
      <c r="P51" s="7"/>
      <c r="Q51" s="7"/>
      <c r="R51" s="7"/>
      <c r="S51" s="3"/>
      <c r="T51" s="37">
        <f t="shared" si="0"/>
        <v>0</v>
      </c>
      <c r="U51" s="28" t="e">
        <f t="shared" si="4"/>
        <v>#DIV/0!</v>
      </c>
      <c r="V51" s="59">
        <f t="shared" si="5"/>
        <v>0</v>
      </c>
    </row>
    <row r="52" spans="1:22" ht="21.75" customHeight="1">
      <c r="A52" s="87">
        <v>15</v>
      </c>
      <c r="B52" s="7" t="s">
        <v>12</v>
      </c>
      <c r="C52" s="3"/>
      <c r="D52" s="3"/>
      <c r="E52" s="4">
        <f t="shared" si="1"/>
        <v>0</v>
      </c>
      <c r="F52" s="3"/>
      <c r="G52" s="3"/>
      <c r="H52" s="3"/>
      <c r="I52" s="3"/>
      <c r="J52" s="3"/>
      <c r="K52" s="3"/>
      <c r="L52" s="3"/>
      <c r="M52" s="5">
        <f t="shared" si="2"/>
        <v>0</v>
      </c>
      <c r="N52" s="28" t="e">
        <f t="shared" si="3"/>
        <v>#DIV/0!</v>
      </c>
      <c r="O52" s="7"/>
      <c r="P52" s="7"/>
      <c r="Q52" s="7"/>
      <c r="R52" s="7"/>
      <c r="S52" s="3"/>
      <c r="T52" s="37">
        <f t="shared" si="0"/>
        <v>0</v>
      </c>
      <c r="U52" s="28" t="e">
        <f t="shared" si="4"/>
        <v>#DIV/0!</v>
      </c>
      <c r="V52" s="59">
        <f t="shared" si="5"/>
        <v>0</v>
      </c>
    </row>
    <row r="53" spans="1:22" ht="21.75" customHeight="1">
      <c r="A53" s="87"/>
      <c r="B53" s="7" t="s">
        <v>13</v>
      </c>
      <c r="C53" s="3"/>
      <c r="D53" s="3"/>
      <c r="E53" s="4">
        <f t="shared" si="1"/>
        <v>0</v>
      </c>
      <c r="F53" s="3"/>
      <c r="G53" s="3"/>
      <c r="H53" s="3"/>
      <c r="I53" s="3"/>
      <c r="J53" s="3"/>
      <c r="K53" s="3"/>
      <c r="L53" s="3"/>
      <c r="M53" s="5">
        <f t="shared" si="2"/>
        <v>0</v>
      </c>
      <c r="N53" s="28" t="e">
        <f t="shared" si="3"/>
        <v>#DIV/0!</v>
      </c>
      <c r="O53" s="7"/>
      <c r="P53" s="7"/>
      <c r="Q53" s="7"/>
      <c r="R53" s="7"/>
      <c r="S53" s="3"/>
      <c r="T53" s="37">
        <f t="shared" si="0"/>
        <v>0</v>
      </c>
      <c r="U53" s="28" t="e">
        <f t="shared" si="4"/>
        <v>#DIV/0!</v>
      </c>
      <c r="V53" s="59">
        <f t="shared" si="5"/>
        <v>0</v>
      </c>
    </row>
    <row r="54" spans="1:22" ht="21.75" customHeight="1">
      <c r="A54" s="87"/>
      <c r="B54" s="7" t="s">
        <v>14</v>
      </c>
      <c r="C54" s="3"/>
      <c r="D54" s="3"/>
      <c r="E54" s="4">
        <f t="shared" si="1"/>
        <v>0</v>
      </c>
      <c r="F54" s="3"/>
      <c r="G54" s="3"/>
      <c r="H54" s="3"/>
      <c r="I54" s="3"/>
      <c r="J54" s="3"/>
      <c r="K54" s="3"/>
      <c r="L54" s="3"/>
      <c r="M54" s="5">
        <f t="shared" si="2"/>
        <v>0</v>
      </c>
      <c r="N54" s="28" t="e">
        <f t="shared" si="3"/>
        <v>#DIV/0!</v>
      </c>
      <c r="O54" s="7"/>
      <c r="P54" s="7"/>
      <c r="Q54" s="7"/>
      <c r="R54" s="7"/>
      <c r="S54" s="3"/>
      <c r="T54" s="37">
        <f t="shared" si="0"/>
        <v>0</v>
      </c>
      <c r="U54" s="28" t="e">
        <f t="shared" si="4"/>
        <v>#DIV/0!</v>
      </c>
      <c r="V54" s="59">
        <f t="shared" si="5"/>
        <v>0</v>
      </c>
    </row>
    <row r="55" spans="1:22" ht="21.75" customHeight="1">
      <c r="A55" s="87">
        <v>16</v>
      </c>
      <c r="B55" s="7" t="s">
        <v>12</v>
      </c>
      <c r="C55" s="3"/>
      <c r="D55" s="3"/>
      <c r="E55" s="4">
        <f t="shared" si="1"/>
        <v>0</v>
      </c>
      <c r="F55" s="3"/>
      <c r="G55" s="3"/>
      <c r="H55" s="3"/>
      <c r="I55" s="3"/>
      <c r="J55" s="3"/>
      <c r="K55" s="3"/>
      <c r="L55" s="3"/>
      <c r="M55" s="5">
        <f t="shared" si="2"/>
        <v>0</v>
      </c>
      <c r="N55" s="28" t="e">
        <f t="shared" si="3"/>
        <v>#DIV/0!</v>
      </c>
      <c r="O55" s="7"/>
      <c r="P55" s="7"/>
      <c r="Q55" s="7"/>
      <c r="R55" s="7"/>
      <c r="S55" s="3"/>
      <c r="T55" s="37">
        <f t="shared" si="0"/>
        <v>0</v>
      </c>
      <c r="U55" s="28" t="e">
        <f t="shared" si="4"/>
        <v>#DIV/0!</v>
      </c>
      <c r="V55" s="59">
        <f t="shared" si="5"/>
        <v>0</v>
      </c>
    </row>
    <row r="56" spans="1:22" ht="21.75" customHeight="1">
      <c r="A56" s="87"/>
      <c r="B56" s="7" t="s">
        <v>13</v>
      </c>
      <c r="C56" s="3"/>
      <c r="D56" s="3"/>
      <c r="E56" s="4">
        <f t="shared" si="1"/>
        <v>0</v>
      </c>
      <c r="F56" s="3"/>
      <c r="G56" s="3"/>
      <c r="H56" s="3"/>
      <c r="I56" s="3"/>
      <c r="J56" s="3"/>
      <c r="K56" s="3"/>
      <c r="L56" s="3"/>
      <c r="M56" s="5">
        <f t="shared" si="2"/>
        <v>0</v>
      </c>
      <c r="N56" s="28" t="e">
        <f t="shared" si="3"/>
        <v>#DIV/0!</v>
      </c>
      <c r="O56" s="7"/>
      <c r="P56" s="7"/>
      <c r="Q56" s="7"/>
      <c r="R56" s="7"/>
      <c r="S56" s="3"/>
      <c r="T56" s="37">
        <f t="shared" si="0"/>
        <v>0</v>
      </c>
      <c r="U56" s="28" t="e">
        <f t="shared" si="4"/>
        <v>#DIV/0!</v>
      </c>
      <c r="V56" s="59">
        <f t="shared" si="5"/>
        <v>0</v>
      </c>
    </row>
    <row r="57" spans="1:22" ht="21.75" customHeight="1">
      <c r="A57" s="87"/>
      <c r="B57" s="7" t="s">
        <v>14</v>
      </c>
      <c r="C57" s="3"/>
      <c r="D57" s="3"/>
      <c r="E57" s="4">
        <f t="shared" si="1"/>
        <v>0</v>
      </c>
      <c r="F57" s="3"/>
      <c r="G57" s="3"/>
      <c r="H57" s="3"/>
      <c r="I57" s="3"/>
      <c r="J57" s="3"/>
      <c r="K57" s="3"/>
      <c r="L57" s="3"/>
      <c r="M57" s="5">
        <f t="shared" si="2"/>
        <v>0</v>
      </c>
      <c r="N57" s="28" t="e">
        <f t="shared" si="3"/>
        <v>#DIV/0!</v>
      </c>
      <c r="O57" s="7"/>
      <c r="P57" s="7"/>
      <c r="Q57" s="7"/>
      <c r="R57" s="7"/>
      <c r="S57" s="3"/>
      <c r="T57" s="37">
        <f t="shared" si="0"/>
        <v>0</v>
      </c>
      <c r="U57" s="28" t="e">
        <f t="shared" si="4"/>
        <v>#DIV/0!</v>
      </c>
      <c r="V57" s="59">
        <f t="shared" si="5"/>
        <v>0</v>
      </c>
    </row>
    <row r="58" spans="1:22" ht="21.75" customHeight="1">
      <c r="A58" s="87">
        <v>17</v>
      </c>
      <c r="B58" s="7" t="s">
        <v>12</v>
      </c>
      <c r="C58" s="3"/>
      <c r="D58" s="3"/>
      <c r="E58" s="4">
        <f t="shared" si="1"/>
        <v>0</v>
      </c>
      <c r="F58" s="3"/>
      <c r="G58" s="3"/>
      <c r="H58" s="3"/>
      <c r="I58" s="3"/>
      <c r="J58" s="3"/>
      <c r="K58" s="3"/>
      <c r="L58" s="3"/>
      <c r="M58" s="5">
        <f t="shared" si="2"/>
        <v>0</v>
      </c>
      <c r="N58" s="28" t="e">
        <f t="shared" si="3"/>
        <v>#DIV/0!</v>
      </c>
      <c r="O58" s="7"/>
      <c r="P58" s="7"/>
      <c r="Q58" s="7"/>
      <c r="R58" s="7"/>
      <c r="S58" s="3"/>
      <c r="T58" s="37">
        <f t="shared" si="0"/>
        <v>0</v>
      </c>
      <c r="U58" s="28" t="e">
        <f t="shared" si="4"/>
        <v>#DIV/0!</v>
      </c>
      <c r="V58" s="59">
        <f t="shared" si="5"/>
        <v>0</v>
      </c>
    </row>
    <row r="59" spans="1:22" ht="21.75" customHeight="1">
      <c r="A59" s="87"/>
      <c r="B59" s="7" t="s">
        <v>13</v>
      </c>
      <c r="C59" s="3"/>
      <c r="D59" s="3"/>
      <c r="E59" s="4">
        <f t="shared" si="1"/>
        <v>0</v>
      </c>
      <c r="F59" s="3"/>
      <c r="G59" s="3"/>
      <c r="H59" s="3"/>
      <c r="I59" s="3"/>
      <c r="J59" s="3"/>
      <c r="K59" s="3"/>
      <c r="L59" s="3"/>
      <c r="M59" s="5">
        <f t="shared" si="2"/>
        <v>0</v>
      </c>
      <c r="N59" s="28" t="e">
        <f t="shared" si="3"/>
        <v>#DIV/0!</v>
      </c>
      <c r="O59" s="7"/>
      <c r="P59" s="7"/>
      <c r="Q59" s="7"/>
      <c r="R59" s="7"/>
      <c r="S59" s="3"/>
      <c r="T59" s="37">
        <f t="shared" si="0"/>
        <v>0</v>
      </c>
      <c r="U59" s="28" t="e">
        <f t="shared" si="4"/>
        <v>#DIV/0!</v>
      </c>
      <c r="V59" s="59">
        <f t="shared" si="5"/>
        <v>0</v>
      </c>
    </row>
    <row r="60" spans="1:22" ht="21.75" customHeight="1">
      <c r="A60" s="87"/>
      <c r="B60" s="7" t="s">
        <v>14</v>
      </c>
      <c r="C60" s="3"/>
      <c r="D60" s="3"/>
      <c r="E60" s="4">
        <f t="shared" si="1"/>
        <v>0</v>
      </c>
      <c r="F60" s="3"/>
      <c r="G60" s="3"/>
      <c r="H60" s="3"/>
      <c r="I60" s="3"/>
      <c r="J60" s="3"/>
      <c r="K60" s="3"/>
      <c r="L60" s="3"/>
      <c r="M60" s="5">
        <f t="shared" si="2"/>
        <v>0</v>
      </c>
      <c r="N60" s="28" t="e">
        <f t="shared" si="3"/>
        <v>#DIV/0!</v>
      </c>
      <c r="O60" s="7"/>
      <c r="P60" s="7"/>
      <c r="Q60" s="7"/>
      <c r="R60" s="7"/>
      <c r="S60" s="3"/>
      <c r="T60" s="37">
        <f t="shared" si="0"/>
        <v>0</v>
      </c>
      <c r="U60" s="28" t="e">
        <f t="shared" si="4"/>
        <v>#DIV/0!</v>
      </c>
      <c r="V60" s="59">
        <f t="shared" si="5"/>
        <v>0</v>
      </c>
    </row>
    <row r="61" spans="1:22" ht="21.75" customHeight="1">
      <c r="A61" s="87">
        <v>18</v>
      </c>
      <c r="B61" s="7" t="s">
        <v>12</v>
      </c>
      <c r="C61" s="3"/>
      <c r="D61" s="3"/>
      <c r="E61" s="4">
        <f t="shared" si="1"/>
        <v>0</v>
      </c>
      <c r="F61" s="3"/>
      <c r="G61" s="3"/>
      <c r="H61" s="3"/>
      <c r="I61" s="3"/>
      <c r="J61" s="3"/>
      <c r="K61" s="3"/>
      <c r="L61" s="3"/>
      <c r="M61" s="5">
        <f t="shared" si="2"/>
        <v>0</v>
      </c>
      <c r="N61" s="28" t="e">
        <f t="shared" si="3"/>
        <v>#DIV/0!</v>
      </c>
      <c r="O61" s="7"/>
      <c r="P61" s="7"/>
      <c r="Q61" s="7"/>
      <c r="R61" s="7"/>
      <c r="S61" s="3"/>
      <c r="T61" s="37">
        <f t="shared" si="0"/>
        <v>0</v>
      </c>
      <c r="U61" s="28" t="e">
        <f t="shared" si="4"/>
        <v>#DIV/0!</v>
      </c>
      <c r="V61" s="59">
        <f t="shared" si="5"/>
        <v>0</v>
      </c>
    </row>
    <row r="62" spans="1:22" ht="21.75" customHeight="1">
      <c r="A62" s="87"/>
      <c r="B62" s="7" t="s">
        <v>13</v>
      </c>
      <c r="C62" s="3"/>
      <c r="D62" s="3"/>
      <c r="E62" s="4">
        <f t="shared" si="1"/>
        <v>0</v>
      </c>
      <c r="F62" s="3"/>
      <c r="G62" s="3"/>
      <c r="H62" s="3"/>
      <c r="I62" s="3"/>
      <c r="J62" s="3"/>
      <c r="K62" s="3"/>
      <c r="L62" s="3"/>
      <c r="M62" s="5">
        <f t="shared" si="2"/>
        <v>0</v>
      </c>
      <c r="N62" s="28" t="e">
        <f t="shared" si="3"/>
        <v>#DIV/0!</v>
      </c>
      <c r="O62" s="7"/>
      <c r="P62" s="7"/>
      <c r="Q62" s="7"/>
      <c r="R62" s="7"/>
      <c r="S62" s="3"/>
      <c r="T62" s="37">
        <f t="shared" si="0"/>
        <v>0</v>
      </c>
      <c r="U62" s="28" t="e">
        <f t="shared" si="4"/>
        <v>#DIV/0!</v>
      </c>
      <c r="V62" s="59">
        <f t="shared" si="5"/>
        <v>0</v>
      </c>
    </row>
    <row r="63" spans="1:22" ht="21.75" customHeight="1">
      <c r="A63" s="87"/>
      <c r="B63" s="7" t="s">
        <v>14</v>
      </c>
      <c r="C63" s="3"/>
      <c r="D63" s="3"/>
      <c r="E63" s="4">
        <f t="shared" si="1"/>
        <v>0</v>
      </c>
      <c r="F63" s="3"/>
      <c r="G63" s="3"/>
      <c r="H63" s="3"/>
      <c r="I63" s="3"/>
      <c r="J63" s="3"/>
      <c r="K63" s="3"/>
      <c r="L63" s="3"/>
      <c r="M63" s="5">
        <f t="shared" si="2"/>
        <v>0</v>
      </c>
      <c r="N63" s="28" t="e">
        <f t="shared" si="3"/>
        <v>#DIV/0!</v>
      </c>
      <c r="O63" s="7"/>
      <c r="P63" s="7"/>
      <c r="Q63" s="7"/>
      <c r="R63" s="7"/>
      <c r="S63" s="3"/>
      <c r="T63" s="37">
        <f t="shared" si="0"/>
        <v>0</v>
      </c>
      <c r="U63" s="28" t="e">
        <f t="shared" si="4"/>
        <v>#DIV/0!</v>
      </c>
      <c r="V63" s="59">
        <f t="shared" si="5"/>
        <v>0</v>
      </c>
    </row>
    <row r="64" spans="1:22" ht="21.75" customHeight="1">
      <c r="A64" s="87">
        <v>19</v>
      </c>
      <c r="B64" s="7" t="s">
        <v>12</v>
      </c>
      <c r="C64" s="3"/>
      <c r="D64" s="3"/>
      <c r="E64" s="4">
        <f t="shared" si="1"/>
        <v>0</v>
      </c>
      <c r="F64" s="3"/>
      <c r="G64" s="3"/>
      <c r="H64" s="3"/>
      <c r="I64" s="3"/>
      <c r="J64" s="3"/>
      <c r="K64" s="3"/>
      <c r="L64" s="3"/>
      <c r="M64" s="5">
        <f t="shared" si="2"/>
        <v>0</v>
      </c>
      <c r="N64" s="28" t="e">
        <f t="shared" si="3"/>
        <v>#DIV/0!</v>
      </c>
      <c r="O64" s="7"/>
      <c r="P64" s="7"/>
      <c r="Q64" s="7"/>
      <c r="R64" s="7"/>
      <c r="S64" s="3"/>
      <c r="T64" s="37">
        <f t="shared" si="0"/>
        <v>0</v>
      </c>
      <c r="U64" s="28" t="e">
        <f t="shared" si="4"/>
        <v>#DIV/0!</v>
      </c>
      <c r="V64" s="59">
        <f t="shared" si="5"/>
        <v>0</v>
      </c>
    </row>
    <row r="65" spans="1:22" ht="21.75" customHeight="1">
      <c r="A65" s="87"/>
      <c r="B65" s="7" t="s">
        <v>13</v>
      </c>
      <c r="C65" s="3"/>
      <c r="D65" s="3"/>
      <c r="E65" s="4">
        <f t="shared" si="1"/>
        <v>0</v>
      </c>
      <c r="F65" s="3"/>
      <c r="G65" s="3"/>
      <c r="H65" s="3"/>
      <c r="I65" s="3"/>
      <c r="J65" s="3"/>
      <c r="K65" s="3"/>
      <c r="L65" s="3"/>
      <c r="M65" s="5">
        <f t="shared" si="2"/>
        <v>0</v>
      </c>
      <c r="N65" s="28" t="e">
        <f t="shared" si="3"/>
        <v>#DIV/0!</v>
      </c>
      <c r="O65" s="7"/>
      <c r="P65" s="7"/>
      <c r="Q65" s="7"/>
      <c r="R65" s="7"/>
      <c r="S65" s="3"/>
      <c r="T65" s="37">
        <f t="shared" si="0"/>
        <v>0</v>
      </c>
      <c r="U65" s="28" t="e">
        <f t="shared" si="4"/>
        <v>#DIV/0!</v>
      </c>
      <c r="V65" s="59">
        <f t="shared" si="5"/>
        <v>0</v>
      </c>
    </row>
    <row r="66" spans="1:22" ht="21.75" customHeight="1">
      <c r="A66" s="87"/>
      <c r="B66" s="7" t="s">
        <v>14</v>
      </c>
      <c r="C66" s="3"/>
      <c r="D66" s="3"/>
      <c r="E66" s="4">
        <f t="shared" si="1"/>
        <v>0</v>
      </c>
      <c r="F66" s="3"/>
      <c r="G66" s="3"/>
      <c r="H66" s="3"/>
      <c r="I66" s="3"/>
      <c r="J66" s="3"/>
      <c r="K66" s="3"/>
      <c r="L66" s="3"/>
      <c r="M66" s="5">
        <f t="shared" si="2"/>
        <v>0</v>
      </c>
      <c r="N66" s="28" t="e">
        <f t="shared" si="3"/>
        <v>#DIV/0!</v>
      </c>
      <c r="O66" s="7"/>
      <c r="P66" s="7"/>
      <c r="Q66" s="7"/>
      <c r="R66" s="7"/>
      <c r="S66" s="3"/>
      <c r="T66" s="37">
        <f t="shared" si="0"/>
        <v>0</v>
      </c>
      <c r="U66" s="28" t="e">
        <f t="shared" si="4"/>
        <v>#DIV/0!</v>
      </c>
      <c r="V66" s="59">
        <f t="shared" si="5"/>
        <v>0</v>
      </c>
    </row>
    <row r="67" spans="1:22" ht="21.75" customHeight="1">
      <c r="A67" s="87">
        <v>20</v>
      </c>
      <c r="B67" s="7" t="s">
        <v>12</v>
      </c>
      <c r="C67" s="3"/>
      <c r="D67" s="3"/>
      <c r="E67" s="4">
        <f t="shared" si="1"/>
        <v>0</v>
      </c>
      <c r="F67" s="3"/>
      <c r="G67" s="3"/>
      <c r="H67" s="3"/>
      <c r="I67" s="3"/>
      <c r="J67" s="3"/>
      <c r="K67" s="3"/>
      <c r="L67" s="3"/>
      <c r="M67" s="5">
        <f t="shared" si="2"/>
        <v>0</v>
      </c>
      <c r="N67" s="28" t="e">
        <f t="shared" si="3"/>
        <v>#DIV/0!</v>
      </c>
      <c r="O67" s="7"/>
      <c r="P67" s="7"/>
      <c r="Q67" s="7"/>
      <c r="R67" s="7"/>
      <c r="S67" s="3"/>
      <c r="T67" s="37">
        <f t="shared" si="0"/>
        <v>0</v>
      </c>
      <c r="U67" s="28" t="e">
        <f t="shared" si="4"/>
        <v>#DIV/0!</v>
      </c>
      <c r="V67" s="59">
        <f t="shared" si="5"/>
        <v>0</v>
      </c>
    </row>
    <row r="68" spans="1:22" ht="21.75" customHeight="1">
      <c r="A68" s="87"/>
      <c r="B68" s="7" t="s">
        <v>13</v>
      </c>
      <c r="C68" s="3"/>
      <c r="D68" s="3"/>
      <c r="E68" s="4">
        <f t="shared" si="1"/>
        <v>0</v>
      </c>
      <c r="F68" s="3"/>
      <c r="G68" s="3"/>
      <c r="H68" s="3"/>
      <c r="I68" s="3"/>
      <c r="J68" s="3"/>
      <c r="K68" s="3"/>
      <c r="L68" s="3"/>
      <c r="M68" s="5">
        <f t="shared" si="2"/>
        <v>0</v>
      </c>
      <c r="N68" s="28" t="e">
        <f t="shared" si="3"/>
        <v>#DIV/0!</v>
      </c>
      <c r="O68" s="7"/>
      <c r="P68" s="7"/>
      <c r="Q68" s="7"/>
      <c r="R68" s="7"/>
      <c r="S68" s="3"/>
      <c r="T68" s="37">
        <f t="shared" si="0"/>
        <v>0</v>
      </c>
      <c r="U68" s="28" t="e">
        <f t="shared" si="4"/>
        <v>#DIV/0!</v>
      </c>
      <c r="V68" s="59">
        <f t="shared" si="5"/>
        <v>0</v>
      </c>
    </row>
    <row r="69" spans="1:22" ht="21.75" customHeight="1">
      <c r="A69" s="87"/>
      <c r="B69" s="7" t="s">
        <v>14</v>
      </c>
      <c r="C69" s="3"/>
      <c r="D69" s="3"/>
      <c r="E69" s="4">
        <f t="shared" si="1"/>
        <v>0</v>
      </c>
      <c r="F69" s="3"/>
      <c r="G69" s="3"/>
      <c r="H69" s="3"/>
      <c r="I69" s="3"/>
      <c r="J69" s="3"/>
      <c r="K69" s="3"/>
      <c r="L69" s="3"/>
      <c r="M69" s="5">
        <f t="shared" si="2"/>
        <v>0</v>
      </c>
      <c r="N69" s="28" t="e">
        <f t="shared" si="3"/>
        <v>#DIV/0!</v>
      </c>
      <c r="O69" s="7"/>
      <c r="P69" s="7"/>
      <c r="Q69" s="7"/>
      <c r="R69" s="7"/>
      <c r="S69" s="3"/>
      <c r="T69" s="37">
        <f t="shared" si="0"/>
        <v>0</v>
      </c>
      <c r="U69" s="28" t="e">
        <f t="shared" si="4"/>
        <v>#DIV/0!</v>
      </c>
      <c r="V69" s="59">
        <f t="shared" si="5"/>
        <v>0</v>
      </c>
    </row>
    <row r="70" spans="1:22" ht="21.75" customHeight="1">
      <c r="A70" s="87">
        <v>21</v>
      </c>
      <c r="B70" s="7" t="s">
        <v>12</v>
      </c>
      <c r="C70" s="3"/>
      <c r="D70" s="3"/>
      <c r="E70" s="4">
        <f t="shared" si="1"/>
        <v>0</v>
      </c>
      <c r="F70" s="3"/>
      <c r="G70" s="3"/>
      <c r="H70" s="3"/>
      <c r="I70" s="3"/>
      <c r="J70" s="3"/>
      <c r="K70" s="3"/>
      <c r="L70" s="3"/>
      <c r="M70" s="5">
        <f t="shared" si="2"/>
        <v>0</v>
      </c>
      <c r="N70" s="28" t="e">
        <f t="shared" si="3"/>
        <v>#DIV/0!</v>
      </c>
      <c r="O70" s="7"/>
      <c r="P70" s="7"/>
      <c r="Q70" s="7"/>
      <c r="R70" s="7"/>
      <c r="S70" s="3"/>
      <c r="T70" s="37">
        <f t="shared" si="0"/>
        <v>0</v>
      </c>
      <c r="U70" s="28" t="e">
        <f t="shared" si="4"/>
        <v>#DIV/0!</v>
      </c>
      <c r="V70" s="59">
        <f t="shared" si="5"/>
        <v>0</v>
      </c>
    </row>
    <row r="71" spans="1:22" ht="21.75" customHeight="1">
      <c r="A71" s="87"/>
      <c r="B71" s="7" t="s">
        <v>13</v>
      </c>
      <c r="C71" s="3"/>
      <c r="D71" s="3"/>
      <c r="E71" s="4">
        <f t="shared" si="1"/>
        <v>0</v>
      </c>
      <c r="F71" s="3"/>
      <c r="G71" s="3"/>
      <c r="H71" s="3"/>
      <c r="I71" s="3"/>
      <c r="J71" s="3"/>
      <c r="K71" s="3"/>
      <c r="L71" s="3"/>
      <c r="M71" s="5">
        <f t="shared" si="2"/>
        <v>0</v>
      </c>
      <c r="N71" s="28" t="e">
        <f t="shared" si="3"/>
        <v>#DIV/0!</v>
      </c>
      <c r="O71" s="7"/>
      <c r="P71" s="7"/>
      <c r="Q71" s="7"/>
      <c r="R71" s="7"/>
      <c r="S71" s="3"/>
      <c r="T71" s="37">
        <f t="shared" si="0"/>
        <v>0</v>
      </c>
      <c r="U71" s="28" t="e">
        <f t="shared" si="4"/>
        <v>#DIV/0!</v>
      </c>
      <c r="V71" s="59">
        <f t="shared" si="5"/>
        <v>0</v>
      </c>
    </row>
    <row r="72" spans="1:22" ht="21.75" customHeight="1">
      <c r="A72" s="87"/>
      <c r="B72" s="7" t="s">
        <v>14</v>
      </c>
      <c r="C72" s="3"/>
      <c r="D72" s="3"/>
      <c r="E72" s="4">
        <f t="shared" si="1"/>
        <v>0</v>
      </c>
      <c r="F72" s="3"/>
      <c r="G72" s="3"/>
      <c r="H72" s="3"/>
      <c r="I72" s="3"/>
      <c r="J72" s="3"/>
      <c r="K72" s="3"/>
      <c r="L72" s="3"/>
      <c r="M72" s="5">
        <f t="shared" si="2"/>
        <v>0</v>
      </c>
      <c r="N72" s="28" t="e">
        <f t="shared" si="3"/>
        <v>#DIV/0!</v>
      </c>
      <c r="O72" s="7"/>
      <c r="P72" s="7"/>
      <c r="Q72" s="7"/>
      <c r="R72" s="7"/>
      <c r="S72" s="3"/>
      <c r="T72" s="37">
        <f t="shared" si="0"/>
        <v>0</v>
      </c>
      <c r="U72" s="28" t="e">
        <f t="shared" si="4"/>
        <v>#DIV/0!</v>
      </c>
      <c r="V72" s="59">
        <f t="shared" si="5"/>
        <v>0</v>
      </c>
    </row>
    <row r="73" spans="1:22" ht="21.75" customHeight="1">
      <c r="A73" s="87">
        <v>22</v>
      </c>
      <c r="B73" s="7" t="s">
        <v>12</v>
      </c>
      <c r="C73" s="3"/>
      <c r="D73" s="3"/>
      <c r="E73" s="4">
        <f t="shared" si="1"/>
        <v>0</v>
      </c>
      <c r="F73" s="3"/>
      <c r="G73" s="3"/>
      <c r="H73" s="3"/>
      <c r="I73" s="3"/>
      <c r="J73" s="3"/>
      <c r="K73" s="3"/>
      <c r="L73" s="3"/>
      <c r="M73" s="5">
        <f t="shared" si="2"/>
        <v>0</v>
      </c>
      <c r="N73" s="28" t="e">
        <f t="shared" si="3"/>
        <v>#DIV/0!</v>
      </c>
      <c r="O73" s="7"/>
      <c r="P73" s="7"/>
      <c r="Q73" s="7"/>
      <c r="R73" s="7"/>
      <c r="S73" s="3"/>
      <c r="T73" s="37">
        <f t="shared" si="0"/>
        <v>0</v>
      </c>
      <c r="U73" s="28" t="e">
        <f t="shared" si="4"/>
        <v>#DIV/0!</v>
      </c>
      <c r="V73" s="59">
        <f t="shared" si="5"/>
        <v>0</v>
      </c>
    </row>
    <row r="74" spans="1:22" ht="21.75" customHeight="1">
      <c r="A74" s="87"/>
      <c r="B74" s="7" t="s">
        <v>13</v>
      </c>
      <c r="C74" s="3"/>
      <c r="D74" s="3"/>
      <c r="E74" s="4">
        <f t="shared" si="1"/>
        <v>0</v>
      </c>
      <c r="F74" s="3"/>
      <c r="G74" s="3"/>
      <c r="H74" s="3"/>
      <c r="I74" s="3"/>
      <c r="J74" s="3"/>
      <c r="K74" s="3"/>
      <c r="L74" s="3"/>
      <c r="M74" s="5">
        <f t="shared" si="2"/>
        <v>0</v>
      </c>
      <c r="N74" s="28" t="e">
        <f t="shared" si="3"/>
        <v>#DIV/0!</v>
      </c>
      <c r="O74" s="7"/>
      <c r="P74" s="7"/>
      <c r="Q74" s="7"/>
      <c r="R74" s="7"/>
      <c r="S74" s="3"/>
      <c r="T74" s="37">
        <f t="shared" ref="T74:T106" si="6">SUM(O74:S74)</f>
        <v>0</v>
      </c>
      <c r="U74" s="28" t="e">
        <f t="shared" si="4"/>
        <v>#DIV/0!</v>
      </c>
      <c r="V74" s="59">
        <f t="shared" si="5"/>
        <v>0</v>
      </c>
    </row>
    <row r="75" spans="1:22" ht="21.75" customHeight="1">
      <c r="A75" s="87"/>
      <c r="B75" s="7" t="s">
        <v>14</v>
      </c>
      <c r="C75" s="3"/>
      <c r="D75" s="3"/>
      <c r="E75" s="4">
        <f t="shared" ref="E75:E102" si="7">((($B$3*C75)+(12*D75))*$E$4)/7</f>
        <v>0</v>
      </c>
      <c r="F75" s="3"/>
      <c r="G75" s="3"/>
      <c r="H75" s="3"/>
      <c r="I75" s="3"/>
      <c r="J75" s="3"/>
      <c r="K75" s="3"/>
      <c r="L75" s="3"/>
      <c r="M75" s="5">
        <f t="shared" ref="M75:M106" si="8">(F75+G75+H75+L75)-E75</f>
        <v>0</v>
      </c>
      <c r="N75" s="28" t="e">
        <f t="shared" ref="N75:N105" si="9">(((C75*4.5)+(12*D75))*$E$4)/((F75+G75+H75+I75+J75+K75+L75)*7)*100</f>
        <v>#DIV/0!</v>
      </c>
      <c r="O75" s="7"/>
      <c r="P75" s="7"/>
      <c r="Q75" s="7"/>
      <c r="R75" s="7"/>
      <c r="S75" s="3"/>
      <c r="T75" s="37">
        <f t="shared" si="6"/>
        <v>0</v>
      </c>
      <c r="U75" s="28" t="e">
        <f t="shared" ref="U75:U106" si="10">((((O75*1.5+(P75*3.5)+(Q75*5.5)+(R75*7.5)+(S75*12)))/3)/((F75+G75+H75+I75+J75+K75+L75)*7))*100</f>
        <v>#DIV/0!</v>
      </c>
      <c r="V75" s="59">
        <f t="shared" ref="V75:V106" si="11">C75+D75-T75</f>
        <v>0</v>
      </c>
    </row>
    <row r="76" spans="1:22" ht="21.75" customHeight="1">
      <c r="A76" s="87">
        <v>23</v>
      </c>
      <c r="B76" s="7" t="s">
        <v>12</v>
      </c>
      <c r="C76" s="3"/>
      <c r="D76" s="3"/>
      <c r="E76" s="4">
        <f t="shared" si="7"/>
        <v>0</v>
      </c>
      <c r="F76" s="3"/>
      <c r="G76" s="3"/>
      <c r="H76" s="3"/>
      <c r="I76" s="3"/>
      <c r="J76" s="3"/>
      <c r="K76" s="3"/>
      <c r="L76" s="3"/>
      <c r="M76" s="5">
        <f t="shared" si="8"/>
        <v>0</v>
      </c>
      <c r="N76" s="28" t="e">
        <f t="shared" si="9"/>
        <v>#DIV/0!</v>
      </c>
      <c r="O76" s="7"/>
      <c r="P76" s="7"/>
      <c r="Q76" s="7"/>
      <c r="R76" s="7"/>
      <c r="S76" s="3"/>
      <c r="T76" s="37">
        <f t="shared" si="6"/>
        <v>0</v>
      </c>
      <c r="U76" s="28" t="e">
        <f t="shared" si="10"/>
        <v>#DIV/0!</v>
      </c>
      <c r="V76" s="59">
        <f t="shared" si="11"/>
        <v>0</v>
      </c>
    </row>
    <row r="77" spans="1:22" ht="21.75" customHeight="1">
      <c r="A77" s="87"/>
      <c r="B77" s="7" t="s">
        <v>13</v>
      </c>
      <c r="C77" s="3"/>
      <c r="D77" s="3"/>
      <c r="E77" s="4">
        <f t="shared" si="7"/>
        <v>0</v>
      </c>
      <c r="F77" s="3"/>
      <c r="G77" s="3"/>
      <c r="H77" s="3"/>
      <c r="I77" s="3"/>
      <c r="J77" s="3"/>
      <c r="K77" s="3"/>
      <c r="L77" s="3"/>
      <c r="M77" s="5">
        <f t="shared" si="8"/>
        <v>0</v>
      </c>
      <c r="N77" s="28" t="e">
        <f t="shared" si="9"/>
        <v>#DIV/0!</v>
      </c>
      <c r="O77" s="7"/>
      <c r="P77" s="7"/>
      <c r="Q77" s="7"/>
      <c r="R77" s="7"/>
      <c r="S77" s="3"/>
      <c r="T77" s="37">
        <f t="shared" si="6"/>
        <v>0</v>
      </c>
      <c r="U77" s="28" t="e">
        <f t="shared" si="10"/>
        <v>#DIV/0!</v>
      </c>
      <c r="V77" s="59">
        <f t="shared" si="11"/>
        <v>0</v>
      </c>
    </row>
    <row r="78" spans="1:22" ht="21.75" customHeight="1">
      <c r="A78" s="87"/>
      <c r="B78" s="7" t="s">
        <v>14</v>
      </c>
      <c r="C78" s="3"/>
      <c r="D78" s="3"/>
      <c r="E78" s="4">
        <f t="shared" si="7"/>
        <v>0</v>
      </c>
      <c r="F78" s="3"/>
      <c r="G78" s="3"/>
      <c r="H78" s="3"/>
      <c r="I78" s="3"/>
      <c r="J78" s="3"/>
      <c r="K78" s="3"/>
      <c r="L78" s="3"/>
      <c r="M78" s="5">
        <f t="shared" si="8"/>
        <v>0</v>
      </c>
      <c r="N78" s="28" t="e">
        <f t="shared" si="9"/>
        <v>#DIV/0!</v>
      </c>
      <c r="O78" s="7"/>
      <c r="P78" s="7"/>
      <c r="Q78" s="7"/>
      <c r="R78" s="7"/>
      <c r="S78" s="3"/>
      <c r="T78" s="37">
        <f t="shared" si="6"/>
        <v>0</v>
      </c>
      <c r="U78" s="28" t="e">
        <f t="shared" si="10"/>
        <v>#DIV/0!</v>
      </c>
      <c r="V78" s="59">
        <f t="shared" si="11"/>
        <v>0</v>
      </c>
    </row>
    <row r="79" spans="1:22" ht="21.75" customHeight="1">
      <c r="A79" s="87">
        <v>24</v>
      </c>
      <c r="B79" s="7" t="s">
        <v>12</v>
      </c>
      <c r="C79" s="3"/>
      <c r="D79" s="3"/>
      <c r="E79" s="4">
        <f t="shared" si="7"/>
        <v>0</v>
      </c>
      <c r="F79" s="3"/>
      <c r="G79" s="3"/>
      <c r="H79" s="3"/>
      <c r="I79" s="3"/>
      <c r="J79" s="3"/>
      <c r="K79" s="3"/>
      <c r="L79" s="3"/>
      <c r="M79" s="5">
        <f t="shared" si="8"/>
        <v>0</v>
      </c>
      <c r="N79" s="28" t="e">
        <f t="shared" si="9"/>
        <v>#DIV/0!</v>
      </c>
      <c r="O79" s="7"/>
      <c r="P79" s="7"/>
      <c r="Q79" s="7"/>
      <c r="R79" s="7"/>
      <c r="S79" s="3"/>
      <c r="T79" s="37">
        <f t="shared" si="6"/>
        <v>0</v>
      </c>
      <c r="U79" s="28" t="e">
        <f t="shared" si="10"/>
        <v>#DIV/0!</v>
      </c>
      <c r="V79" s="59">
        <f t="shared" si="11"/>
        <v>0</v>
      </c>
    </row>
    <row r="80" spans="1:22" ht="21.75" customHeight="1">
      <c r="A80" s="87"/>
      <c r="B80" s="7" t="s">
        <v>13</v>
      </c>
      <c r="C80" s="3"/>
      <c r="D80" s="3"/>
      <c r="E80" s="4">
        <f t="shared" si="7"/>
        <v>0</v>
      </c>
      <c r="F80" s="3"/>
      <c r="G80" s="3"/>
      <c r="H80" s="3"/>
      <c r="I80" s="3"/>
      <c r="J80" s="3"/>
      <c r="K80" s="3"/>
      <c r="L80" s="3"/>
      <c r="M80" s="5">
        <f t="shared" si="8"/>
        <v>0</v>
      </c>
      <c r="N80" s="28" t="e">
        <f t="shared" si="9"/>
        <v>#DIV/0!</v>
      </c>
      <c r="O80" s="7"/>
      <c r="P80" s="7"/>
      <c r="Q80" s="7"/>
      <c r="R80" s="7"/>
      <c r="S80" s="3"/>
      <c r="T80" s="37">
        <f t="shared" si="6"/>
        <v>0</v>
      </c>
      <c r="U80" s="28" t="e">
        <f t="shared" si="10"/>
        <v>#DIV/0!</v>
      </c>
      <c r="V80" s="59">
        <f t="shared" si="11"/>
        <v>0</v>
      </c>
    </row>
    <row r="81" spans="1:22" ht="21.75" customHeight="1">
      <c r="A81" s="87"/>
      <c r="B81" s="7" t="s">
        <v>14</v>
      </c>
      <c r="C81" s="3"/>
      <c r="D81" s="3"/>
      <c r="E81" s="4">
        <f t="shared" si="7"/>
        <v>0</v>
      </c>
      <c r="F81" s="3"/>
      <c r="G81" s="3"/>
      <c r="H81" s="3"/>
      <c r="I81" s="3"/>
      <c r="J81" s="3"/>
      <c r="K81" s="3"/>
      <c r="L81" s="3"/>
      <c r="M81" s="5">
        <f t="shared" si="8"/>
        <v>0</v>
      </c>
      <c r="N81" s="28" t="e">
        <f t="shared" si="9"/>
        <v>#DIV/0!</v>
      </c>
      <c r="O81" s="7"/>
      <c r="P81" s="7"/>
      <c r="Q81" s="7"/>
      <c r="R81" s="7"/>
      <c r="S81" s="3"/>
      <c r="T81" s="37">
        <f t="shared" si="6"/>
        <v>0</v>
      </c>
      <c r="U81" s="28" t="e">
        <f t="shared" si="10"/>
        <v>#DIV/0!</v>
      </c>
      <c r="V81" s="59">
        <f t="shared" si="11"/>
        <v>0</v>
      </c>
    </row>
    <row r="82" spans="1:22" ht="21.75" customHeight="1">
      <c r="A82" s="87">
        <v>25</v>
      </c>
      <c r="B82" s="7" t="s">
        <v>12</v>
      </c>
      <c r="C82" s="3"/>
      <c r="D82" s="3"/>
      <c r="E82" s="4">
        <f t="shared" si="7"/>
        <v>0</v>
      </c>
      <c r="F82" s="3"/>
      <c r="G82" s="3"/>
      <c r="H82" s="3"/>
      <c r="I82" s="3"/>
      <c r="J82" s="3"/>
      <c r="K82" s="3"/>
      <c r="L82" s="3"/>
      <c r="M82" s="5">
        <f t="shared" si="8"/>
        <v>0</v>
      </c>
      <c r="N82" s="28" t="e">
        <f t="shared" si="9"/>
        <v>#DIV/0!</v>
      </c>
      <c r="O82" s="7"/>
      <c r="P82" s="7"/>
      <c r="Q82" s="7"/>
      <c r="R82" s="7"/>
      <c r="S82" s="3"/>
      <c r="T82" s="37">
        <f t="shared" si="6"/>
        <v>0</v>
      </c>
      <c r="U82" s="28" t="e">
        <f t="shared" si="10"/>
        <v>#DIV/0!</v>
      </c>
      <c r="V82" s="59">
        <f>C82+D82-T82</f>
        <v>0</v>
      </c>
    </row>
    <row r="83" spans="1:22" ht="21.75" customHeight="1">
      <c r="A83" s="87"/>
      <c r="B83" s="7" t="s">
        <v>13</v>
      </c>
      <c r="C83" s="3"/>
      <c r="D83" s="3"/>
      <c r="E83" s="4">
        <f t="shared" si="7"/>
        <v>0</v>
      </c>
      <c r="F83" s="3"/>
      <c r="G83" s="3"/>
      <c r="H83" s="3"/>
      <c r="I83" s="3"/>
      <c r="J83" s="3"/>
      <c r="K83" s="3"/>
      <c r="L83" s="3"/>
      <c r="M83" s="5">
        <f t="shared" si="8"/>
        <v>0</v>
      </c>
      <c r="N83" s="28" t="e">
        <f t="shared" si="9"/>
        <v>#DIV/0!</v>
      </c>
      <c r="O83" s="7"/>
      <c r="P83" s="7"/>
      <c r="Q83" s="7"/>
      <c r="R83" s="7"/>
      <c r="S83" s="3"/>
      <c r="T83" s="37">
        <f t="shared" si="6"/>
        <v>0</v>
      </c>
      <c r="U83" s="28" t="e">
        <f t="shared" si="10"/>
        <v>#DIV/0!</v>
      </c>
      <c r="V83" s="59">
        <f t="shared" si="11"/>
        <v>0</v>
      </c>
    </row>
    <row r="84" spans="1:22" ht="21.75" customHeight="1">
      <c r="A84" s="87"/>
      <c r="B84" s="7" t="s">
        <v>14</v>
      </c>
      <c r="C84" s="3"/>
      <c r="D84" s="3"/>
      <c r="E84" s="4">
        <f t="shared" si="7"/>
        <v>0</v>
      </c>
      <c r="F84" s="3"/>
      <c r="G84" s="3"/>
      <c r="H84" s="3"/>
      <c r="I84" s="3"/>
      <c r="J84" s="3"/>
      <c r="K84" s="3"/>
      <c r="L84" s="3"/>
      <c r="M84" s="5">
        <f t="shared" si="8"/>
        <v>0</v>
      </c>
      <c r="N84" s="28" t="e">
        <f t="shared" si="9"/>
        <v>#DIV/0!</v>
      </c>
      <c r="O84" s="7"/>
      <c r="P84" s="7"/>
      <c r="Q84" s="7"/>
      <c r="R84" s="7"/>
      <c r="S84" s="3"/>
      <c r="T84" s="37">
        <f t="shared" si="6"/>
        <v>0</v>
      </c>
      <c r="U84" s="28" t="e">
        <f t="shared" si="10"/>
        <v>#DIV/0!</v>
      </c>
      <c r="V84" s="59">
        <f t="shared" si="11"/>
        <v>0</v>
      </c>
    </row>
    <row r="85" spans="1:22" ht="21.75" customHeight="1">
      <c r="A85" s="87">
        <v>26</v>
      </c>
      <c r="B85" s="7" t="s">
        <v>12</v>
      </c>
      <c r="C85" s="3"/>
      <c r="D85" s="3"/>
      <c r="E85" s="4">
        <f t="shared" si="7"/>
        <v>0</v>
      </c>
      <c r="F85" s="3"/>
      <c r="G85" s="3"/>
      <c r="H85" s="3"/>
      <c r="I85" s="3"/>
      <c r="J85" s="3"/>
      <c r="K85" s="3"/>
      <c r="L85" s="3"/>
      <c r="M85" s="5">
        <f t="shared" si="8"/>
        <v>0</v>
      </c>
      <c r="N85" s="28" t="e">
        <f t="shared" si="9"/>
        <v>#DIV/0!</v>
      </c>
      <c r="O85" s="7"/>
      <c r="P85" s="7"/>
      <c r="Q85" s="7"/>
      <c r="R85" s="7"/>
      <c r="S85" s="3"/>
      <c r="T85" s="37">
        <f t="shared" si="6"/>
        <v>0</v>
      </c>
      <c r="U85" s="28" t="e">
        <f t="shared" si="10"/>
        <v>#DIV/0!</v>
      </c>
      <c r="V85" s="59">
        <f t="shared" si="11"/>
        <v>0</v>
      </c>
    </row>
    <row r="86" spans="1:22" ht="21.75" customHeight="1">
      <c r="A86" s="87"/>
      <c r="B86" s="7" t="s">
        <v>13</v>
      </c>
      <c r="C86" s="3"/>
      <c r="D86" s="3"/>
      <c r="E86" s="4">
        <f t="shared" si="7"/>
        <v>0</v>
      </c>
      <c r="F86" s="3"/>
      <c r="G86" s="3"/>
      <c r="H86" s="3"/>
      <c r="I86" s="3"/>
      <c r="J86" s="3"/>
      <c r="K86" s="3"/>
      <c r="L86" s="3"/>
      <c r="M86" s="5">
        <f t="shared" si="8"/>
        <v>0</v>
      </c>
      <c r="N86" s="28" t="e">
        <f t="shared" si="9"/>
        <v>#DIV/0!</v>
      </c>
      <c r="O86" s="7"/>
      <c r="P86" s="7"/>
      <c r="Q86" s="7"/>
      <c r="R86" s="7"/>
      <c r="S86" s="3"/>
      <c r="T86" s="37">
        <f t="shared" si="6"/>
        <v>0</v>
      </c>
      <c r="U86" s="28" t="e">
        <f t="shared" si="10"/>
        <v>#DIV/0!</v>
      </c>
      <c r="V86" s="59">
        <f t="shared" si="11"/>
        <v>0</v>
      </c>
    </row>
    <row r="87" spans="1:22" ht="21.75" customHeight="1">
      <c r="A87" s="87"/>
      <c r="B87" s="7" t="s">
        <v>14</v>
      </c>
      <c r="C87" s="3"/>
      <c r="D87" s="3"/>
      <c r="E87" s="4">
        <f t="shared" si="7"/>
        <v>0</v>
      </c>
      <c r="F87" s="3"/>
      <c r="G87" s="3"/>
      <c r="H87" s="3"/>
      <c r="I87" s="3"/>
      <c r="J87" s="3"/>
      <c r="K87" s="3"/>
      <c r="L87" s="3"/>
      <c r="M87" s="5">
        <f t="shared" si="8"/>
        <v>0</v>
      </c>
      <c r="N87" s="28" t="e">
        <f t="shared" si="9"/>
        <v>#DIV/0!</v>
      </c>
      <c r="O87" s="7"/>
      <c r="P87" s="7"/>
      <c r="Q87" s="7"/>
      <c r="R87" s="7"/>
      <c r="S87" s="3"/>
      <c r="T87" s="37">
        <f t="shared" si="6"/>
        <v>0</v>
      </c>
      <c r="U87" s="28" t="e">
        <f t="shared" si="10"/>
        <v>#DIV/0!</v>
      </c>
      <c r="V87" s="59">
        <f t="shared" si="11"/>
        <v>0</v>
      </c>
    </row>
    <row r="88" spans="1:22" ht="21.75" customHeight="1">
      <c r="A88" s="87">
        <v>27</v>
      </c>
      <c r="B88" s="7" t="s">
        <v>12</v>
      </c>
      <c r="C88" s="3"/>
      <c r="D88" s="3"/>
      <c r="E88" s="4">
        <f t="shared" si="7"/>
        <v>0</v>
      </c>
      <c r="F88" s="3"/>
      <c r="G88" s="3"/>
      <c r="H88" s="3"/>
      <c r="I88" s="3"/>
      <c r="J88" s="3"/>
      <c r="K88" s="3"/>
      <c r="L88" s="3"/>
      <c r="M88" s="5">
        <f t="shared" si="8"/>
        <v>0</v>
      </c>
      <c r="N88" s="28" t="e">
        <f t="shared" si="9"/>
        <v>#DIV/0!</v>
      </c>
      <c r="O88" s="7"/>
      <c r="P88" s="7"/>
      <c r="Q88" s="7"/>
      <c r="R88" s="7"/>
      <c r="S88" s="3"/>
      <c r="T88" s="37">
        <f t="shared" si="6"/>
        <v>0</v>
      </c>
      <c r="U88" s="28" t="e">
        <f t="shared" si="10"/>
        <v>#DIV/0!</v>
      </c>
      <c r="V88" s="59">
        <f t="shared" si="11"/>
        <v>0</v>
      </c>
    </row>
    <row r="89" spans="1:22" ht="21.75" customHeight="1">
      <c r="A89" s="87"/>
      <c r="B89" s="7" t="s">
        <v>13</v>
      </c>
      <c r="C89" s="3"/>
      <c r="D89" s="3"/>
      <c r="E89" s="4">
        <f t="shared" si="7"/>
        <v>0</v>
      </c>
      <c r="F89" s="3"/>
      <c r="G89" s="3"/>
      <c r="H89" s="3"/>
      <c r="I89" s="3"/>
      <c r="J89" s="3"/>
      <c r="K89" s="3"/>
      <c r="L89" s="3"/>
      <c r="M89" s="5">
        <f t="shared" si="8"/>
        <v>0</v>
      </c>
      <c r="N89" s="28" t="e">
        <f t="shared" si="9"/>
        <v>#DIV/0!</v>
      </c>
      <c r="O89" s="7"/>
      <c r="P89" s="7"/>
      <c r="Q89" s="7"/>
      <c r="R89" s="7"/>
      <c r="S89" s="3"/>
      <c r="T89" s="37">
        <f t="shared" si="6"/>
        <v>0</v>
      </c>
      <c r="U89" s="28" t="e">
        <f t="shared" si="10"/>
        <v>#DIV/0!</v>
      </c>
      <c r="V89" s="59">
        <f t="shared" si="11"/>
        <v>0</v>
      </c>
    </row>
    <row r="90" spans="1:22" ht="21.75" customHeight="1">
      <c r="A90" s="87"/>
      <c r="B90" s="7" t="s">
        <v>14</v>
      </c>
      <c r="C90" s="3"/>
      <c r="D90" s="3"/>
      <c r="E90" s="4">
        <f t="shared" si="7"/>
        <v>0</v>
      </c>
      <c r="F90" s="3"/>
      <c r="G90" s="3"/>
      <c r="H90" s="3"/>
      <c r="I90" s="3"/>
      <c r="J90" s="3"/>
      <c r="K90" s="3"/>
      <c r="L90" s="3"/>
      <c r="M90" s="5">
        <f t="shared" si="8"/>
        <v>0</v>
      </c>
      <c r="N90" s="28" t="e">
        <f t="shared" si="9"/>
        <v>#DIV/0!</v>
      </c>
      <c r="O90" s="7"/>
      <c r="P90" s="7"/>
      <c r="Q90" s="7"/>
      <c r="R90" s="7"/>
      <c r="S90" s="3"/>
      <c r="T90" s="37">
        <f t="shared" si="6"/>
        <v>0</v>
      </c>
      <c r="U90" s="28" t="e">
        <f t="shared" si="10"/>
        <v>#DIV/0!</v>
      </c>
      <c r="V90" s="59">
        <f t="shared" si="11"/>
        <v>0</v>
      </c>
    </row>
    <row r="91" spans="1:22" ht="21.75" customHeight="1">
      <c r="A91" s="87">
        <v>28</v>
      </c>
      <c r="B91" s="7" t="s">
        <v>12</v>
      </c>
      <c r="C91" s="3"/>
      <c r="D91" s="3"/>
      <c r="E91" s="4">
        <f t="shared" si="7"/>
        <v>0</v>
      </c>
      <c r="F91" s="3"/>
      <c r="G91" s="3"/>
      <c r="H91" s="3"/>
      <c r="I91" s="3"/>
      <c r="J91" s="3"/>
      <c r="K91" s="3"/>
      <c r="L91" s="3"/>
      <c r="M91" s="5">
        <f t="shared" si="8"/>
        <v>0</v>
      </c>
      <c r="N91" s="28" t="e">
        <f t="shared" si="9"/>
        <v>#DIV/0!</v>
      </c>
      <c r="O91" s="7"/>
      <c r="P91" s="7"/>
      <c r="Q91" s="7"/>
      <c r="R91" s="7"/>
      <c r="S91" s="3"/>
      <c r="T91" s="37">
        <f t="shared" si="6"/>
        <v>0</v>
      </c>
      <c r="U91" s="28" t="e">
        <f t="shared" si="10"/>
        <v>#DIV/0!</v>
      </c>
      <c r="V91" s="59">
        <f t="shared" si="11"/>
        <v>0</v>
      </c>
    </row>
    <row r="92" spans="1:22" ht="21.75" customHeight="1">
      <c r="A92" s="87"/>
      <c r="B92" s="7" t="s">
        <v>13</v>
      </c>
      <c r="C92" s="3"/>
      <c r="D92" s="3"/>
      <c r="E92" s="4">
        <f t="shared" si="7"/>
        <v>0</v>
      </c>
      <c r="F92" s="3"/>
      <c r="G92" s="3"/>
      <c r="H92" s="3"/>
      <c r="I92" s="3"/>
      <c r="J92" s="3"/>
      <c r="K92" s="3"/>
      <c r="L92" s="3"/>
      <c r="M92" s="5">
        <f t="shared" si="8"/>
        <v>0</v>
      </c>
      <c r="N92" s="28" t="e">
        <f t="shared" si="9"/>
        <v>#DIV/0!</v>
      </c>
      <c r="O92" s="7"/>
      <c r="P92" s="7"/>
      <c r="Q92" s="7"/>
      <c r="R92" s="7"/>
      <c r="S92" s="3"/>
      <c r="T92" s="37">
        <f t="shared" si="6"/>
        <v>0</v>
      </c>
      <c r="U92" s="28" t="e">
        <f t="shared" si="10"/>
        <v>#DIV/0!</v>
      </c>
      <c r="V92" s="59">
        <f t="shared" si="11"/>
        <v>0</v>
      </c>
    </row>
    <row r="93" spans="1:22" ht="21.75" customHeight="1">
      <c r="A93" s="87"/>
      <c r="B93" s="7" t="s">
        <v>14</v>
      </c>
      <c r="C93" s="3"/>
      <c r="D93" s="3"/>
      <c r="E93" s="4">
        <f t="shared" si="7"/>
        <v>0</v>
      </c>
      <c r="F93" s="3"/>
      <c r="G93" s="3"/>
      <c r="H93" s="3"/>
      <c r="I93" s="3"/>
      <c r="J93" s="3"/>
      <c r="K93" s="3"/>
      <c r="L93" s="3"/>
      <c r="M93" s="5">
        <f t="shared" si="8"/>
        <v>0</v>
      </c>
      <c r="N93" s="28" t="e">
        <f t="shared" si="9"/>
        <v>#DIV/0!</v>
      </c>
      <c r="O93" s="7"/>
      <c r="P93" s="7"/>
      <c r="Q93" s="7"/>
      <c r="R93" s="7"/>
      <c r="S93" s="3"/>
      <c r="T93" s="37">
        <f t="shared" si="6"/>
        <v>0</v>
      </c>
      <c r="U93" s="28" t="e">
        <f t="shared" si="10"/>
        <v>#DIV/0!</v>
      </c>
      <c r="V93" s="59">
        <f t="shared" si="11"/>
        <v>0</v>
      </c>
    </row>
    <row r="94" spans="1:22" ht="21.75" customHeight="1">
      <c r="A94" s="87">
        <v>29</v>
      </c>
      <c r="B94" s="7" t="s">
        <v>12</v>
      </c>
      <c r="C94" s="3"/>
      <c r="D94" s="3"/>
      <c r="E94" s="4">
        <f t="shared" si="7"/>
        <v>0</v>
      </c>
      <c r="F94" s="3"/>
      <c r="G94" s="3"/>
      <c r="H94" s="3"/>
      <c r="I94" s="3"/>
      <c r="J94" s="3"/>
      <c r="K94" s="3"/>
      <c r="L94" s="3"/>
      <c r="M94" s="5">
        <f t="shared" si="8"/>
        <v>0</v>
      </c>
      <c r="N94" s="28" t="e">
        <f t="shared" si="9"/>
        <v>#DIV/0!</v>
      </c>
      <c r="O94" s="7"/>
      <c r="P94" s="7"/>
      <c r="Q94" s="7"/>
      <c r="R94" s="7"/>
      <c r="S94" s="3"/>
      <c r="T94" s="37">
        <f t="shared" si="6"/>
        <v>0</v>
      </c>
      <c r="U94" s="28" t="e">
        <f t="shared" si="10"/>
        <v>#DIV/0!</v>
      </c>
      <c r="V94" s="59">
        <f t="shared" si="11"/>
        <v>0</v>
      </c>
    </row>
    <row r="95" spans="1:22" ht="21.75" customHeight="1">
      <c r="A95" s="87"/>
      <c r="B95" s="7" t="s">
        <v>13</v>
      </c>
      <c r="C95" s="3"/>
      <c r="D95" s="3"/>
      <c r="E95" s="4">
        <f t="shared" si="7"/>
        <v>0</v>
      </c>
      <c r="F95" s="3"/>
      <c r="G95" s="3"/>
      <c r="H95" s="3"/>
      <c r="I95" s="3"/>
      <c r="J95" s="3"/>
      <c r="K95" s="3"/>
      <c r="L95" s="3"/>
      <c r="M95" s="5">
        <f t="shared" si="8"/>
        <v>0</v>
      </c>
      <c r="N95" s="28" t="e">
        <f t="shared" si="9"/>
        <v>#DIV/0!</v>
      </c>
      <c r="O95" s="7"/>
      <c r="P95" s="7"/>
      <c r="Q95" s="7"/>
      <c r="R95" s="7"/>
      <c r="S95" s="3"/>
      <c r="T95" s="37">
        <f t="shared" si="6"/>
        <v>0</v>
      </c>
      <c r="U95" s="28" t="e">
        <f t="shared" si="10"/>
        <v>#DIV/0!</v>
      </c>
      <c r="V95" s="59">
        <f t="shared" si="11"/>
        <v>0</v>
      </c>
    </row>
    <row r="96" spans="1:22" ht="21.75" customHeight="1">
      <c r="A96" s="87"/>
      <c r="B96" s="7" t="s">
        <v>14</v>
      </c>
      <c r="C96" s="3"/>
      <c r="D96" s="3"/>
      <c r="E96" s="4">
        <f t="shared" si="7"/>
        <v>0</v>
      </c>
      <c r="F96" s="3"/>
      <c r="G96" s="3"/>
      <c r="H96" s="3"/>
      <c r="I96" s="3"/>
      <c r="J96" s="3"/>
      <c r="K96" s="3"/>
      <c r="L96" s="3"/>
      <c r="M96" s="5">
        <f t="shared" si="8"/>
        <v>0</v>
      </c>
      <c r="N96" s="28" t="e">
        <f t="shared" si="9"/>
        <v>#DIV/0!</v>
      </c>
      <c r="O96" s="7"/>
      <c r="P96" s="7"/>
      <c r="Q96" s="7"/>
      <c r="R96" s="7"/>
      <c r="S96" s="3"/>
      <c r="T96" s="37">
        <f t="shared" si="6"/>
        <v>0</v>
      </c>
      <c r="U96" s="28" t="e">
        <f t="shared" si="10"/>
        <v>#DIV/0!</v>
      </c>
      <c r="V96" s="59">
        <f>C96+D96-T96</f>
        <v>0</v>
      </c>
    </row>
    <row r="97" spans="1:22" ht="21.75" customHeight="1">
      <c r="A97" s="87">
        <v>30</v>
      </c>
      <c r="B97" s="7" t="s">
        <v>12</v>
      </c>
      <c r="C97" s="3"/>
      <c r="D97" s="3"/>
      <c r="E97" s="4">
        <f t="shared" si="7"/>
        <v>0</v>
      </c>
      <c r="F97" s="3"/>
      <c r="G97" s="3"/>
      <c r="H97" s="3"/>
      <c r="I97" s="3"/>
      <c r="J97" s="3"/>
      <c r="K97" s="3"/>
      <c r="L97" s="3"/>
      <c r="M97" s="5">
        <f t="shared" si="8"/>
        <v>0</v>
      </c>
      <c r="N97" s="28" t="e">
        <f t="shared" si="9"/>
        <v>#DIV/0!</v>
      </c>
      <c r="O97" s="7"/>
      <c r="P97" s="7"/>
      <c r="Q97" s="7"/>
      <c r="R97" s="7"/>
      <c r="S97" s="3"/>
      <c r="T97" s="37">
        <f t="shared" si="6"/>
        <v>0</v>
      </c>
      <c r="U97" s="28" t="e">
        <f t="shared" si="10"/>
        <v>#DIV/0!</v>
      </c>
      <c r="V97" s="59">
        <f t="shared" si="11"/>
        <v>0</v>
      </c>
    </row>
    <row r="98" spans="1:22" ht="21.75" customHeight="1">
      <c r="A98" s="87"/>
      <c r="B98" s="7" t="s">
        <v>13</v>
      </c>
      <c r="C98" s="3"/>
      <c r="D98" s="3"/>
      <c r="E98" s="4">
        <f t="shared" si="7"/>
        <v>0</v>
      </c>
      <c r="F98" s="3"/>
      <c r="G98" s="3"/>
      <c r="H98" s="3"/>
      <c r="I98" s="3"/>
      <c r="J98" s="3"/>
      <c r="K98" s="3"/>
      <c r="L98" s="3"/>
      <c r="M98" s="5">
        <f t="shared" si="8"/>
        <v>0</v>
      </c>
      <c r="N98" s="28" t="e">
        <f t="shared" si="9"/>
        <v>#DIV/0!</v>
      </c>
      <c r="O98" s="7"/>
      <c r="P98" s="7"/>
      <c r="Q98" s="7"/>
      <c r="R98" s="7"/>
      <c r="S98" s="3"/>
      <c r="T98" s="37">
        <f t="shared" si="6"/>
        <v>0</v>
      </c>
      <c r="U98" s="28" t="e">
        <f t="shared" si="10"/>
        <v>#DIV/0!</v>
      </c>
      <c r="V98" s="59">
        <f t="shared" si="11"/>
        <v>0</v>
      </c>
    </row>
    <row r="99" spans="1:22" ht="21.75" customHeight="1">
      <c r="A99" s="87"/>
      <c r="B99" s="7" t="s">
        <v>14</v>
      </c>
      <c r="C99" s="3"/>
      <c r="D99" s="3"/>
      <c r="E99" s="4">
        <f t="shared" si="7"/>
        <v>0</v>
      </c>
      <c r="F99" s="3"/>
      <c r="G99" s="3"/>
      <c r="H99" s="3"/>
      <c r="I99" s="3"/>
      <c r="J99" s="3"/>
      <c r="K99" s="3"/>
      <c r="L99" s="3"/>
      <c r="M99" s="5">
        <f t="shared" si="8"/>
        <v>0</v>
      </c>
      <c r="N99" s="28" t="e">
        <f t="shared" si="9"/>
        <v>#DIV/0!</v>
      </c>
      <c r="O99" s="7"/>
      <c r="P99" s="7"/>
      <c r="Q99" s="7"/>
      <c r="R99" s="7"/>
      <c r="S99" s="3"/>
      <c r="T99" s="37">
        <f t="shared" si="6"/>
        <v>0</v>
      </c>
      <c r="U99" s="28" t="e">
        <f t="shared" si="10"/>
        <v>#DIV/0!</v>
      </c>
      <c r="V99" s="59">
        <f t="shared" si="11"/>
        <v>0</v>
      </c>
    </row>
    <row r="100" spans="1:22" ht="21.75" customHeight="1">
      <c r="A100" s="87">
        <v>31</v>
      </c>
      <c r="B100" s="7" t="s">
        <v>12</v>
      </c>
      <c r="C100" s="3"/>
      <c r="D100" s="3"/>
      <c r="E100" s="4">
        <f t="shared" si="7"/>
        <v>0</v>
      </c>
      <c r="F100" s="3"/>
      <c r="G100" s="3"/>
      <c r="H100" s="3"/>
      <c r="I100" s="3"/>
      <c r="J100" s="3"/>
      <c r="K100" s="3"/>
      <c r="L100" s="3"/>
      <c r="M100" s="5">
        <f t="shared" si="8"/>
        <v>0</v>
      </c>
      <c r="N100" s="28" t="e">
        <f t="shared" si="9"/>
        <v>#DIV/0!</v>
      </c>
      <c r="O100" s="7"/>
      <c r="P100" s="7"/>
      <c r="Q100" s="7"/>
      <c r="R100" s="7"/>
      <c r="S100" s="3"/>
      <c r="T100" s="37">
        <f t="shared" si="6"/>
        <v>0</v>
      </c>
      <c r="U100" s="28" t="e">
        <f t="shared" si="10"/>
        <v>#DIV/0!</v>
      </c>
      <c r="V100" s="59">
        <f t="shared" si="11"/>
        <v>0</v>
      </c>
    </row>
    <row r="101" spans="1:22" ht="21.75" customHeight="1">
      <c r="A101" s="87"/>
      <c r="B101" s="7" t="s">
        <v>13</v>
      </c>
      <c r="C101" s="3"/>
      <c r="D101" s="3"/>
      <c r="E101" s="4">
        <f t="shared" si="7"/>
        <v>0</v>
      </c>
      <c r="F101" s="3"/>
      <c r="G101" s="3"/>
      <c r="H101" s="3"/>
      <c r="I101" s="3"/>
      <c r="J101" s="3"/>
      <c r="K101" s="3"/>
      <c r="L101" s="3"/>
      <c r="M101" s="5">
        <f t="shared" si="8"/>
        <v>0</v>
      </c>
      <c r="N101" s="28" t="e">
        <f t="shared" si="9"/>
        <v>#DIV/0!</v>
      </c>
      <c r="O101" s="7"/>
      <c r="P101" s="7"/>
      <c r="Q101" s="7"/>
      <c r="R101" s="7"/>
      <c r="S101" s="3"/>
      <c r="T101" s="37">
        <f t="shared" si="6"/>
        <v>0</v>
      </c>
      <c r="U101" s="28" t="e">
        <f t="shared" si="10"/>
        <v>#DIV/0!</v>
      </c>
      <c r="V101" s="59">
        <f t="shared" si="11"/>
        <v>0</v>
      </c>
    </row>
    <row r="102" spans="1:22" ht="21.75" customHeight="1">
      <c r="A102" s="87"/>
      <c r="B102" s="7" t="s">
        <v>14</v>
      </c>
      <c r="C102" s="3"/>
      <c r="D102" s="3"/>
      <c r="E102" s="4">
        <f t="shared" si="7"/>
        <v>0</v>
      </c>
      <c r="F102" s="3"/>
      <c r="G102" s="3"/>
      <c r="H102" s="3"/>
      <c r="I102" s="3"/>
      <c r="J102" s="3"/>
      <c r="K102" s="3"/>
      <c r="L102" s="3"/>
      <c r="M102" s="5">
        <f t="shared" si="8"/>
        <v>0</v>
      </c>
      <c r="N102" s="28" t="e">
        <f t="shared" si="9"/>
        <v>#DIV/0!</v>
      </c>
      <c r="O102" s="7"/>
      <c r="P102" s="7"/>
      <c r="Q102" s="7"/>
      <c r="R102" s="7"/>
      <c r="S102" s="3"/>
      <c r="T102" s="37">
        <f t="shared" si="6"/>
        <v>0</v>
      </c>
      <c r="U102" s="28" t="e">
        <f t="shared" si="10"/>
        <v>#DIV/0!</v>
      </c>
      <c r="V102" s="59">
        <f t="shared" si="11"/>
        <v>0</v>
      </c>
    </row>
    <row r="103" spans="1:22" ht="21.75" customHeight="1">
      <c r="A103" s="87" t="s">
        <v>41</v>
      </c>
      <c r="B103" s="1" t="s">
        <v>12</v>
      </c>
      <c r="C103" s="37">
        <f>C10+C13+C16+C19+C22+C25+C28+C31+C34+C37+C40+C43+C46+C49+C52+C55+C58+C61+C64+C67+C70+C73+C76+C79+C82+C85+C88+C91+C94+C97+C100</f>
        <v>14</v>
      </c>
      <c r="D103" s="37">
        <f>D10+D13+D16+D19+D22+D25+D28+D31+D34+D37+D40+D43+D46+D49+D52+D55+D58+D61+D64+D67+D70+D73+D76+D79+D82+D85+D88+D91+D94+D97+D100</f>
        <v>9</v>
      </c>
      <c r="E103" s="4">
        <f>((($B$3*C103)+(12*D103))*$M$4)/7</f>
        <v>8.5499999999999989</v>
      </c>
      <c r="F103" s="1">
        <f t="shared" ref="F103:L105" si="12">F10+F13+F16+F19+F22+F25+F28+F31+F34+F37+F40+F43+F46+F49+F52+F55+F58+F61+F64+F67+F70+F73+F76+F79+F82+F85+F88+F91+F94+F97+F100</f>
        <v>5</v>
      </c>
      <c r="G103" s="1">
        <f t="shared" si="12"/>
        <v>0</v>
      </c>
      <c r="H103" s="1">
        <f t="shared" si="12"/>
        <v>0</v>
      </c>
      <c r="I103" s="1">
        <f t="shared" si="12"/>
        <v>1</v>
      </c>
      <c r="J103" s="1">
        <f t="shared" si="12"/>
        <v>0</v>
      </c>
      <c r="K103" s="1">
        <f t="shared" si="12"/>
        <v>0</v>
      </c>
      <c r="L103" s="1">
        <f t="shared" si="12"/>
        <v>0</v>
      </c>
      <c r="M103" s="5">
        <f t="shared" si="8"/>
        <v>-3.5499999999999989</v>
      </c>
      <c r="N103" s="28">
        <f t="shared" si="9"/>
        <v>101.78571428571428</v>
      </c>
      <c r="O103" s="1">
        <f t="shared" ref="O103:R105" si="13">O10+O13+O16+O19+O22+O25+O28+O31+O34+O37+O40+O43+O46+O49+O52+O55+O58+O61+O64+O67+O70+O73+O76+O79+O82+O85+O88+O91+O94+O97+O100</f>
        <v>0</v>
      </c>
      <c r="P103" s="1">
        <f t="shared" si="13"/>
        <v>0</v>
      </c>
      <c r="Q103" s="1">
        <f t="shared" si="13"/>
        <v>17</v>
      </c>
      <c r="R103" s="1">
        <f t="shared" si="13"/>
        <v>4</v>
      </c>
      <c r="S103" s="1">
        <f t="shared" ref="S103:S105" si="14">S10+S13+S16+S19+S22+S25+S28+S31+S34+S37+S40+S43+S46+S49+S52+S55+S58+S61+S64+S67+S70+S73+S76+S79+S82+S85+S88+S91+S94+S97+S100</f>
        <v>2</v>
      </c>
      <c r="T103" s="37">
        <f t="shared" si="6"/>
        <v>23</v>
      </c>
      <c r="U103" s="28">
        <f t="shared" si="10"/>
        <v>117.06349206349205</v>
      </c>
      <c r="V103" s="59">
        <f t="shared" si="11"/>
        <v>0</v>
      </c>
    </row>
    <row r="104" spans="1:22" ht="21.75" customHeight="1">
      <c r="A104" s="87"/>
      <c r="B104" s="1" t="s">
        <v>13</v>
      </c>
      <c r="C104" s="37">
        <f t="shared" ref="C104:D105" si="15">C11+C14+C17+C20+C23+C26+C29+C32+C35+C38+C41+C44+C47+C50+C53+C56+C59+C62+C65+C68+C71+C74+C77+C80+C83+C86+C89+C92+C95+C98+C101</f>
        <v>14</v>
      </c>
      <c r="D104" s="37">
        <f t="shared" si="15"/>
        <v>9</v>
      </c>
      <c r="E104" s="4">
        <f t="shared" ref="E104:E105" si="16">((($B$3*C104)+(12*D104))*$M$4)/7</f>
        <v>8.5499999999999989</v>
      </c>
      <c r="F104" s="1">
        <f t="shared" si="12"/>
        <v>6</v>
      </c>
      <c r="G104" s="1">
        <f t="shared" si="12"/>
        <v>0</v>
      </c>
      <c r="H104" s="1">
        <f t="shared" ref="H104" si="17">H11+H14+H17+H20+H23+H26+H29+H32+H35+H38+H41+H44+H47+H50+H53+H56+H59+H62+H65+H68+H71+H74+H77+H80+H83+H86+H89+H92+H95+H98+H101</f>
        <v>1</v>
      </c>
      <c r="I104" s="1">
        <f t="shared" si="12"/>
        <v>0</v>
      </c>
      <c r="J104" s="1">
        <f t="shared" si="12"/>
        <v>0</v>
      </c>
      <c r="K104" s="1">
        <f t="shared" ref="K104" si="18">K11+K14+K17+K20+K23+K26+K29+K32+K35+K38+K41+K44+K47+K50+K53+K56+K59+K62+K65+K68+K71+K74+K77+K80+K83+K86+K89+K92+K95+K98+K101</f>
        <v>1</v>
      </c>
      <c r="L104" s="1">
        <f t="shared" si="12"/>
        <v>0</v>
      </c>
      <c r="M104" s="5">
        <f t="shared" si="8"/>
        <v>-1.5499999999999989</v>
      </c>
      <c r="N104" s="28">
        <f t="shared" si="9"/>
        <v>76.339285714285708</v>
      </c>
      <c r="O104" s="1">
        <f t="shared" si="13"/>
        <v>0</v>
      </c>
      <c r="P104" s="1">
        <f t="shared" si="13"/>
        <v>1</v>
      </c>
      <c r="Q104" s="1">
        <f t="shared" si="13"/>
        <v>16</v>
      </c>
      <c r="R104" s="1">
        <f t="shared" si="13"/>
        <v>4</v>
      </c>
      <c r="S104" s="1">
        <f t="shared" si="14"/>
        <v>2</v>
      </c>
      <c r="T104" s="37">
        <f t="shared" si="6"/>
        <v>23</v>
      </c>
      <c r="U104" s="28">
        <f t="shared" si="10"/>
        <v>86.607142857142861</v>
      </c>
      <c r="V104" s="59">
        <f t="shared" si="11"/>
        <v>0</v>
      </c>
    </row>
    <row r="105" spans="1:22" ht="21.75" customHeight="1">
      <c r="A105" s="87"/>
      <c r="B105" s="1" t="s">
        <v>14</v>
      </c>
      <c r="C105" s="37">
        <f t="shared" si="15"/>
        <v>7</v>
      </c>
      <c r="D105" s="37">
        <f t="shared" si="15"/>
        <v>4</v>
      </c>
      <c r="E105" s="4">
        <f t="shared" si="16"/>
        <v>3.9750000000000001</v>
      </c>
      <c r="F105" s="1">
        <f t="shared" si="12"/>
        <v>3</v>
      </c>
      <c r="G105" s="1">
        <f t="shared" si="12"/>
        <v>0</v>
      </c>
      <c r="H105" s="1">
        <f t="shared" ref="H105" si="19">H12+H15+H18+H21+H24+H27+H30+H33+H36+H39+H42+H45+H48+H51+H54+H57+H60+H63+H66+H69+H72+H75+H78+H81+H84+H87+H90+H93+H96+H99+H102</f>
        <v>0</v>
      </c>
      <c r="I105" s="1">
        <f t="shared" si="12"/>
        <v>0</v>
      </c>
      <c r="J105" s="1">
        <f t="shared" si="12"/>
        <v>0</v>
      </c>
      <c r="K105" s="1">
        <f t="shared" ref="K105" si="20">K12+K15+K18+K21+K24+K27+K30+K33+K36+K39+K42+K45+K48+K51+K54+K57+K60+K63+K66+K69+K72+K75+K78+K81+K84+K87+K90+K93+K96+K99+K102</f>
        <v>0</v>
      </c>
      <c r="L105" s="1">
        <f t="shared" si="12"/>
        <v>0</v>
      </c>
      <c r="M105" s="5">
        <f t="shared" si="8"/>
        <v>-0.97500000000000009</v>
      </c>
      <c r="N105" s="28">
        <f t="shared" si="9"/>
        <v>94.642857142857139</v>
      </c>
      <c r="O105" s="1">
        <f t="shared" si="13"/>
        <v>0</v>
      </c>
      <c r="P105" s="1">
        <f t="shared" si="13"/>
        <v>0</v>
      </c>
      <c r="Q105" s="1">
        <f t="shared" si="13"/>
        <v>8</v>
      </c>
      <c r="R105" s="1">
        <f t="shared" si="13"/>
        <v>2</v>
      </c>
      <c r="S105" s="1">
        <f t="shared" si="14"/>
        <v>1</v>
      </c>
      <c r="T105" s="37">
        <f t="shared" si="6"/>
        <v>11</v>
      </c>
      <c r="U105" s="28">
        <f t="shared" si="10"/>
        <v>112.6984126984127</v>
      </c>
      <c r="V105" s="59">
        <f t="shared" si="11"/>
        <v>0</v>
      </c>
    </row>
    <row r="106" spans="1:22" ht="21.75" customHeight="1">
      <c r="A106" s="7" t="s">
        <v>42</v>
      </c>
      <c r="B106" s="7"/>
      <c r="C106" s="42">
        <f>SUM(C103:C105)/3</f>
        <v>11.666666666666666</v>
      </c>
      <c r="D106" s="42">
        <f>SUM(D103:D105)/3</f>
        <v>7.333333333333333</v>
      </c>
      <c r="E106" s="25"/>
      <c r="F106" s="42">
        <f>SUM(F103:F105)</f>
        <v>14</v>
      </c>
      <c r="G106" s="42">
        <f t="shared" ref="G106:L106" si="21">SUM(G103:G105)</f>
        <v>0</v>
      </c>
      <c r="H106" s="42">
        <f t="shared" si="21"/>
        <v>1</v>
      </c>
      <c r="I106" s="42">
        <f t="shared" si="21"/>
        <v>1</v>
      </c>
      <c r="J106" s="42">
        <f t="shared" si="21"/>
        <v>0</v>
      </c>
      <c r="K106" s="42">
        <f t="shared" si="21"/>
        <v>1</v>
      </c>
      <c r="L106" s="42">
        <f t="shared" si="21"/>
        <v>0</v>
      </c>
      <c r="M106" s="5">
        <f t="shared" si="8"/>
        <v>15</v>
      </c>
      <c r="N106" s="25"/>
      <c r="O106" s="25">
        <f>SUM(O103:O105)/3</f>
        <v>0</v>
      </c>
      <c r="P106" s="25">
        <f>SUM(P103:P105)/3</f>
        <v>0.33333333333333331</v>
      </c>
      <c r="Q106" s="25">
        <f t="shared" ref="Q106:S106" si="22">SUM(Q103:Q105)/3</f>
        <v>13.666666666666666</v>
      </c>
      <c r="R106" s="25">
        <f t="shared" si="22"/>
        <v>3.3333333333333335</v>
      </c>
      <c r="S106" s="25">
        <f t="shared" si="22"/>
        <v>1.6666666666666667</v>
      </c>
      <c r="T106" s="37">
        <f t="shared" si="6"/>
        <v>19</v>
      </c>
      <c r="U106" s="28">
        <f t="shared" si="10"/>
        <v>33.986928104575163</v>
      </c>
      <c r="V106" s="59">
        <f t="shared" si="11"/>
        <v>0</v>
      </c>
    </row>
  </sheetData>
  <mergeCells count="77">
    <mergeCell ref="O7:S7"/>
    <mergeCell ref="T7:T9"/>
    <mergeCell ref="O8:O9"/>
    <mergeCell ref="Q4:R4"/>
    <mergeCell ref="F5:L5"/>
    <mergeCell ref="O5:P5"/>
    <mergeCell ref="Q5:R5"/>
    <mergeCell ref="O6:Q6"/>
    <mergeCell ref="R6:S6"/>
    <mergeCell ref="P8:P9"/>
    <mergeCell ref="I4:L4"/>
    <mergeCell ref="E4:H4"/>
    <mergeCell ref="F6:H6"/>
    <mergeCell ref="A1:N1"/>
    <mergeCell ref="A2:N2"/>
    <mergeCell ref="M3:N3"/>
    <mergeCell ref="O3:P3"/>
    <mergeCell ref="Q3:R3"/>
    <mergeCell ref="I3:L3"/>
    <mergeCell ref="E3:H3"/>
    <mergeCell ref="C5:D5"/>
    <mergeCell ref="C6:D6"/>
    <mergeCell ref="N7:N9"/>
    <mergeCell ref="E7:E9"/>
    <mergeCell ref="F7:J7"/>
    <mergeCell ref="I6:K6"/>
    <mergeCell ref="F8:H8"/>
    <mergeCell ref="I8:K8"/>
    <mergeCell ref="A97:A99"/>
    <mergeCell ref="A100:A102"/>
    <mergeCell ref="A103:A105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91:A93"/>
    <mergeCell ref="A94:A96"/>
    <mergeCell ref="A49:A51"/>
    <mergeCell ref="A52:A54"/>
    <mergeCell ref="A55:A57"/>
    <mergeCell ref="A58:A60"/>
    <mergeCell ref="A61:A63"/>
    <mergeCell ref="A37:A39"/>
    <mergeCell ref="A40:A42"/>
    <mergeCell ref="A43:A45"/>
    <mergeCell ref="A46:A48"/>
    <mergeCell ref="A7:A9"/>
    <mergeCell ref="A10:A12"/>
    <mergeCell ref="A28:A30"/>
    <mergeCell ref="A31:A33"/>
    <mergeCell ref="A34:A36"/>
    <mergeCell ref="A13:A15"/>
    <mergeCell ref="A16:A18"/>
    <mergeCell ref="A19:A21"/>
    <mergeCell ref="A22:A24"/>
    <mergeCell ref="A25:A27"/>
    <mergeCell ref="U7:U9"/>
    <mergeCell ref="L7:L9"/>
    <mergeCell ref="M7:M9"/>
    <mergeCell ref="A3:A4"/>
    <mergeCell ref="B3:B4"/>
    <mergeCell ref="C3:C4"/>
    <mergeCell ref="Q8:Q9"/>
    <mergeCell ref="R8:R9"/>
    <mergeCell ref="S8:S9"/>
    <mergeCell ref="M4:N4"/>
    <mergeCell ref="O4:P4"/>
    <mergeCell ref="B7:B9"/>
    <mergeCell ref="C7:C9"/>
    <mergeCell ref="D7:D9"/>
    <mergeCell ref="A5:B5"/>
    <mergeCell ref="A6:B6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06"/>
  <sheetViews>
    <sheetView zoomScale="85" zoomScaleNormal="85" workbookViewId="0">
      <pane xSplit="2" ySplit="9" topLeftCell="C95" activePane="bottomRight" state="frozen"/>
      <selection pane="topRight" activeCell="C1" sqref="C1"/>
      <selection pane="bottomLeft" activeCell="A10" sqref="A10"/>
      <selection pane="bottomRight" activeCell="M10" sqref="M10:M106"/>
    </sheetView>
  </sheetViews>
  <sheetFormatPr defaultColWidth="9" defaultRowHeight="21.75" customHeight="1"/>
  <cols>
    <col min="1" max="1" width="10.33203125" style="2" customWidth="1"/>
    <col min="2" max="2" width="4.109375" style="2" customWidth="1"/>
    <col min="3" max="3" width="8.44140625" style="2" customWidth="1"/>
    <col min="4" max="4" width="8.33203125" style="2" customWidth="1"/>
    <col min="5" max="5" width="7.21875" style="2" customWidth="1"/>
    <col min="6" max="6" width="7.77734375" style="2" customWidth="1"/>
    <col min="7" max="8" width="6" style="2" customWidth="1"/>
    <col min="9" max="9" width="5.33203125" style="2" bestFit="1" customWidth="1"/>
    <col min="10" max="11" width="6.33203125" style="2" customWidth="1"/>
    <col min="12" max="12" width="6" style="2" customWidth="1"/>
    <col min="13" max="13" width="6.88671875" style="2" bestFit="1" customWidth="1"/>
    <col min="14" max="14" width="7.88671875" style="2" bestFit="1" customWidth="1"/>
    <col min="15" max="15" width="5.33203125" style="2" bestFit="1" customWidth="1"/>
    <col min="16" max="17" width="6.33203125" style="2" bestFit="1" customWidth="1"/>
    <col min="18" max="18" width="5" style="2" customWidth="1"/>
    <col min="19" max="19" width="6.44140625" style="2" customWidth="1"/>
    <col min="20" max="20" width="6.6640625" style="2" customWidth="1"/>
    <col min="21" max="21" width="6.77734375" style="2" customWidth="1"/>
    <col min="22" max="22" width="4.109375" style="2" bestFit="1" customWidth="1"/>
    <col min="23" max="16384" width="9" style="2"/>
  </cols>
  <sheetData>
    <row r="1" spans="1:22" ht="21.75" customHeight="1">
      <c r="A1" s="90" t="s">
        <v>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</row>
    <row r="2" spans="1:22" ht="21.75" customHeight="1">
      <c r="A2" s="90" t="s">
        <v>65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</row>
    <row r="3" spans="1:22" ht="21.75" customHeight="1">
      <c r="A3" s="91" t="s">
        <v>10</v>
      </c>
      <c r="B3" s="92">
        <v>4.5</v>
      </c>
      <c r="C3" s="93" t="s">
        <v>11</v>
      </c>
      <c r="D3" s="38"/>
      <c r="E3" s="116" t="s">
        <v>12</v>
      </c>
      <c r="F3" s="95"/>
      <c r="G3" s="95"/>
      <c r="H3" s="96"/>
      <c r="I3" s="93" t="s">
        <v>13</v>
      </c>
      <c r="J3" s="93"/>
      <c r="K3" s="93"/>
      <c r="L3" s="93"/>
      <c r="M3" s="95" t="s">
        <v>14</v>
      </c>
      <c r="N3" s="96"/>
      <c r="O3" s="113" t="s">
        <v>15</v>
      </c>
      <c r="P3" s="113"/>
      <c r="Q3" s="115">
        <f>((F103+F105)*240)+((G103+G105)*180)</f>
        <v>0</v>
      </c>
      <c r="R3" s="115"/>
      <c r="S3" s="7" t="s">
        <v>16</v>
      </c>
    </row>
    <row r="4" spans="1:22" ht="21.75" customHeight="1">
      <c r="A4" s="91"/>
      <c r="B4" s="92"/>
      <c r="C4" s="93"/>
      <c r="D4" s="38"/>
      <c r="E4" s="114">
        <v>0.25</v>
      </c>
      <c r="F4" s="97"/>
      <c r="G4" s="97"/>
      <c r="H4" s="98"/>
      <c r="I4" s="94">
        <v>0.4</v>
      </c>
      <c r="J4" s="94"/>
      <c r="K4" s="94"/>
      <c r="L4" s="94"/>
      <c r="M4" s="97">
        <v>0.35</v>
      </c>
      <c r="N4" s="98"/>
      <c r="O4" s="113" t="s">
        <v>17</v>
      </c>
      <c r="P4" s="113"/>
      <c r="Q4" s="115">
        <f>((I103+L103+I104+L104+I105+L105)*660)+((J103+J105+J104)*530)</f>
        <v>0</v>
      </c>
      <c r="R4" s="115"/>
      <c r="S4" s="7" t="s">
        <v>16</v>
      </c>
    </row>
    <row r="5" spans="1:22" ht="21.75" customHeight="1">
      <c r="A5" s="99" t="s">
        <v>18</v>
      </c>
      <c r="B5" s="99"/>
      <c r="C5" s="103"/>
      <c r="D5" s="104"/>
      <c r="E5" s="35" t="s">
        <v>19</v>
      </c>
      <c r="F5" s="114" t="s">
        <v>20</v>
      </c>
      <c r="G5" s="97"/>
      <c r="H5" s="97"/>
      <c r="I5" s="97"/>
      <c r="J5" s="97"/>
      <c r="K5" s="97"/>
      <c r="L5" s="97"/>
      <c r="M5" s="6"/>
      <c r="N5" s="34" t="s">
        <v>21</v>
      </c>
      <c r="O5" s="113"/>
      <c r="P5" s="113"/>
      <c r="Q5" s="115"/>
      <c r="R5" s="115"/>
      <c r="S5" s="7"/>
    </row>
    <row r="6" spans="1:22" ht="21.75" customHeight="1">
      <c r="A6" s="99" t="s">
        <v>23</v>
      </c>
      <c r="B6" s="99"/>
      <c r="C6" s="105" t="e">
        <f>((C106*12)/(M5*7)+((D106*12)/(M5*7)))</f>
        <v>#DIV/0!</v>
      </c>
      <c r="D6" s="106"/>
      <c r="E6" s="35" t="s">
        <v>19</v>
      </c>
      <c r="F6" s="80" t="s">
        <v>24</v>
      </c>
      <c r="G6" s="81"/>
      <c r="H6" s="82"/>
      <c r="I6" s="77" t="e">
        <f>C5-C6</f>
        <v>#DIV/0!</v>
      </c>
      <c r="J6" s="78"/>
      <c r="K6" s="79"/>
      <c r="L6" s="39" t="s">
        <v>19</v>
      </c>
      <c r="M6" s="36" t="s">
        <v>25</v>
      </c>
      <c r="N6" s="27" t="e">
        <f>((((C106*4.5)+(D106*12))/((F106+G106+H106+I106+J106+K106+L106)*7)))*100</f>
        <v>#DIV/0!</v>
      </c>
      <c r="O6" s="71" t="s">
        <v>26</v>
      </c>
      <c r="P6" s="71"/>
      <c r="Q6" s="71"/>
      <c r="R6" s="72" t="e">
        <f>U106</f>
        <v>#DIV/0!</v>
      </c>
      <c r="S6" s="73"/>
    </row>
    <row r="7" spans="1:22" ht="21.75" customHeight="1">
      <c r="A7" s="65" t="s">
        <v>27</v>
      </c>
      <c r="B7" s="65" t="s">
        <v>28</v>
      </c>
      <c r="C7" s="100" t="s">
        <v>77</v>
      </c>
      <c r="D7" s="100" t="s">
        <v>78</v>
      </c>
      <c r="E7" s="65" t="s">
        <v>30</v>
      </c>
      <c r="F7" s="74" t="s">
        <v>31</v>
      </c>
      <c r="G7" s="75"/>
      <c r="H7" s="75"/>
      <c r="I7" s="75"/>
      <c r="J7" s="75"/>
      <c r="K7" s="76"/>
      <c r="L7" s="65" t="s">
        <v>32</v>
      </c>
      <c r="M7" s="65" t="s">
        <v>33</v>
      </c>
      <c r="N7" s="68" t="s">
        <v>25</v>
      </c>
      <c r="O7" s="87" t="s">
        <v>34</v>
      </c>
      <c r="P7" s="87"/>
      <c r="Q7" s="87"/>
      <c r="R7" s="87"/>
      <c r="S7" s="87"/>
      <c r="T7" s="83" t="s">
        <v>35</v>
      </c>
      <c r="U7" s="85" t="s">
        <v>26</v>
      </c>
    </row>
    <row r="8" spans="1:22" ht="21.75" customHeight="1">
      <c r="A8" s="66"/>
      <c r="B8" s="66"/>
      <c r="C8" s="101"/>
      <c r="D8" s="101"/>
      <c r="E8" s="66"/>
      <c r="F8" s="107" t="s">
        <v>37</v>
      </c>
      <c r="G8" s="108"/>
      <c r="H8" s="109"/>
      <c r="I8" s="110" t="s">
        <v>38</v>
      </c>
      <c r="J8" s="111"/>
      <c r="K8" s="112"/>
      <c r="L8" s="66"/>
      <c r="M8" s="66"/>
      <c r="N8" s="69"/>
      <c r="O8" s="88">
        <v>1</v>
      </c>
      <c r="P8" s="88">
        <v>2</v>
      </c>
      <c r="Q8" s="88">
        <v>3</v>
      </c>
      <c r="R8" s="88">
        <v>4</v>
      </c>
      <c r="S8" s="88">
        <v>5</v>
      </c>
      <c r="T8" s="83"/>
      <c r="U8" s="85"/>
    </row>
    <row r="9" spans="1:22" ht="21.75" customHeight="1">
      <c r="A9" s="67"/>
      <c r="B9" s="67"/>
      <c r="C9" s="102"/>
      <c r="D9" s="102"/>
      <c r="E9" s="67"/>
      <c r="F9" s="24" t="s">
        <v>39</v>
      </c>
      <c r="G9" s="24" t="s">
        <v>40</v>
      </c>
      <c r="H9" s="24" t="s">
        <v>76</v>
      </c>
      <c r="I9" s="57" t="s">
        <v>39</v>
      </c>
      <c r="J9" s="57" t="s">
        <v>40</v>
      </c>
      <c r="K9" s="57" t="s">
        <v>76</v>
      </c>
      <c r="L9" s="67"/>
      <c r="M9" s="67"/>
      <c r="N9" s="70"/>
      <c r="O9" s="89"/>
      <c r="P9" s="89"/>
      <c r="Q9" s="89"/>
      <c r="R9" s="89"/>
      <c r="S9" s="89"/>
      <c r="T9" s="84"/>
      <c r="U9" s="86"/>
    </row>
    <row r="10" spans="1:22" ht="21.75" customHeight="1">
      <c r="A10" s="87">
        <v>1</v>
      </c>
      <c r="B10" s="7" t="s">
        <v>12</v>
      </c>
      <c r="C10" s="3"/>
      <c r="D10" s="3"/>
      <c r="E10" s="4">
        <f>((($B$3*C10)+(12*D10))*$E$4)/7</f>
        <v>0</v>
      </c>
      <c r="F10" s="3"/>
      <c r="G10" s="3"/>
      <c r="H10" s="3"/>
      <c r="I10" s="3"/>
      <c r="J10" s="3"/>
      <c r="K10" s="3"/>
      <c r="L10" s="3"/>
      <c r="M10" s="5">
        <f>(F10+G10+H10+L10)-E10</f>
        <v>0</v>
      </c>
      <c r="N10" s="28" t="e">
        <f>(((C10*4.5)+(12*D10))*$E$4)/((F10+G10+H10+I10+J10+K10+L10)*7)*100</f>
        <v>#DIV/0!</v>
      </c>
      <c r="O10" s="7"/>
      <c r="P10" s="7"/>
      <c r="Q10" s="7"/>
      <c r="R10" s="7"/>
      <c r="S10" s="3"/>
      <c r="T10" s="37">
        <f t="shared" ref="T10:T73" si="0">SUM(O10:S10)</f>
        <v>0</v>
      </c>
      <c r="U10" s="28" t="e">
        <f>((((O10*1.5+(P10*3.5)+(Q10*5.5)+(R10*7.5)+(S10*12)))/3)/((F10+G10+H10+I10+J10+K10+L10)*7))*100</f>
        <v>#DIV/0!</v>
      </c>
      <c r="V10" s="59">
        <f>C10+D10-T10</f>
        <v>0</v>
      </c>
    </row>
    <row r="11" spans="1:22" ht="21.75" customHeight="1">
      <c r="A11" s="87"/>
      <c r="B11" s="7" t="s">
        <v>13</v>
      </c>
      <c r="C11" s="3"/>
      <c r="D11" s="3"/>
      <c r="E11" s="4">
        <f t="shared" ref="E11:E74" si="1">((($B$3*C11)+(12*D11))*$E$4)/7</f>
        <v>0</v>
      </c>
      <c r="F11" s="3"/>
      <c r="G11" s="3"/>
      <c r="H11" s="3"/>
      <c r="I11" s="3"/>
      <c r="J11" s="3"/>
      <c r="K11" s="3"/>
      <c r="L11" s="3"/>
      <c r="M11" s="5">
        <f t="shared" ref="M11:M74" si="2">(F11+G11+H11+L11)-E11</f>
        <v>0</v>
      </c>
      <c r="N11" s="28" t="e">
        <f t="shared" ref="N11:N74" si="3">(((C11*4.5)+(12*D11))*$E$4)/((F11+G11+H11+I11+J11+K11+L11)*7)*100</f>
        <v>#DIV/0!</v>
      </c>
      <c r="O11" s="7"/>
      <c r="P11" s="7"/>
      <c r="Q11" s="7"/>
      <c r="R11" s="7"/>
      <c r="S11" s="3"/>
      <c r="T11" s="37">
        <f t="shared" si="0"/>
        <v>0</v>
      </c>
      <c r="U11" s="28" t="e">
        <f t="shared" ref="U11:U74" si="4">((((O11*1.5+(P11*3.5)+(Q11*5.5)+(R11*7.5)+(S11*12)))/3)/((F11+G11+H11+I11+J11+K11+L11)*7))*100</f>
        <v>#DIV/0!</v>
      </c>
      <c r="V11" s="59">
        <f t="shared" ref="V11:V74" si="5">C11+D11-T11</f>
        <v>0</v>
      </c>
    </row>
    <row r="12" spans="1:22" ht="21.75" customHeight="1">
      <c r="A12" s="87"/>
      <c r="B12" s="7" t="s">
        <v>14</v>
      </c>
      <c r="C12" s="3"/>
      <c r="D12" s="3"/>
      <c r="E12" s="4">
        <f t="shared" si="1"/>
        <v>0</v>
      </c>
      <c r="F12" s="3"/>
      <c r="G12" s="3"/>
      <c r="H12" s="3"/>
      <c r="I12" s="3"/>
      <c r="J12" s="3"/>
      <c r="K12" s="3"/>
      <c r="L12" s="3"/>
      <c r="M12" s="5">
        <f t="shared" si="2"/>
        <v>0</v>
      </c>
      <c r="N12" s="28" t="e">
        <f t="shared" si="3"/>
        <v>#DIV/0!</v>
      </c>
      <c r="O12" s="7"/>
      <c r="P12" s="7"/>
      <c r="Q12" s="7"/>
      <c r="R12" s="7"/>
      <c r="S12" s="3"/>
      <c r="T12" s="37">
        <f t="shared" si="0"/>
        <v>0</v>
      </c>
      <c r="U12" s="28" t="e">
        <f t="shared" si="4"/>
        <v>#DIV/0!</v>
      </c>
      <c r="V12" s="59">
        <f t="shared" si="5"/>
        <v>0</v>
      </c>
    </row>
    <row r="13" spans="1:22" ht="21.75" customHeight="1">
      <c r="A13" s="87">
        <v>2</v>
      </c>
      <c r="B13" s="7" t="s">
        <v>12</v>
      </c>
      <c r="C13" s="3"/>
      <c r="D13" s="3"/>
      <c r="E13" s="4">
        <f t="shared" si="1"/>
        <v>0</v>
      </c>
      <c r="F13" s="3"/>
      <c r="G13" s="3"/>
      <c r="H13" s="3"/>
      <c r="I13" s="3"/>
      <c r="J13" s="3"/>
      <c r="K13" s="3"/>
      <c r="L13" s="3"/>
      <c r="M13" s="5">
        <f t="shared" si="2"/>
        <v>0</v>
      </c>
      <c r="N13" s="28" t="e">
        <f t="shared" si="3"/>
        <v>#DIV/0!</v>
      </c>
      <c r="O13" s="7"/>
      <c r="P13" s="7"/>
      <c r="Q13" s="7"/>
      <c r="R13" s="7"/>
      <c r="S13" s="3"/>
      <c r="T13" s="37">
        <f t="shared" si="0"/>
        <v>0</v>
      </c>
      <c r="U13" s="28" t="e">
        <f t="shared" si="4"/>
        <v>#DIV/0!</v>
      </c>
      <c r="V13" s="59">
        <f t="shared" si="5"/>
        <v>0</v>
      </c>
    </row>
    <row r="14" spans="1:22" ht="21.75" customHeight="1">
      <c r="A14" s="87"/>
      <c r="B14" s="7" t="s">
        <v>13</v>
      </c>
      <c r="C14" s="3"/>
      <c r="D14" s="3"/>
      <c r="E14" s="4">
        <f t="shared" si="1"/>
        <v>0</v>
      </c>
      <c r="F14" s="3"/>
      <c r="G14" s="3"/>
      <c r="H14" s="3"/>
      <c r="I14" s="3"/>
      <c r="J14" s="3"/>
      <c r="K14" s="3"/>
      <c r="L14" s="3"/>
      <c r="M14" s="5">
        <f t="shared" si="2"/>
        <v>0</v>
      </c>
      <c r="N14" s="28" t="e">
        <f t="shared" si="3"/>
        <v>#DIV/0!</v>
      </c>
      <c r="O14" s="7"/>
      <c r="P14" s="7"/>
      <c r="Q14" s="7"/>
      <c r="R14" s="7"/>
      <c r="S14" s="3"/>
      <c r="T14" s="37">
        <f t="shared" si="0"/>
        <v>0</v>
      </c>
      <c r="U14" s="28" t="e">
        <f t="shared" si="4"/>
        <v>#DIV/0!</v>
      </c>
      <c r="V14" s="59">
        <f t="shared" si="5"/>
        <v>0</v>
      </c>
    </row>
    <row r="15" spans="1:22" ht="21.75" customHeight="1">
      <c r="A15" s="87"/>
      <c r="B15" s="7" t="s">
        <v>14</v>
      </c>
      <c r="C15" s="3"/>
      <c r="D15" s="3"/>
      <c r="E15" s="4">
        <f t="shared" si="1"/>
        <v>0</v>
      </c>
      <c r="F15" s="3"/>
      <c r="G15" s="3"/>
      <c r="H15" s="3"/>
      <c r="I15" s="3"/>
      <c r="J15" s="3"/>
      <c r="K15" s="3"/>
      <c r="L15" s="3"/>
      <c r="M15" s="5">
        <f t="shared" si="2"/>
        <v>0</v>
      </c>
      <c r="N15" s="28" t="e">
        <f t="shared" si="3"/>
        <v>#DIV/0!</v>
      </c>
      <c r="O15" s="7"/>
      <c r="P15" s="7"/>
      <c r="Q15" s="7"/>
      <c r="R15" s="7"/>
      <c r="S15" s="3"/>
      <c r="T15" s="37">
        <f t="shared" si="0"/>
        <v>0</v>
      </c>
      <c r="U15" s="28" t="e">
        <f t="shared" si="4"/>
        <v>#DIV/0!</v>
      </c>
      <c r="V15" s="59">
        <f t="shared" si="5"/>
        <v>0</v>
      </c>
    </row>
    <row r="16" spans="1:22" ht="21.75" customHeight="1">
      <c r="A16" s="87">
        <v>3</v>
      </c>
      <c r="B16" s="7" t="s">
        <v>12</v>
      </c>
      <c r="C16" s="3"/>
      <c r="D16" s="3"/>
      <c r="E16" s="4">
        <f t="shared" si="1"/>
        <v>0</v>
      </c>
      <c r="F16" s="3"/>
      <c r="G16" s="3"/>
      <c r="H16" s="3"/>
      <c r="I16" s="3"/>
      <c r="J16" s="3"/>
      <c r="K16" s="3"/>
      <c r="L16" s="3"/>
      <c r="M16" s="5">
        <f t="shared" si="2"/>
        <v>0</v>
      </c>
      <c r="N16" s="28" t="e">
        <f t="shared" si="3"/>
        <v>#DIV/0!</v>
      </c>
      <c r="O16" s="7"/>
      <c r="P16" s="7"/>
      <c r="Q16" s="7"/>
      <c r="R16" s="7"/>
      <c r="S16" s="3"/>
      <c r="T16" s="37">
        <f t="shared" si="0"/>
        <v>0</v>
      </c>
      <c r="U16" s="28" t="e">
        <f t="shared" si="4"/>
        <v>#DIV/0!</v>
      </c>
      <c r="V16" s="59">
        <f t="shared" si="5"/>
        <v>0</v>
      </c>
    </row>
    <row r="17" spans="1:22" ht="21.75" customHeight="1">
      <c r="A17" s="87"/>
      <c r="B17" s="7" t="s">
        <v>13</v>
      </c>
      <c r="C17" s="3"/>
      <c r="D17" s="3"/>
      <c r="E17" s="4">
        <f t="shared" si="1"/>
        <v>0</v>
      </c>
      <c r="F17" s="3"/>
      <c r="G17" s="3"/>
      <c r="H17" s="3"/>
      <c r="I17" s="3"/>
      <c r="J17" s="3"/>
      <c r="K17" s="3"/>
      <c r="L17" s="3"/>
      <c r="M17" s="5">
        <f t="shared" si="2"/>
        <v>0</v>
      </c>
      <c r="N17" s="28" t="e">
        <f t="shared" si="3"/>
        <v>#DIV/0!</v>
      </c>
      <c r="O17" s="7"/>
      <c r="P17" s="7"/>
      <c r="Q17" s="7"/>
      <c r="R17" s="7"/>
      <c r="S17" s="3"/>
      <c r="T17" s="37">
        <f t="shared" si="0"/>
        <v>0</v>
      </c>
      <c r="U17" s="28" t="e">
        <f t="shared" si="4"/>
        <v>#DIV/0!</v>
      </c>
      <c r="V17" s="59">
        <f t="shared" si="5"/>
        <v>0</v>
      </c>
    </row>
    <row r="18" spans="1:22" ht="21.75" customHeight="1">
      <c r="A18" s="87"/>
      <c r="B18" s="7" t="s">
        <v>14</v>
      </c>
      <c r="C18" s="3"/>
      <c r="D18" s="3"/>
      <c r="E18" s="4">
        <f t="shared" si="1"/>
        <v>0</v>
      </c>
      <c r="F18" s="3"/>
      <c r="G18" s="3"/>
      <c r="H18" s="3"/>
      <c r="I18" s="3"/>
      <c r="J18" s="3"/>
      <c r="K18" s="3"/>
      <c r="L18" s="3"/>
      <c r="M18" s="5">
        <f t="shared" si="2"/>
        <v>0</v>
      </c>
      <c r="N18" s="28" t="e">
        <f t="shared" si="3"/>
        <v>#DIV/0!</v>
      </c>
      <c r="O18" s="7"/>
      <c r="P18" s="7"/>
      <c r="Q18" s="7"/>
      <c r="R18" s="7"/>
      <c r="S18" s="3"/>
      <c r="T18" s="37">
        <f t="shared" si="0"/>
        <v>0</v>
      </c>
      <c r="U18" s="28" t="e">
        <f t="shared" si="4"/>
        <v>#DIV/0!</v>
      </c>
      <c r="V18" s="59">
        <f t="shared" si="5"/>
        <v>0</v>
      </c>
    </row>
    <row r="19" spans="1:22" ht="21.75" customHeight="1">
      <c r="A19" s="87">
        <v>4</v>
      </c>
      <c r="B19" s="7" t="s">
        <v>12</v>
      </c>
      <c r="C19" s="3"/>
      <c r="D19" s="3"/>
      <c r="E19" s="4">
        <f t="shared" si="1"/>
        <v>0</v>
      </c>
      <c r="F19" s="3"/>
      <c r="G19" s="3"/>
      <c r="H19" s="3"/>
      <c r="I19" s="3"/>
      <c r="J19" s="3"/>
      <c r="K19" s="3"/>
      <c r="L19" s="3"/>
      <c r="M19" s="5">
        <f t="shared" si="2"/>
        <v>0</v>
      </c>
      <c r="N19" s="28" t="e">
        <f t="shared" si="3"/>
        <v>#DIV/0!</v>
      </c>
      <c r="O19" s="7"/>
      <c r="P19" s="7"/>
      <c r="Q19" s="7"/>
      <c r="R19" s="7"/>
      <c r="S19" s="3"/>
      <c r="T19" s="37">
        <f t="shared" si="0"/>
        <v>0</v>
      </c>
      <c r="U19" s="28" t="e">
        <f t="shared" si="4"/>
        <v>#DIV/0!</v>
      </c>
      <c r="V19" s="59">
        <f t="shared" si="5"/>
        <v>0</v>
      </c>
    </row>
    <row r="20" spans="1:22" ht="21.75" customHeight="1">
      <c r="A20" s="87"/>
      <c r="B20" s="7" t="s">
        <v>13</v>
      </c>
      <c r="C20" s="3"/>
      <c r="D20" s="3"/>
      <c r="E20" s="4">
        <f t="shared" si="1"/>
        <v>0</v>
      </c>
      <c r="F20" s="3"/>
      <c r="G20" s="3"/>
      <c r="H20" s="3"/>
      <c r="I20" s="3"/>
      <c r="J20" s="3"/>
      <c r="K20" s="3"/>
      <c r="L20" s="3"/>
      <c r="M20" s="5">
        <f t="shared" si="2"/>
        <v>0</v>
      </c>
      <c r="N20" s="28" t="e">
        <f t="shared" si="3"/>
        <v>#DIV/0!</v>
      </c>
      <c r="O20" s="7"/>
      <c r="P20" s="7"/>
      <c r="Q20" s="7"/>
      <c r="R20" s="7"/>
      <c r="S20" s="3"/>
      <c r="T20" s="37">
        <f t="shared" si="0"/>
        <v>0</v>
      </c>
      <c r="U20" s="28" t="e">
        <f t="shared" si="4"/>
        <v>#DIV/0!</v>
      </c>
      <c r="V20" s="59">
        <f t="shared" si="5"/>
        <v>0</v>
      </c>
    </row>
    <row r="21" spans="1:22" ht="21.75" customHeight="1">
      <c r="A21" s="87"/>
      <c r="B21" s="7" t="s">
        <v>14</v>
      </c>
      <c r="C21" s="3"/>
      <c r="D21" s="3"/>
      <c r="E21" s="4">
        <f t="shared" si="1"/>
        <v>0</v>
      </c>
      <c r="F21" s="3"/>
      <c r="G21" s="3"/>
      <c r="H21" s="3"/>
      <c r="I21" s="3"/>
      <c r="J21" s="3"/>
      <c r="K21" s="3"/>
      <c r="L21" s="3"/>
      <c r="M21" s="5">
        <f t="shared" si="2"/>
        <v>0</v>
      </c>
      <c r="N21" s="28" t="e">
        <f t="shared" si="3"/>
        <v>#DIV/0!</v>
      </c>
      <c r="O21" s="7"/>
      <c r="P21" s="7"/>
      <c r="Q21" s="7"/>
      <c r="R21" s="7"/>
      <c r="S21" s="3"/>
      <c r="T21" s="37">
        <f t="shared" si="0"/>
        <v>0</v>
      </c>
      <c r="U21" s="28" t="e">
        <f t="shared" si="4"/>
        <v>#DIV/0!</v>
      </c>
      <c r="V21" s="59">
        <f t="shared" si="5"/>
        <v>0</v>
      </c>
    </row>
    <row r="22" spans="1:22" ht="21.75" customHeight="1">
      <c r="A22" s="87">
        <v>5</v>
      </c>
      <c r="B22" s="7" t="s">
        <v>12</v>
      </c>
      <c r="C22" s="3"/>
      <c r="D22" s="3"/>
      <c r="E22" s="4">
        <f t="shared" si="1"/>
        <v>0</v>
      </c>
      <c r="F22" s="3"/>
      <c r="G22" s="3"/>
      <c r="H22" s="3"/>
      <c r="I22" s="3"/>
      <c r="J22" s="3"/>
      <c r="K22" s="3"/>
      <c r="L22" s="3"/>
      <c r="M22" s="5">
        <f t="shared" si="2"/>
        <v>0</v>
      </c>
      <c r="N22" s="28" t="e">
        <f t="shared" si="3"/>
        <v>#DIV/0!</v>
      </c>
      <c r="O22" s="7"/>
      <c r="P22" s="7"/>
      <c r="Q22" s="7"/>
      <c r="R22" s="7"/>
      <c r="S22" s="3"/>
      <c r="T22" s="37">
        <f t="shared" si="0"/>
        <v>0</v>
      </c>
      <c r="U22" s="28" t="e">
        <f t="shared" si="4"/>
        <v>#DIV/0!</v>
      </c>
      <c r="V22" s="59">
        <f t="shared" si="5"/>
        <v>0</v>
      </c>
    </row>
    <row r="23" spans="1:22" ht="21.75" customHeight="1">
      <c r="A23" s="87"/>
      <c r="B23" s="7" t="s">
        <v>13</v>
      </c>
      <c r="C23" s="3"/>
      <c r="D23" s="3"/>
      <c r="E23" s="4">
        <f t="shared" si="1"/>
        <v>0</v>
      </c>
      <c r="F23" s="3"/>
      <c r="G23" s="3"/>
      <c r="H23" s="3"/>
      <c r="I23" s="3"/>
      <c r="J23" s="3"/>
      <c r="K23" s="3"/>
      <c r="L23" s="3"/>
      <c r="M23" s="5">
        <f t="shared" si="2"/>
        <v>0</v>
      </c>
      <c r="N23" s="28" t="e">
        <f t="shared" si="3"/>
        <v>#DIV/0!</v>
      </c>
      <c r="O23" s="7"/>
      <c r="P23" s="7"/>
      <c r="Q23" s="7"/>
      <c r="R23" s="7"/>
      <c r="S23" s="3"/>
      <c r="T23" s="37">
        <f t="shared" si="0"/>
        <v>0</v>
      </c>
      <c r="U23" s="28" t="e">
        <f t="shared" si="4"/>
        <v>#DIV/0!</v>
      </c>
      <c r="V23" s="59">
        <f t="shared" si="5"/>
        <v>0</v>
      </c>
    </row>
    <row r="24" spans="1:22" ht="21.75" customHeight="1">
      <c r="A24" s="87"/>
      <c r="B24" s="7" t="s">
        <v>14</v>
      </c>
      <c r="C24" s="3"/>
      <c r="D24" s="3"/>
      <c r="E24" s="4">
        <f t="shared" si="1"/>
        <v>0</v>
      </c>
      <c r="F24" s="3"/>
      <c r="G24" s="3"/>
      <c r="H24" s="3"/>
      <c r="I24" s="3"/>
      <c r="J24" s="3"/>
      <c r="K24" s="3"/>
      <c r="L24" s="3"/>
      <c r="M24" s="5">
        <f t="shared" si="2"/>
        <v>0</v>
      </c>
      <c r="N24" s="28" t="e">
        <f t="shared" si="3"/>
        <v>#DIV/0!</v>
      </c>
      <c r="O24" s="7"/>
      <c r="P24" s="7"/>
      <c r="Q24" s="7"/>
      <c r="R24" s="7"/>
      <c r="S24" s="3"/>
      <c r="T24" s="37">
        <f t="shared" si="0"/>
        <v>0</v>
      </c>
      <c r="U24" s="28" t="e">
        <f t="shared" si="4"/>
        <v>#DIV/0!</v>
      </c>
      <c r="V24" s="59">
        <f t="shared" si="5"/>
        <v>0</v>
      </c>
    </row>
    <row r="25" spans="1:22" ht="21.75" customHeight="1">
      <c r="A25" s="87">
        <v>6</v>
      </c>
      <c r="B25" s="7" t="s">
        <v>12</v>
      </c>
      <c r="C25" s="3"/>
      <c r="D25" s="3"/>
      <c r="E25" s="4">
        <f t="shared" si="1"/>
        <v>0</v>
      </c>
      <c r="F25" s="3"/>
      <c r="G25" s="3"/>
      <c r="H25" s="3"/>
      <c r="I25" s="3"/>
      <c r="J25" s="3"/>
      <c r="K25" s="3"/>
      <c r="L25" s="3"/>
      <c r="M25" s="5">
        <f t="shared" si="2"/>
        <v>0</v>
      </c>
      <c r="N25" s="28" t="e">
        <f t="shared" si="3"/>
        <v>#DIV/0!</v>
      </c>
      <c r="O25" s="7"/>
      <c r="P25" s="7"/>
      <c r="Q25" s="7"/>
      <c r="R25" s="7"/>
      <c r="S25" s="3"/>
      <c r="T25" s="37">
        <f t="shared" si="0"/>
        <v>0</v>
      </c>
      <c r="U25" s="28" t="e">
        <f t="shared" si="4"/>
        <v>#DIV/0!</v>
      </c>
      <c r="V25" s="59">
        <f t="shared" si="5"/>
        <v>0</v>
      </c>
    </row>
    <row r="26" spans="1:22" ht="21.75" customHeight="1">
      <c r="A26" s="87"/>
      <c r="B26" s="7" t="s">
        <v>13</v>
      </c>
      <c r="C26" s="3"/>
      <c r="D26" s="3"/>
      <c r="E26" s="4">
        <f t="shared" si="1"/>
        <v>0</v>
      </c>
      <c r="F26" s="3"/>
      <c r="G26" s="3"/>
      <c r="H26" s="3"/>
      <c r="I26" s="3"/>
      <c r="J26" s="3"/>
      <c r="K26" s="3"/>
      <c r="L26" s="3"/>
      <c r="M26" s="5">
        <f t="shared" si="2"/>
        <v>0</v>
      </c>
      <c r="N26" s="28" t="e">
        <f t="shared" si="3"/>
        <v>#DIV/0!</v>
      </c>
      <c r="O26" s="7"/>
      <c r="P26" s="7"/>
      <c r="Q26" s="7"/>
      <c r="R26" s="7"/>
      <c r="S26" s="3"/>
      <c r="T26" s="37">
        <f t="shared" si="0"/>
        <v>0</v>
      </c>
      <c r="U26" s="28" t="e">
        <f t="shared" si="4"/>
        <v>#DIV/0!</v>
      </c>
      <c r="V26" s="59">
        <f t="shared" si="5"/>
        <v>0</v>
      </c>
    </row>
    <row r="27" spans="1:22" ht="21.75" customHeight="1">
      <c r="A27" s="87"/>
      <c r="B27" s="7" t="s">
        <v>14</v>
      </c>
      <c r="C27" s="3"/>
      <c r="D27" s="3"/>
      <c r="E27" s="4">
        <f t="shared" si="1"/>
        <v>0</v>
      </c>
      <c r="F27" s="3"/>
      <c r="G27" s="3"/>
      <c r="H27" s="3"/>
      <c r="I27" s="3"/>
      <c r="J27" s="3"/>
      <c r="K27" s="3"/>
      <c r="L27" s="3"/>
      <c r="M27" s="5">
        <f t="shared" si="2"/>
        <v>0</v>
      </c>
      <c r="N27" s="28" t="e">
        <f t="shared" si="3"/>
        <v>#DIV/0!</v>
      </c>
      <c r="O27" s="7"/>
      <c r="P27" s="7"/>
      <c r="Q27" s="7"/>
      <c r="R27" s="7"/>
      <c r="S27" s="3"/>
      <c r="T27" s="37">
        <f t="shared" si="0"/>
        <v>0</v>
      </c>
      <c r="U27" s="28" t="e">
        <f t="shared" si="4"/>
        <v>#DIV/0!</v>
      </c>
      <c r="V27" s="59">
        <f t="shared" si="5"/>
        <v>0</v>
      </c>
    </row>
    <row r="28" spans="1:22" ht="21.75" customHeight="1">
      <c r="A28" s="87">
        <v>7</v>
      </c>
      <c r="B28" s="7" t="s">
        <v>12</v>
      </c>
      <c r="C28" s="3"/>
      <c r="D28" s="3"/>
      <c r="E28" s="4">
        <f t="shared" si="1"/>
        <v>0</v>
      </c>
      <c r="F28" s="3"/>
      <c r="G28" s="3"/>
      <c r="H28" s="3"/>
      <c r="I28" s="3"/>
      <c r="J28" s="3"/>
      <c r="K28" s="3"/>
      <c r="L28" s="3"/>
      <c r="M28" s="5">
        <f t="shared" si="2"/>
        <v>0</v>
      </c>
      <c r="N28" s="28" t="e">
        <f t="shared" si="3"/>
        <v>#DIV/0!</v>
      </c>
      <c r="O28" s="7"/>
      <c r="P28" s="7"/>
      <c r="Q28" s="7"/>
      <c r="R28" s="7"/>
      <c r="S28" s="3"/>
      <c r="T28" s="37">
        <f t="shared" si="0"/>
        <v>0</v>
      </c>
      <c r="U28" s="28" t="e">
        <f t="shared" si="4"/>
        <v>#DIV/0!</v>
      </c>
      <c r="V28" s="59">
        <f t="shared" si="5"/>
        <v>0</v>
      </c>
    </row>
    <row r="29" spans="1:22" ht="21.75" customHeight="1">
      <c r="A29" s="87"/>
      <c r="B29" s="7" t="s">
        <v>13</v>
      </c>
      <c r="C29" s="3"/>
      <c r="D29" s="3"/>
      <c r="E29" s="4">
        <f t="shared" si="1"/>
        <v>0</v>
      </c>
      <c r="F29" s="3"/>
      <c r="G29" s="3"/>
      <c r="H29" s="3"/>
      <c r="I29" s="3"/>
      <c r="J29" s="3"/>
      <c r="K29" s="3"/>
      <c r="L29" s="3"/>
      <c r="M29" s="5">
        <f t="shared" si="2"/>
        <v>0</v>
      </c>
      <c r="N29" s="28" t="e">
        <f t="shared" si="3"/>
        <v>#DIV/0!</v>
      </c>
      <c r="O29" s="7"/>
      <c r="P29" s="7"/>
      <c r="Q29" s="7"/>
      <c r="R29" s="7"/>
      <c r="S29" s="3"/>
      <c r="T29" s="37">
        <f t="shared" si="0"/>
        <v>0</v>
      </c>
      <c r="U29" s="28" t="e">
        <f t="shared" si="4"/>
        <v>#DIV/0!</v>
      </c>
      <c r="V29" s="59">
        <f t="shared" si="5"/>
        <v>0</v>
      </c>
    </row>
    <row r="30" spans="1:22" ht="21.75" customHeight="1">
      <c r="A30" s="87"/>
      <c r="B30" s="7" t="s">
        <v>14</v>
      </c>
      <c r="C30" s="3"/>
      <c r="D30" s="3"/>
      <c r="E30" s="4">
        <f t="shared" si="1"/>
        <v>0</v>
      </c>
      <c r="F30" s="3"/>
      <c r="G30" s="3"/>
      <c r="H30" s="3"/>
      <c r="I30" s="3"/>
      <c r="J30" s="3"/>
      <c r="K30" s="3"/>
      <c r="L30" s="3"/>
      <c r="M30" s="5">
        <f t="shared" si="2"/>
        <v>0</v>
      </c>
      <c r="N30" s="28" t="e">
        <f t="shared" si="3"/>
        <v>#DIV/0!</v>
      </c>
      <c r="O30" s="7"/>
      <c r="P30" s="7"/>
      <c r="Q30" s="7"/>
      <c r="R30" s="7"/>
      <c r="S30" s="3"/>
      <c r="T30" s="37">
        <f t="shared" si="0"/>
        <v>0</v>
      </c>
      <c r="U30" s="28" t="e">
        <f t="shared" si="4"/>
        <v>#DIV/0!</v>
      </c>
      <c r="V30" s="59">
        <f t="shared" si="5"/>
        <v>0</v>
      </c>
    </row>
    <row r="31" spans="1:22" ht="21.75" customHeight="1">
      <c r="A31" s="87">
        <v>8</v>
      </c>
      <c r="B31" s="7" t="s">
        <v>12</v>
      </c>
      <c r="C31" s="3"/>
      <c r="D31" s="3"/>
      <c r="E31" s="4">
        <f t="shared" si="1"/>
        <v>0</v>
      </c>
      <c r="F31" s="3"/>
      <c r="G31" s="3"/>
      <c r="H31" s="3"/>
      <c r="I31" s="3"/>
      <c r="J31" s="3"/>
      <c r="K31" s="3"/>
      <c r="L31" s="3"/>
      <c r="M31" s="5">
        <f t="shared" si="2"/>
        <v>0</v>
      </c>
      <c r="N31" s="28" t="e">
        <f t="shared" si="3"/>
        <v>#DIV/0!</v>
      </c>
      <c r="O31" s="7"/>
      <c r="P31" s="7"/>
      <c r="Q31" s="7"/>
      <c r="R31" s="7"/>
      <c r="S31" s="3"/>
      <c r="T31" s="37">
        <f t="shared" si="0"/>
        <v>0</v>
      </c>
      <c r="U31" s="28" t="e">
        <f t="shared" si="4"/>
        <v>#DIV/0!</v>
      </c>
      <c r="V31" s="59">
        <f t="shared" si="5"/>
        <v>0</v>
      </c>
    </row>
    <row r="32" spans="1:22" ht="21.75" customHeight="1">
      <c r="A32" s="87"/>
      <c r="B32" s="7" t="s">
        <v>13</v>
      </c>
      <c r="C32" s="3"/>
      <c r="D32" s="3"/>
      <c r="E32" s="4">
        <f t="shared" si="1"/>
        <v>0</v>
      </c>
      <c r="F32" s="3"/>
      <c r="G32" s="3"/>
      <c r="H32" s="3"/>
      <c r="I32" s="3"/>
      <c r="J32" s="3"/>
      <c r="K32" s="3"/>
      <c r="L32" s="3"/>
      <c r="M32" s="5">
        <f t="shared" si="2"/>
        <v>0</v>
      </c>
      <c r="N32" s="28" t="e">
        <f t="shared" si="3"/>
        <v>#DIV/0!</v>
      </c>
      <c r="O32" s="7"/>
      <c r="P32" s="7"/>
      <c r="Q32" s="7"/>
      <c r="R32" s="7"/>
      <c r="S32" s="3"/>
      <c r="T32" s="37">
        <f t="shared" si="0"/>
        <v>0</v>
      </c>
      <c r="U32" s="28" t="e">
        <f t="shared" si="4"/>
        <v>#DIV/0!</v>
      </c>
      <c r="V32" s="59">
        <f t="shared" si="5"/>
        <v>0</v>
      </c>
    </row>
    <row r="33" spans="1:22" ht="21.75" customHeight="1">
      <c r="A33" s="87"/>
      <c r="B33" s="7" t="s">
        <v>14</v>
      </c>
      <c r="C33" s="3"/>
      <c r="D33" s="3"/>
      <c r="E33" s="4">
        <f t="shared" si="1"/>
        <v>0</v>
      </c>
      <c r="F33" s="3"/>
      <c r="G33" s="3"/>
      <c r="H33" s="3"/>
      <c r="I33" s="3"/>
      <c r="J33" s="3"/>
      <c r="K33" s="3"/>
      <c r="L33" s="3"/>
      <c r="M33" s="5">
        <f t="shared" si="2"/>
        <v>0</v>
      </c>
      <c r="N33" s="28" t="e">
        <f t="shared" si="3"/>
        <v>#DIV/0!</v>
      </c>
      <c r="O33" s="7"/>
      <c r="P33" s="7"/>
      <c r="Q33" s="7"/>
      <c r="R33" s="7"/>
      <c r="S33" s="3"/>
      <c r="T33" s="37">
        <f t="shared" si="0"/>
        <v>0</v>
      </c>
      <c r="U33" s="28" t="e">
        <f t="shared" si="4"/>
        <v>#DIV/0!</v>
      </c>
      <c r="V33" s="59">
        <f t="shared" si="5"/>
        <v>0</v>
      </c>
    </row>
    <row r="34" spans="1:22" ht="21.75" customHeight="1">
      <c r="A34" s="87">
        <v>9</v>
      </c>
      <c r="B34" s="7" t="s">
        <v>12</v>
      </c>
      <c r="C34" s="3"/>
      <c r="D34" s="3"/>
      <c r="E34" s="4">
        <f t="shared" si="1"/>
        <v>0</v>
      </c>
      <c r="F34" s="3"/>
      <c r="G34" s="3"/>
      <c r="H34" s="3"/>
      <c r="I34" s="3"/>
      <c r="J34" s="3"/>
      <c r="K34" s="3"/>
      <c r="L34" s="3"/>
      <c r="M34" s="5">
        <f t="shared" si="2"/>
        <v>0</v>
      </c>
      <c r="N34" s="28" t="e">
        <f t="shared" si="3"/>
        <v>#DIV/0!</v>
      </c>
      <c r="O34" s="7"/>
      <c r="P34" s="7"/>
      <c r="Q34" s="7"/>
      <c r="R34" s="7"/>
      <c r="S34" s="3"/>
      <c r="T34" s="37">
        <f t="shared" si="0"/>
        <v>0</v>
      </c>
      <c r="U34" s="28" t="e">
        <f t="shared" si="4"/>
        <v>#DIV/0!</v>
      </c>
      <c r="V34" s="59">
        <f t="shared" si="5"/>
        <v>0</v>
      </c>
    </row>
    <row r="35" spans="1:22" ht="21.75" customHeight="1">
      <c r="A35" s="87"/>
      <c r="B35" s="7" t="s">
        <v>13</v>
      </c>
      <c r="C35" s="3"/>
      <c r="D35" s="3"/>
      <c r="E35" s="4">
        <f t="shared" si="1"/>
        <v>0</v>
      </c>
      <c r="F35" s="3"/>
      <c r="G35" s="3"/>
      <c r="H35" s="3"/>
      <c r="I35" s="3"/>
      <c r="J35" s="3"/>
      <c r="K35" s="3"/>
      <c r="L35" s="3"/>
      <c r="M35" s="5">
        <f t="shared" si="2"/>
        <v>0</v>
      </c>
      <c r="N35" s="28" t="e">
        <f t="shared" si="3"/>
        <v>#DIV/0!</v>
      </c>
      <c r="O35" s="7"/>
      <c r="P35" s="7"/>
      <c r="Q35" s="7"/>
      <c r="R35" s="7"/>
      <c r="S35" s="3"/>
      <c r="T35" s="37">
        <f t="shared" si="0"/>
        <v>0</v>
      </c>
      <c r="U35" s="28" t="e">
        <f t="shared" si="4"/>
        <v>#DIV/0!</v>
      </c>
      <c r="V35" s="59">
        <f t="shared" si="5"/>
        <v>0</v>
      </c>
    </row>
    <row r="36" spans="1:22" ht="21.75" customHeight="1">
      <c r="A36" s="87"/>
      <c r="B36" s="7" t="s">
        <v>14</v>
      </c>
      <c r="C36" s="3"/>
      <c r="D36" s="3"/>
      <c r="E36" s="4">
        <f t="shared" si="1"/>
        <v>0</v>
      </c>
      <c r="F36" s="3"/>
      <c r="G36" s="3"/>
      <c r="H36" s="3"/>
      <c r="I36" s="3"/>
      <c r="J36" s="3"/>
      <c r="K36" s="3"/>
      <c r="L36" s="3"/>
      <c r="M36" s="5">
        <f t="shared" si="2"/>
        <v>0</v>
      </c>
      <c r="N36" s="28" t="e">
        <f t="shared" si="3"/>
        <v>#DIV/0!</v>
      </c>
      <c r="O36" s="7"/>
      <c r="P36" s="7"/>
      <c r="Q36" s="7"/>
      <c r="R36" s="7"/>
      <c r="S36" s="3"/>
      <c r="T36" s="37">
        <f t="shared" si="0"/>
        <v>0</v>
      </c>
      <c r="U36" s="28" t="e">
        <f t="shared" si="4"/>
        <v>#DIV/0!</v>
      </c>
      <c r="V36" s="59">
        <f t="shared" si="5"/>
        <v>0</v>
      </c>
    </row>
    <row r="37" spans="1:22" ht="21.75" customHeight="1">
      <c r="A37" s="87">
        <v>10</v>
      </c>
      <c r="B37" s="7" t="s">
        <v>12</v>
      </c>
      <c r="C37" s="3"/>
      <c r="D37" s="3"/>
      <c r="E37" s="4">
        <f t="shared" si="1"/>
        <v>0</v>
      </c>
      <c r="F37" s="3"/>
      <c r="G37" s="3"/>
      <c r="H37" s="3"/>
      <c r="I37" s="3"/>
      <c r="J37" s="3"/>
      <c r="K37" s="3"/>
      <c r="L37" s="3"/>
      <c r="M37" s="5">
        <f t="shared" si="2"/>
        <v>0</v>
      </c>
      <c r="N37" s="28" t="e">
        <f t="shared" si="3"/>
        <v>#DIV/0!</v>
      </c>
      <c r="O37" s="7"/>
      <c r="P37" s="7"/>
      <c r="Q37" s="7"/>
      <c r="R37" s="7"/>
      <c r="S37" s="3"/>
      <c r="T37" s="37">
        <f t="shared" si="0"/>
        <v>0</v>
      </c>
      <c r="U37" s="28" t="e">
        <f t="shared" si="4"/>
        <v>#DIV/0!</v>
      </c>
      <c r="V37" s="59">
        <f t="shared" si="5"/>
        <v>0</v>
      </c>
    </row>
    <row r="38" spans="1:22" ht="21.75" customHeight="1">
      <c r="A38" s="87"/>
      <c r="B38" s="7" t="s">
        <v>13</v>
      </c>
      <c r="C38" s="3"/>
      <c r="D38" s="3"/>
      <c r="E38" s="4">
        <f t="shared" si="1"/>
        <v>0</v>
      </c>
      <c r="F38" s="3"/>
      <c r="G38" s="3"/>
      <c r="H38" s="3"/>
      <c r="I38" s="3"/>
      <c r="J38" s="3"/>
      <c r="K38" s="3"/>
      <c r="L38" s="3"/>
      <c r="M38" s="5">
        <f t="shared" si="2"/>
        <v>0</v>
      </c>
      <c r="N38" s="28" t="e">
        <f t="shared" si="3"/>
        <v>#DIV/0!</v>
      </c>
      <c r="O38" s="7"/>
      <c r="P38" s="7"/>
      <c r="Q38" s="7"/>
      <c r="R38" s="7"/>
      <c r="S38" s="3"/>
      <c r="T38" s="37">
        <f t="shared" si="0"/>
        <v>0</v>
      </c>
      <c r="U38" s="28" t="e">
        <f t="shared" si="4"/>
        <v>#DIV/0!</v>
      </c>
      <c r="V38" s="59">
        <f t="shared" si="5"/>
        <v>0</v>
      </c>
    </row>
    <row r="39" spans="1:22" ht="21.75" customHeight="1">
      <c r="A39" s="87"/>
      <c r="B39" s="7" t="s">
        <v>14</v>
      </c>
      <c r="C39" s="3"/>
      <c r="D39" s="3"/>
      <c r="E39" s="4">
        <f t="shared" si="1"/>
        <v>0</v>
      </c>
      <c r="F39" s="3"/>
      <c r="G39" s="3"/>
      <c r="H39" s="3"/>
      <c r="I39" s="3"/>
      <c r="J39" s="3"/>
      <c r="K39" s="3"/>
      <c r="L39" s="3"/>
      <c r="M39" s="5">
        <f t="shared" si="2"/>
        <v>0</v>
      </c>
      <c r="N39" s="28" t="e">
        <f t="shared" si="3"/>
        <v>#DIV/0!</v>
      </c>
      <c r="O39" s="7"/>
      <c r="P39" s="7"/>
      <c r="Q39" s="7"/>
      <c r="R39" s="7"/>
      <c r="S39" s="3"/>
      <c r="T39" s="37">
        <f t="shared" si="0"/>
        <v>0</v>
      </c>
      <c r="U39" s="28" t="e">
        <f t="shared" si="4"/>
        <v>#DIV/0!</v>
      </c>
      <c r="V39" s="59">
        <f t="shared" si="5"/>
        <v>0</v>
      </c>
    </row>
    <row r="40" spans="1:22" ht="21.75" customHeight="1">
      <c r="A40" s="87">
        <v>11</v>
      </c>
      <c r="B40" s="7" t="s">
        <v>12</v>
      </c>
      <c r="C40" s="3"/>
      <c r="D40" s="3"/>
      <c r="E40" s="4">
        <f t="shared" si="1"/>
        <v>0</v>
      </c>
      <c r="F40" s="3"/>
      <c r="G40" s="3"/>
      <c r="H40" s="3"/>
      <c r="I40" s="3"/>
      <c r="J40" s="3"/>
      <c r="K40" s="3"/>
      <c r="L40" s="3"/>
      <c r="M40" s="5">
        <f t="shared" si="2"/>
        <v>0</v>
      </c>
      <c r="N40" s="28" t="e">
        <f t="shared" si="3"/>
        <v>#DIV/0!</v>
      </c>
      <c r="O40" s="7"/>
      <c r="P40" s="7"/>
      <c r="Q40" s="7"/>
      <c r="R40" s="7"/>
      <c r="S40" s="3"/>
      <c r="T40" s="37">
        <f t="shared" si="0"/>
        <v>0</v>
      </c>
      <c r="U40" s="28" t="e">
        <f t="shared" si="4"/>
        <v>#DIV/0!</v>
      </c>
      <c r="V40" s="59">
        <f t="shared" si="5"/>
        <v>0</v>
      </c>
    </row>
    <row r="41" spans="1:22" ht="21.75" customHeight="1">
      <c r="A41" s="87"/>
      <c r="B41" s="7" t="s">
        <v>13</v>
      </c>
      <c r="C41" s="3"/>
      <c r="D41" s="3"/>
      <c r="E41" s="4">
        <f t="shared" si="1"/>
        <v>0</v>
      </c>
      <c r="F41" s="3"/>
      <c r="G41" s="3"/>
      <c r="H41" s="3"/>
      <c r="I41" s="3"/>
      <c r="J41" s="3"/>
      <c r="K41" s="3"/>
      <c r="L41" s="3"/>
      <c r="M41" s="5">
        <f t="shared" si="2"/>
        <v>0</v>
      </c>
      <c r="N41" s="28" t="e">
        <f t="shared" si="3"/>
        <v>#DIV/0!</v>
      </c>
      <c r="O41" s="7"/>
      <c r="P41" s="7"/>
      <c r="Q41" s="7"/>
      <c r="R41" s="7"/>
      <c r="S41" s="3"/>
      <c r="T41" s="37">
        <f t="shared" si="0"/>
        <v>0</v>
      </c>
      <c r="U41" s="28" t="e">
        <f t="shared" si="4"/>
        <v>#DIV/0!</v>
      </c>
      <c r="V41" s="59">
        <f t="shared" si="5"/>
        <v>0</v>
      </c>
    </row>
    <row r="42" spans="1:22" ht="21.75" customHeight="1">
      <c r="A42" s="87"/>
      <c r="B42" s="7" t="s">
        <v>14</v>
      </c>
      <c r="C42" s="3"/>
      <c r="D42" s="3"/>
      <c r="E42" s="4">
        <f t="shared" si="1"/>
        <v>0</v>
      </c>
      <c r="F42" s="3"/>
      <c r="G42" s="3"/>
      <c r="H42" s="3"/>
      <c r="I42" s="3"/>
      <c r="J42" s="3"/>
      <c r="K42" s="3"/>
      <c r="L42" s="3"/>
      <c r="M42" s="5">
        <f t="shared" si="2"/>
        <v>0</v>
      </c>
      <c r="N42" s="28" t="e">
        <f t="shared" si="3"/>
        <v>#DIV/0!</v>
      </c>
      <c r="O42" s="7"/>
      <c r="P42" s="7"/>
      <c r="Q42" s="7"/>
      <c r="R42" s="7"/>
      <c r="S42" s="3"/>
      <c r="T42" s="37">
        <f t="shared" si="0"/>
        <v>0</v>
      </c>
      <c r="U42" s="28" t="e">
        <f t="shared" si="4"/>
        <v>#DIV/0!</v>
      </c>
      <c r="V42" s="59">
        <f t="shared" si="5"/>
        <v>0</v>
      </c>
    </row>
    <row r="43" spans="1:22" ht="21.75" customHeight="1">
      <c r="A43" s="87">
        <v>12</v>
      </c>
      <c r="B43" s="7" t="s">
        <v>12</v>
      </c>
      <c r="C43" s="3"/>
      <c r="D43" s="3"/>
      <c r="E43" s="4">
        <f t="shared" si="1"/>
        <v>0</v>
      </c>
      <c r="F43" s="3"/>
      <c r="G43" s="3"/>
      <c r="H43" s="3"/>
      <c r="I43" s="3"/>
      <c r="J43" s="3"/>
      <c r="K43" s="3"/>
      <c r="L43" s="3"/>
      <c r="M43" s="5">
        <f t="shared" si="2"/>
        <v>0</v>
      </c>
      <c r="N43" s="28" t="e">
        <f t="shared" si="3"/>
        <v>#DIV/0!</v>
      </c>
      <c r="O43" s="7"/>
      <c r="P43" s="7"/>
      <c r="Q43" s="7"/>
      <c r="R43" s="7"/>
      <c r="S43" s="3"/>
      <c r="T43" s="37">
        <f t="shared" si="0"/>
        <v>0</v>
      </c>
      <c r="U43" s="28" t="e">
        <f t="shared" si="4"/>
        <v>#DIV/0!</v>
      </c>
      <c r="V43" s="59">
        <f t="shared" si="5"/>
        <v>0</v>
      </c>
    </row>
    <row r="44" spans="1:22" ht="21.75" customHeight="1">
      <c r="A44" s="87"/>
      <c r="B44" s="7" t="s">
        <v>13</v>
      </c>
      <c r="C44" s="3"/>
      <c r="D44" s="3"/>
      <c r="E44" s="4">
        <f t="shared" si="1"/>
        <v>0</v>
      </c>
      <c r="F44" s="3"/>
      <c r="G44" s="3"/>
      <c r="H44" s="3"/>
      <c r="I44" s="3"/>
      <c r="J44" s="3"/>
      <c r="K44" s="3"/>
      <c r="L44" s="3"/>
      <c r="M44" s="5">
        <f t="shared" si="2"/>
        <v>0</v>
      </c>
      <c r="N44" s="28" t="e">
        <f t="shared" si="3"/>
        <v>#DIV/0!</v>
      </c>
      <c r="O44" s="7"/>
      <c r="P44" s="7"/>
      <c r="Q44" s="7"/>
      <c r="R44" s="7"/>
      <c r="S44" s="3"/>
      <c r="T44" s="37">
        <f t="shared" si="0"/>
        <v>0</v>
      </c>
      <c r="U44" s="28" t="e">
        <f t="shared" si="4"/>
        <v>#DIV/0!</v>
      </c>
      <c r="V44" s="59">
        <f t="shared" si="5"/>
        <v>0</v>
      </c>
    </row>
    <row r="45" spans="1:22" ht="21.75" customHeight="1">
      <c r="A45" s="87"/>
      <c r="B45" s="7" t="s">
        <v>14</v>
      </c>
      <c r="C45" s="3"/>
      <c r="D45" s="3"/>
      <c r="E45" s="4">
        <f t="shared" si="1"/>
        <v>0</v>
      </c>
      <c r="F45" s="3"/>
      <c r="G45" s="3"/>
      <c r="H45" s="3"/>
      <c r="I45" s="3"/>
      <c r="J45" s="3"/>
      <c r="K45" s="3"/>
      <c r="L45" s="3"/>
      <c r="M45" s="5">
        <f t="shared" si="2"/>
        <v>0</v>
      </c>
      <c r="N45" s="28" t="e">
        <f t="shared" si="3"/>
        <v>#DIV/0!</v>
      </c>
      <c r="O45" s="7"/>
      <c r="P45" s="7"/>
      <c r="Q45" s="7"/>
      <c r="R45" s="7"/>
      <c r="S45" s="3"/>
      <c r="T45" s="37">
        <f t="shared" si="0"/>
        <v>0</v>
      </c>
      <c r="U45" s="28" t="e">
        <f t="shared" si="4"/>
        <v>#DIV/0!</v>
      </c>
      <c r="V45" s="59">
        <f t="shared" si="5"/>
        <v>0</v>
      </c>
    </row>
    <row r="46" spans="1:22" ht="21.75" customHeight="1">
      <c r="A46" s="87">
        <v>13</v>
      </c>
      <c r="B46" s="7" t="s">
        <v>12</v>
      </c>
      <c r="C46" s="3"/>
      <c r="D46" s="3"/>
      <c r="E46" s="4">
        <f t="shared" si="1"/>
        <v>0</v>
      </c>
      <c r="F46" s="3"/>
      <c r="G46" s="3"/>
      <c r="H46" s="3"/>
      <c r="I46" s="3"/>
      <c r="J46" s="3"/>
      <c r="K46" s="3"/>
      <c r="L46" s="3"/>
      <c r="M46" s="5">
        <f t="shared" si="2"/>
        <v>0</v>
      </c>
      <c r="N46" s="28" t="e">
        <f t="shared" si="3"/>
        <v>#DIV/0!</v>
      </c>
      <c r="O46" s="7"/>
      <c r="P46" s="7"/>
      <c r="Q46" s="7"/>
      <c r="R46" s="7"/>
      <c r="S46" s="3"/>
      <c r="T46" s="37">
        <f t="shared" si="0"/>
        <v>0</v>
      </c>
      <c r="U46" s="28" t="e">
        <f t="shared" si="4"/>
        <v>#DIV/0!</v>
      </c>
      <c r="V46" s="59">
        <f t="shared" si="5"/>
        <v>0</v>
      </c>
    </row>
    <row r="47" spans="1:22" ht="21.75" customHeight="1">
      <c r="A47" s="87"/>
      <c r="B47" s="7" t="s">
        <v>13</v>
      </c>
      <c r="C47" s="3"/>
      <c r="D47" s="3"/>
      <c r="E47" s="4">
        <f t="shared" si="1"/>
        <v>0</v>
      </c>
      <c r="F47" s="3"/>
      <c r="G47" s="3"/>
      <c r="H47" s="3"/>
      <c r="I47" s="3"/>
      <c r="J47" s="3"/>
      <c r="K47" s="3"/>
      <c r="L47" s="3"/>
      <c r="M47" s="5">
        <f t="shared" si="2"/>
        <v>0</v>
      </c>
      <c r="N47" s="28" t="e">
        <f t="shared" si="3"/>
        <v>#DIV/0!</v>
      </c>
      <c r="O47" s="7"/>
      <c r="P47" s="7"/>
      <c r="Q47" s="7"/>
      <c r="R47" s="7"/>
      <c r="S47" s="3"/>
      <c r="T47" s="37">
        <f t="shared" si="0"/>
        <v>0</v>
      </c>
      <c r="U47" s="28" t="e">
        <f t="shared" si="4"/>
        <v>#DIV/0!</v>
      </c>
      <c r="V47" s="59">
        <f t="shared" si="5"/>
        <v>0</v>
      </c>
    </row>
    <row r="48" spans="1:22" ht="21.75" customHeight="1">
      <c r="A48" s="87"/>
      <c r="B48" s="7" t="s">
        <v>14</v>
      </c>
      <c r="C48" s="3"/>
      <c r="D48" s="3"/>
      <c r="E48" s="4">
        <f t="shared" si="1"/>
        <v>0</v>
      </c>
      <c r="F48" s="3"/>
      <c r="G48" s="3"/>
      <c r="H48" s="3"/>
      <c r="I48" s="3"/>
      <c r="J48" s="3"/>
      <c r="K48" s="3"/>
      <c r="L48" s="3"/>
      <c r="M48" s="5">
        <f t="shared" si="2"/>
        <v>0</v>
      </c>
      <c r="N48" s="28" t="e">
        <f t="shared" si="3"/>
        <v>#DIV/0!</v>
      </c>
      <c r="O48" s="7"/>
      <c r="P48" s="7"/>
      <c r="Q48" s="7"/>
      <c r="R48" s="7"/>
      <c r="S48" s="3"/>
      <c r="T48" s="37">
        <f t="shared" si="0"/>
        <v>0</v>
      </c>
      <c r="U48" s="28" t="e">
        <f t="shared" si="4"/>
        <v>#DIV/0!</v>
      </c>
      <c r="V48" s="59">
        <f t="shared" si="5"/>
        <v>0</v>
      </c>
    </row>
    <row r="49" spans="1:22" ht="21.75" customHeight="1">
      <c r="A49" s="87">
        <v>14</v>
      </c>
      <c r="B49" s="7" t="s">
        <v>12</v>
      </c>
      <c r="C49" s="3"/>
      <c r="D49" s="3"/>
      <c r="E49" s="4">
        <f t="shared" si="1"/>
        <v>0</v>
      </c>
      <c r="F49" s="3"/>
      <c r="G49" s="3"/>
      <c r="H49" s="3"/>
      <c r="I49" s="3"/>
      <c r="J49" s="3"/>
      <c r="K49" s="3"/>
      <c r="L49" s="3"/>
      <c r="M49" s="5">
        <f t="shared" si="2"/>
        <v>0</v>
      </c>
      <c r="N49" s="28" t="e">
        <f t="shared" si="3"/>
        <v>#DIV/0!</v>
      </c>
      <c r="O49" s="7"/>
      <c r="P49" s="7"/>
      <c r="Q49" s="7"/>
      <c r="R49" s="7"/>
      <c r="S49" s="3"/>
      <c r="T49" s="37">
        <f t="shared" si="0"/>
        <v>0</v>
      </c>
      <c r="U49" s="28" t="e">
        <f t="shared" si="4"/>
        <v>#DIV/0!</v>
      </c>
      <c r="V49" s="59">
        <f t="shared" si="5"/>
        <v>0</v>
      </c>
    </row>
    <row r="50" spans="1:22" ht="21.75" customHeight="1">
      <c r="A50" s="87"/>
      <c r="B50" s="7" t="s">
        <v>13</v>
      </c>
      <c r="C50" s="3"/>
      <c r="D50" s="3"/>
      <c r="E50" s="4">
        <f t="shared" si="1"/>
        <v>0</v>
      </c>
      <c r="F50" s="3"/>
      <c r="G50" s="3"/>
      <c r="H50" s="3"/>
      <c r="I50" s="3"/>
      <c r="J50" s="3"/>
      <c r="K50" s="3"/>
      <c r="L50" s="3"/>
      <c r="M50" s="5">
        <f t="shared" si="2"/>
        <v>0</v>
      </c>
      <c r="N50" s="28" t="e">
        <f t="shared" si="3"/>
        <v>#DIV/0!</v>
      </c>
      <c r="O50" s="7"/>
      <c r="P50" s="7"/>
      <c r="Q50" s="7"/>
      <c r="R50" s="7"/>
      <c r="S50" s="3"/>
      <c r="T50" s="37">
        <f t="shared" si="0"/>
        <v>0</v>
      </c>
      <c r="U50" s="28" t="e">
        <f t="shared" si="4"/>
        <v>#DIV/0!</v>
      </c>
      <c r="V50" s="59">
        <f t="shared" si="5"/>
        <v>0</v>
      </c>
    </row>
    <row r="51" spans="1:22" ht="21.75" customHeight="1">
      <c r="A51" s="87"/>
      <c r="B51" s="7" t="s">
        <v>14</v>
      </c>
      <c r="C51" s="3"/>
      <c r="D51" s="3"/>
      <c r="E51" s="4">
        <f t="shared" si="1"/>
        <v>0</v>
      </c>
      <c r="F51" s="3"/>
      <c r="G51" s="3"/>
      <c r="H51" s="3"/>
      <c r="I51" s="3"/>
      <c r="J51" s="3"/>
      <c r="K51" s="3"/>
      <c r="L51" s="3"/>
      <c r="M51" s="5">
        <f t="shared" si="2"/>
        <v>0</v>
      </c>
      <c r="N51" s="28" t="e">
        <f t="shared" si="3"/>
        <v>#DIV/0!</v>
      </c>
      <c r="O51" s="7"/>
      <c r="P51" s="7"/>
      <c r="Q51" s="7"/>
      <c r="R51" s="7"/>
      <c r="S51" s="3"/>
      <c r="T51" s="37">
        <f t="shared" si="0"/>
        <v>0</v>
      </c>
      <c r="U51" s="28" t="e">
        <f t="shared" si="4"/>
        <v>#DIV/0!</v>
      </c>
      <c r="V51" s="59">
        <f t="shared" si="5"/>
        <v>0</v>
      </c>
    </row>
    <row r="52" spans="1:22" ht="21.75" customHeight="1">
      <c r="A52" s="87">
        <v>15</v>
      </c>
      <c r="B52" s="7" t="s">
        <v>12</v>
      </c>
      <c r="C52" s="3"/>
      <c r="D52" s="3"/>
      <c r="E52" s="4">
        <f t="shared" si="1"/>
        <v>0</v>
      </c>
      <c r="F52" s="3"/>
      <c r="G52" s="3"/>
      <c r="H52" s="3"/>
      <c r="I52" s="3"/>
      <c r="J52" s="3"/>
      <c r="K52" s="3"/>
      <c r="L52" s="3"/>
      <c r="M52" s="5">
        <f t="shared" si="2"/>
        <v>0</v>
      </c>
      <c r="N52" s="28" t="e">
        <f t="shared" si="3"/>
        <v>#DIV/0!</v>
      </c>
      <c r="O52" s="7"/>
      <c r="P52" s="7"/>
      <c r="Q52" s="7"/>
      <c r="R52" s="7"/>
      <c r="S52" s="3"/>
      <c r="T52" s="37">
        <f t="shared" si="0"/>
        <v>0</v>
      </c>
      <c r="U52" s="28" t="e">
        <f t="shared" si="4"/>
        <v>#DIV/0!</v>
      </c>
      <c r="V52" s="59">
        <f t="shared" si="5"/>
        <v>0</v>
      </c>
    </row>
    <row r="53" spans="1:22" ht="21.75" customHeight="1">
      <c r="A53" s="87"/>
      <c r="B53" s="7" t="s">
        <v>13</v>
      </c>
      <c r="C53" s="3"/>
      <c r="D53" s="3"/>
      <c r="E53" s="4">
        <f t="shared" si="1"/>
        <v>0</v>
      </c>
      <c r="F53" s="3"/>
      <c r="G53" s="3"/>
      <c r="H53" s="3"/>
      <c r="I53" s="3"/>
      <c r="J53" s="3"/>
      <c r="K53" s="3"/>
      <c r="L53" s="3"/>
      <c r="M53" s="5">
        <f t="shared" si="2"/>
        <v>0</v>
      </c>
      <c r="N53" s="28" t="e">
        <f t="shared" si="3"/>
        <v>#DIV/0!</v>
      </c>
      <c r="O53" s="7"/>
      <c r="P53" s="7"/>
      <c r="Q53" s="7"/>
      <c r="R53" s="7"/>
      <c r="S53" s="3"/>
      <c r="T53" s="37">
        <f t="shared" si="0"/>
        <v>0</v>
      </c>
      <c r="U53" s="28" t="e">
        <f t="shared" si="4"/>
        <v>#DIV/0!</v>
      </c>
      <c r="V53" s="59">
        <f t="shared" si="5"/>
        <v>0</v>
      </c>
    </row>
    <row r="54" spans="1:22" ht="21.75" customHeight="1">
      <c r="A54" s="87"/>
      <c r="B54" s="7" t="s">
        <v>14</v>
      </c>
      <c r="C54" s="3"/>
      <c r="D54" s="3"/>
      <c r="E54" s="4">
        <f t="shared" si="1"/>
        <v>0</v>
      </c>
      <c r="F54" s="3"/>
      <c r="G54" s="3"/>
      <c r="H54" s="3"/>
      <c r="I54" s="3"/>
      <c r="J54" s="3"/>
      <c r="K54" s="3"/>
      <c r="L54" s="3"/>
      <c r="M54" s="5">
        <f t="shared" si="2"/>
        <v>0</v>
      </c>
      <c r="N54" s="28" t="e">
        <f t="shared" si="3"/>
        <v>#DIV/0!</v>
      </c>
      <c r="O54" s="7"/>
      <c r="P54" s="7"/>
      <c r="Q54" s="7"/>
      <c r="R54" s="7"/>
      <c r="S54" s="3"/>
      <c r="T54" s="37">
        <f t="shared" si="0"/>
        <v>0</v>
      </c>
      <c r="U54" s="28" t="e">
        <f t="shared" si="4"/>
        <v>#DIV/0!</v>
      </c>
      <c r="V54" s="59">
        <f t="shared" si="5"/>
        <v>0</v>
      </c>
    </row>
    <row r="55" spans="1:22" ht="21.75" customHeight="1">
      <c r="A55" s="87">
        <v>16</v>
      </c>
      <c r="B55" s="7" t="s">
        <v>12</v>
      </c>
      <c r="C55" s="3"/>
      <c r="D55" s="3"/>
      <c r="E55" s="4">
        <f t="shared" si="1"/>
        <v>0</v>
      </c>
      <c r="F55" s="3"/>
      <c r="G55" s="3"/>
      <c r="H55" s="3"/>
      <c r="I55" s="3"/>
      <c r="J55" s="3"/>
      <c r="K55" s="3"/>
      <c r="L55" s="3"/>
      <c r="M55" s="5">
        <f t="shared" si="2"/>
        <v>0</v>
      </c>
      <c r="N55" s="28" t="e">
        <f t="shared" si="3"/>
        <v>#DIV/0!</v>
      </c>
      <c r="O55" s="7"/>
      <c r="P55" s="7"/>
      <c r="Q55" s="7"/>
      <c r="R55" s="7"/>
      <c r="S55" s="3"/>
      <c r="T55" s="37">
        <f t="shared" si="0"/>
        <v>0</v>
      </c>
      <c r="U55" s="28" t="e">
        <f t="shared" si="4"/>
        <v>#DIV/0!</v>
      </c>
      <c r="V55" s="59">
        <f t="shared" si="5"/>
        <v>0</v>
      </c>
    </row>
    <row r="56" spans="1:22" ht="21.75" customHeight="1">
      <c r="A56" s="87"/>
      <c r="B56" s="7" t="s">
        <v>13</v>
      </c>
      <c r="C56" s="3"/>
      <c r="D56" s="3"/>
      <c r="E56" s="4">
        <f t="shared" si="1"/>
        <v>0</v>
      </c>
      <c r="F56" s="3"/>
      <c r="G56" s="3"/>
      <c r="H56" s="3"/>
      <c r="I56" s="3"/>
      <c r="J56" s="3"/>
      <c r="K56" s="3"/>
      <c r="L56" s="3"/>
      <c r="M56" s="5">
        <f t="shared" si="2"/>
        <v>0</v>
      </c>
      <c r="N56" s="28" t="e">
        <f t="shared" si="3"/>
        <v>#DIV/0!</v>
      </c>
      <c r="O56" s="7"/>
      <c r="P56" s="7"/>
      <c r="Q56" s="7"/>
      <c r="R56" s="7"/>
      <c r="S56" s="3"/>
      <c r="T56" s="37">
        <f t="shared" si="0"/>
        <v>0</v>
      </c>
      <c r="U56" s="28" t="e">
        <f t="shared" si="4"/>
        <v>#DIV/0!</v>
      </c>
      <c r="V56" s="59">
        <f t="shared" si="5"/>
        <v>0</v>
      </c>
    </row>
    <row r="57" spans="1:22" ht="21.75" customHeight="1">
      <c r="A57" s="87"/>
      <c r="B57" s="7" t="s">
        <v>14</v>
      </c>
      <c r="C57" s="3"/>
      <c r="D57" s="3"/>
      <c r="E57" s="4">
        <f t="shared" si="1"/>
        <v>0</v>
      </c>
      <c r="F57" s="3"/>
      <c r="G57" s="3"/>
      <c r="H57" s="3"/>
      <c r="I57" s="3"/>
      <c r="J57" s="3"/>
      <c r="K57" s="3"/>
      <c r="L57" s="3"/>
      <c r="M57" s="5">
        <f t="shared" si="2"/>
        <v>0</v>
      </c>
      <c r="N57" s="28" t="e">
        <f t="shared" si="3"/>
        <v>#DIV/0!</v>
      </c>
      <c r="O57" s="7"/>
      <c r="P57" s="7"/>
      <c r="Q57" s="7"/>
      <c r="R57" s="7"/>
      <c r="S57" s="3"/>
      <c r="T57" s="37">
        <f t="shared" si="0"/>
        <v>0</v>
      </c>
      <c r="U57" s="28" t="e">
        <f t="shared" si="4"/>
        <v>#DIV/0!</v>
      </c>
      <c r="V57" s="59">
        <f t="shared" si="5"/>
        <v>0</v>
      </c>
    </row>
    <row r="58" spans="1:22" ht="21.75" customHeight="1">
      <c r="A58" s="87">
        <v>17</v>
      </c>
      <c r="B58" s="7" t="s">
        <v>12</v>
      </c>
      <c r="C58" s="3"/>
      <c r="D58" s="3"/>
      <c r="E58" s="4">
        <f t="shared" si="1"/>
        <v>0</v>
      </c>
      <c r="F58" s="3"/>
      <c r="G58" s="3"/>
      <c r="H58" s="3"/>
      <c r="I58" s="3"/>
      <c r="J58" s="3"/>
      <c r="K58" s="3"/>
      <c r="L58" s="3"/>
      <c r="M58" s="5">
        <f t="shared" si="2"/>
        <v>0</v>
      </c>
      <c r="N58" s="28" t="e">
        <f t="shared" si="3"/>
        <v>#DIV/0!</v>
      </c>
      <c r="O58" s="7"/>
      <c r="P58" s="7"/>
      <c r="Q58" s="7"/>
      <c r="R58" s="7"/>
      <c r="S58" s="3"/>
      <c r="T58" s="37">
        <f t="shared" si="0"/>
        <v>0</v>
      </c>
      <c r="U58" s="28" t="e">
        <f t="shared" si="4"/>
        <v>#DIV/0!</v>
      </c>
      <c r="V58" s="59">
        <f t="shared" si="5"/>
        <v>0</v>
      </c>
    </row>
    <row r="59" spans="1:22" ht="21.75" customHeight="1">
      <c r="A59" s="87"/>
      <c r="B59" s="7" t="s">
        <v>13</v>
      </c>
      <c r="C59" s="3"/>
      <c r="D59" s="3"/>
      <c r="E59" s="4">
        <f t="shared" si="1"/>
        <v>0</v>
      </c>
      <c r="F59" s="3"/>
      <c r="G59" s="3"/>
      <c r="H59" s="3"/>
      <c r="I59" s="3"/>
      <c r="J59" s="3"/>
      <c r="K59" s="3"/>
      <c r="L59" s="3"/>
      <c r="M59" s="5">
        <f t="shared" si="2"/>
        <v>0</v>
      </c>
      <c r="N59" s="28" t="e">
        <f t="shared" si="3"/>
        <v>#DIV/0!</v>
      </c>
      <c r="O59" s="7"/>
      <c r="P59" s="7"/>
      <c r="Q59" s="7"/>
      <c r="R59" s="7"/>
      <c r="S59" s="3"/>
      <c r="T59" s="37">
        <f t="shared" si="0"/>
        <v>0</v>
      </c>
      <c r="U59" s="28" t="e">
        <f t="shared" si="4"/>
        <v>#DIV/0!</v>
      </c>
      <c r="V59" s="59">
        <f t="shared" si="5"/>
        <v>0</v>
      </c>
    </row>
    <row r="60" spans="1:22" ht="21.75" customHeight="1">
      <c r="A60" s="87"/>
      <c r="B60" s="7" t="s">
        <v>14</v>
      </c>
      <c r="C60" s="3"/>
      <c r="D60" s="3"/>
      <c r="E60" s="4">
        <f t="shared" si="1"/>
        <v>0</v>
      </c>
      <c r="F60" s="3"/>
      <c r="G60" s="3"/>
      <c r="H60" s="3"/>
      <c r="I60" s="3"/>
      <c r="J60" s="3"/>
      <c r="K60" s="3"/>
      <c r="L60" s="3"/>
      <c r="M60" s="5">
        <f t="shared" si="2"/>
        <v>0</v>
      </c>
      <c r="N60" s="28" t="e">
        <f t="shared" si="3"/>
        <v>#DIV/0!</v>
      </c>
      <c r="O60" s="7"/>
      <c r="P60" s="7"/>
      <c r="Q60" s="7"/>
      <c r="R60" s="7"/>
      <c r="S60" s="3"/>
      <c r="T60" s="37">
        <f t="shared" si="0"/>
        <v>0</v>
      </c>
      <c r="U60" s="28" t="e">
        <f t="shared" si="4"/>
        <v>#DIV/0!</v>
      </c>
      <c r="V60" s="59">
        <f t="shared" si="5"/>
        <v>0</v>
      </c>
    </row>
    <row r="61" spans="1:22" ht="21.75" customHeight="1">
      <c r="A61" s="87">
        <v>18</v>
      </c>
      <c r="B61" s="7" t="s">
        <v>12</v>
      </c>
      <c r="C61" s="3"/>
      <c r="D61" s="3"/>
      <c r="E61" s="4">
        <f t="shared" si="1"/>
        <v>0</v>
      </c>
      <c r="F61" s="3"/>
      <c r="G61" s="3"/>
      <c r="H61" s="3"/>
      <c r="I61" s="3"/>
      <c r="J61" s="3"/>
      <c r="K61" s="3"/>
      <c r="L61" s="3"/>
      <c r="M61" s="5">
        <f t="shared" si="2"/>
        <v>0</v>
      </c>
      <c r="N61" s="28" t="e">
        <f t="shared" si="3"/>
        <v>#DIV/0!</v>
      </c>
      <c r="O61" s="7"/>
      <c r="P61" s="7"/>
      <c r="Q61" s="7"/>
      <c r="R61" s="7"/>
      <c r="S61" s="3"/>
      <c r="T61" s="37">
        <f t="shared" si="0"/>
        <v>0</v>
      </c>
      <c r="U61" s="28" t="e">
        <f t="shared" si="4"/>
        <v>#DIV/0!</v>
      </c>
      <c r="V61" s="59">
        <f t="shared" si="5"/>
        <v>0</v>
      </c>
    </row>
    <row r="62" spans="1:22" ht="21.75" customHeight="1">
      <c r="A62" s="87"/>
      <c r="B62" s="7" t="s">
        <v>13</v>
      </c>
      <c r="C62" s="3"/>
      <c r="D62" s="3"/>
      <c r="E62" s="4">
        <f t="shared" si="1"/>
        <v>0</v>
      </c>
      <c r="F62" s="3"/>
      <c r="G62" s="3"/>
      <c r="H62" s="3"/>
      <c r="I62" s="3"/>
      <c r="J62" s="3"/>
      <c r="K62" s="3"/>
      <c r="L62" s="3"/>
      <c r="M62" s="5">
        <f t="shared" si="2"/>
        <v>0</v>
      </c>
      <c r="N62" s="28" t="e">
        <f t="shared" si="3"/>
        <v>#DIV/0!</v>
      </c>
      <c r="O62" s="7"/>
      <c r="P62" s="7"/>
      <c r="Q62" s="7"/>
      <c r="R62" s="7"/>
      <c r="S62" s="3"/>
      <c r="T62" s="37">
        <f t="shared" si="0"/>
        <v>0</v>
      </c>
      <c r="U62" s="28" t="e">
        <f t="shared" si="4"/>
        <v>#DIV/0!</v>
      </c>
      <c r="V62" s="59">
        <f t="shared" si="5"/>
        <v>0</v>
      </c>
    </row>
    <row r="63" spans="1:22" ht="21.75" customHeight="1">
      <c r="A63" s="87"/>
      <c r="B63" s="7" t="s">
        <v>14</v>
      </c>
      <c r="C63" s="3"/>
      <c r="D63" s="3"/>
      <c r="E63" s="4">
        <f t="shared" si="1"/>
        <v>0</v>
      </c>
      <c r="F63" s="3"/>
      <c r="G63" s="3"/>
      <c r="H63" s="3"/>
      <c r="I63" s="3"/>
      <c r="J63" s="3"/>
      <c r="K63" s="3"/>
      <c r="L63" s="3"/>
      <c r="M63" s="5">
        <f t="shared" si="2"/>
        <v>0</v>
      </c>
      <c r="N63" s="28" t="e">
        <f t="shared" si="3"/>
        <v>#DIV/0!</v>
      </c>
      <c r="O63" s="7"/>
      <c r="P63" s="7"/>
      <c r="Q63" s="7"/>
      <c r="R63" s="7"/>
      <c r="S63" s="3"/>
      <c r="T63" s="37">
        <f t="shared" si="0"/>
        <v>0</v>
      </c>
      <c r="U63" s="28" t="e">
        <f t="shared" si="4"/>
        <v>#DIV/0!</v>
      </c>
      <c r="V63" s="59">
        <f t="shared" si="5"/>
        <v>0</v>
      </c>
    </row>
    <row r="64" spans="1:22" ht="21.75" customHeight="1">
      <c r="A64" s="87">
        <v>19</v>
      </c>
      <c r="B64" s="7" t="s">
        <v>12</v>
      </c>
      <c r="C64" s="3"/>
      <c r="D64" s="3"/>
      <c r="E64" s="4">
        <f t="shared" si="1"/>
        <v>0</v>
      </c>
      <c r="F64" s="3"/>
      <c r="G64" s="3"/>
      <c r="H64" s="3"/>
      <c r="I64" s="3"/>
      <c r="J64" s="3"/>
      <c r="K64" s="3"/>
      <c r="L64" s="3"/>
      <c r="M64" s="5">
        <f t="shared" si="2"/>
        <v>0</v>
      </c>
      <c r="N64" s="28" t="e">
        <f t="shared" si="3"/>
        <v>#DIV/0!</v>
      </c>
      <c r="O64" s="7"/>
      <c r="P64" s="7"/>
      <c r="Q64" s="7"/>
      <c r="R64" s="7"/>
      <c r="S64" s="3"/>
      <c r="T64" s="37">
        <f t="shared" si="0"/>
        <v>0</v>
      </c>
      <c r="U64" s="28" t="e">
        <f t="shared" si="4"/>
        <v>#DIV/0!</v>
      </c>
      <c r="V64" s="59">
        <f t="shared" si="5"/>
        <v>0</v>
      </c>
    </row>
    <row r="65" spans="1:22" ht="21.75" customHeight="1">
      <c r="A65" s="87"/>
      <c r="B65" s="7" t="s">
        <v>13</v>
      </c>
      <c r="C65" s="3"/>
      <c r="D65" s="3"/>
      <c r="E65" s="4">
        <f t="shared" si="1"/>
        <v>0</v>
      </c>
      <c r="F65" s="3"/>
      <c r="G65" s="3"/>
      <c r="H65" s="3"/>
      <c r="I65" s="3"/>
      <c r="J65" s="3"/>
      <c r="K65" s="3"/>
      <c r="L65" s="3"/>
      <c r="M65" s="5">
        <f t="shared" si="2"/>
        <v>0</v>
      </c>
      <c r="N65" s="28" t="e">
        <f t="shared" si="3"/>
        <v>#DIV/0!</v>
      </c>
      <c r="O65" s="7"/>
      <c r="P65" s="7"/>
      <c r="Q65" s="7"/>
      <c r="R65" s="7"/>
      <c r="S65" s="3"/>
      <c r="T65" s="37">
        <f t="shared" si="0"/>
        <v>0</v>
      </c>
      <c r="U65" s="28" t="e">
        <f t="shared" si="4"/>
        <v>#DIV/0!</v>
      </c>
      <c r="V65" s="59">
        <f t="shared" si="5"/>
        <v>0</v>
      </c>
    </row>
    <row r="66" spans="1:22" ht="21.75" customHeight="1">
      <c r="A66" s="87"/>
      <c r="B66" s="7" t="s">
        <v>14</v>
      </c>
      <c r="C66" s="3"/>
      <c r="D66" s="3"/>
      <c r="E66" s="4">
        <f t="shared" si="1"/>
        <v>0</v>
      </c>
      <c r="F66" s="3"/>
      <c r="G66" s="3"/>
      <c r="H66" s="3"/>
      <c r="I66" s="3"/>
      <c r="J66" s="3"/>
      <c r="K66" s="3"/>
      <c r="L66" s="3"/>
      <c r="M66" s="5">
        <f t="shared" si="2"/>
        <v>0</v>
      </c>
      <c r="N66" s="28" t="e">
        <f t="shared" si="3"/>
        <v>#DIV/0!</v>
      </c>
      <c r="O66" s="7"/>
      <c r="P66" s="7"/>
      <c r="Q66" s="7"/>
      <c r="R66" s="7"/>
      <c r="S66" s="3"/>
      <c r="T66" s="37">
        <f t="shared" si="0"/>
        <v>0</v>
      </c>
      <c r="U66" s="28" t="e">
        <f t="shared" si="4"/>
        <v>#DIV/0!</v>
      </c>
      <c r="V66" s="59">
        <f t="shared" si="5"/>
        <v>0</v>
      </c>
    </row>
    <row r="67" spans="1:22" ht="21.75" customHeight="1">
      <c r="A67" s="87">
        <v>20</v>
      </c>
      <c r="B67" s="7" t="s">
        <v>12</v>
      </c>
      <c r="C67" s="3"/>
      <c r="D67" s="3"/>
      <c r="E67" s="4">
        <f t="shared" si="1"/>
        <v>0</v>
      </c>
      <c r="F67" s="3"/>
      <c r="G67" s="3"/>
      <c r="H67" s="3"/>
      <c r="I67" s="3"/>
      <c r="J67" s="3"/>
      <c r="K67" s="3"/>
      <c r="L67" s="3"/>
      <c r="M67" s="5">
        <f t="shared" si="2"/>
        <v>0</v>
      </c>
      <c r="N67" s="28" t="e">
        <f t="shared" si="3"/>
        <v>#DIV/0!</v>
      </c>
      <c r="O67" s="7"/>
      <c r="P67" s="7"/>
      <c r="Q67" s="7"/>
      <c r="R67" s="7"/>
      <c r="S67" s="3"/>
      <c r="T67" s="37">
        <f t="shared" si="0"/>
        <v>0</v>
      </c>
      <c r="U67" s="28" t="e">
        <f t="shared" si="4"/>
        <v>#DIV/0!</v>
      </c>
      <c r="V67" s="59">
        <f t="shared" si="5"/>
        <v>0</v>
      </c>
    </row>
    <row r="68" spans="1:22" ht="21.75" customHeight="1">
      <c r="A68" s="87"/>
      <c r="B68" s="7" t="s">
        <v>13</v>
      </c>
      <c r="C68" s="3"/>
      <c r="D68" s="3"/>
      <c r="E68" s="4">
        <f t="shared" si="1"/>
        <v>0</v>
      </c>
      <c r="F68" s="3"/>
      <c r="G68" s="3"/>
      <c r="H68" s="3"/>
      <c r="I68" s="3"/>
      <c r="J68" s="3"/>
      <c r="K68" s="3"/>
      <c r="L68" s="3"/>
      <c r="M68" s="5">
        <f t="shared" si="2"/>
        <v>0</v>
      </c>
      <c r="N68" s="28" t="e">
        <f t="shared" si="3"/>
        <v>#DIV/0!</v>
      </c>
      <c r="O68" s="7"/>
      <c r="P68" s="7"/>
      <c r="Q68" s="7"/>
      <c r="R68" s="7"/>
      <c r="S68" s="3"/>
      <c r="T68" s="37">
        <f t="shared" si="0"/>
        <v>0</v>
      </c>
      <c r="U68" s="28" t="e">
        <f t="shared" si="4"/>
        <v>#DIV/0!</v>
      </c>
      <c r="V68" s="59">
        <f t="shared" si="5"/>
        <v>0</v>
      </c>
    </row>
    <row r="69" spans="1:22" ht="21.75" customHeight="1">
      <c r="A69" s="87"/>
      <c r="B69" s="7" t="s">
        <v>14</v>
      </c>
      <c r="C69" s="3"/>
      <c r="D69" s="3"/>
      <c r="E69" s="4">
        <f t="shared" si="1"/>
        <v>0</v>
      </c>
      <c r="F69" s="3"/>
      <c r="G69" s="3"/>
      <c r="H69" s="3"/>
      <c r="I69" s="3"/>
      <c r="J69" s="3"/>
      <c r="K69" s="3"/>
      <c r="L69" s="3"/>
      <c r="M69" s="5">
        <f t="shared" si="2"/>
        <v>0</v>
      </c>
      <c r="N69" s="28" t="e">
        <f t="shared" si="3"/>
        <v>#DIV/0!</v>
      </c>
      <c r="O69" s="7"/>
      <c r="P69" s="7"/>
      <c r="Q69" s="7"/>
      <c r="R69" s="7"/>
      <c r="S69" s="3"/>
      <c r="T69" s="37">
        <f t="shared" si="0"/>
        <v>0</v>
      </c>
      <c r="U69" s="28" t="e">
        <f t="shared" si="4"/>
        <v>#DIV/0!</v>
      </c>
      <c r="V69" s="59">
        <f t="shared" si="5"/>
        <v>0</v>
      </c>
    </row>
    <row r="70" spans="1:22" ht="21.75" customHeight="1">
      <c r="A70" s="87">
        <v>21</v>
      </c>
      <c r="B70" s="7" t="s">
        <v>12</v>
      </c>
      <c r="C70" s="3"/>
      <c r="D70" s="3"/>
      <c r="E70" s="4">
        <f t="shared" si="1"/>
        <v>0</v>
      </c>
      <c r="F70" s="3"/>
      <c r="G70" s="3"/>
      <c r="H70" s="3"/>
      <c r="I70" s="3"/>
      <c r="J70" s="3"/>
      <c r="K70" s="3"/>
      <c r="L70" s="3"/>
      <c r="M70" s="5">
        <f t="shared" si="2"/>
        <v>0</v>
      </c>
      <c r="N70" s="28" t="e">
        <f t="shared" si="3"/>
        <v>#DIV/0!</v>
      </c>
      <c r="O70" s="7"/>
      <c r="P70" s="7"/>
      <c r="Q70" s="7"/>
      <c r="R70" s="7"/>
      <c r="S70" s="3"/>
      <c r="T70" s="37">
        <f t="shared" si="0"/>
        <v>0</v>
      </c>
      <c r="U70" s="28" t="e">
        <f t="shared" si="4"/>
        <v>#DIV/0!</v>
      </c>
      <c r="V70" s="59">
        <f t="shared" si="5"/>
        <v>0</v>
      </c>
    </row>
    <row r="71" spans="1:22" ht="21.75" customHeight="1">
      <c r="A71" s="87"/>
      <c r="B71" s="7" t="s">
        <v>13</v>
      </c>
      <c r="C71" s="3"/>
      <c r="D71" s="3"/>
      <c r="E71" s="4">
        <f t="shared" si="1"/>
        <v>0</v>
      </c>
      <c r="F71" s="3"/>
      <c r="G71" s="3"/>
      <c r="H71" s="3"/>
      <c r="I71" s="3"/>
      <c r="J71" s="3"/>
      <c r="K71" s="3"/>
      <c r="L71" s="3"/>
      <c r="M71" s="5">
        <f t="shared" si="2"/>
        <v>0</v>
      </c>
      <c r="N71" s="28" t="e">
        <f t="shared" si="3"/>
        <v>#DIV/0!</v>
      </c>
      <c r="O71" s="7"/>
      <c r="P71" s="7"/>
      <c r="Q71" s="7"/>
      <c r="R71" s="7"/>
      <c r="S71" s="3"/>
      <c r="T71" s="37">
        <f t="shared" si="0"/>
        <v>0</v>
      </c>
      <c r="U71" s="28" t="e">
        <f t="shared" si="4"/>
        <v>#DIV/0!</v>
      </c>
      <c r="V71" s="59">
        <f t="shared" si="5"/>
        <v>0</v>
      </c>
    </row>
    <row r="72" spans="1:22" ht="21.75" customHeight="1">
      <c r="A72" s="87"/>
      <c r="B72" s="7" t="s">
        <v>14</v>
      </c>
      <c r="C72" s="3"/>
      <c r="D72" s="3"/>
      <c r="E72" s="4">
        <f t="shared" si="1"/>
        <v>0</v>
      </c>
      <c r="F72" s="3"/>
      <c r="G72" s="3"/>
      <c r="H72" s="3"/>
      <c r="I72" s="3"/>
      <c r="J72" s="3"/>
      <c r="K72" s="3"/>
      <c r="L72" s="3"/>
      <c r="M72" s="5">
        <f t="shared" si="2"/>
        <v>0</v>
      </c>
      <c r="N72" s="28" t="e">
        <f t="shared" si="3"/>
        <v>#DIV/0!</v>
      </c>
      <c r="O72" s="7"/>
      <c r="P72" s="7"/>
      <c r="Q72" s="7"/>
      <c r="R72" s="7"/>
      <c r="S72" s="3"/>
      <c r="T72" s="37">
        <f t="shared" si="0"/>
        <v>0</v>
      </c>
      <c r="U72" s="28" t="e">
        <f t="shared" si="4"/>
        <v>#DIV/0!</v>
      </c>
      <c r="V72" s="59">
        <f t="shared" si="5"/>
        <v>0</v>
      </c>
    </row>
    <row r="73" spans="1:22" ht="21.75" customHeight="1">
      <c r="A73" s="87">
        <v>22</v>
      </c>
      <c r="B73" s="7" t="s">
        <v>12</v>
      </c>
      <c r="C73" s="3"/>
      <c r="D73" s="3"/>
      <c r="E73" s="4">
        <f t="shared" si="1"/>
        <v>0</v>
      </c>
      <c r="F73" s="3"/>
      <c r="G73" s="3"/>
      <c r="H73" s="3"/>
      <c r="I73" s="3"/>
      <c r="J73" s="3"/>
      <c r="K73" s="3"/>
      <c r="L73" s="3"/>
      <c r="M73" s="5">
        <f t="shared" si="2"/>
        <v>0</v>
      </c>
      <c r="N73" s="28" t="e">
        <f t="shared" si="3"/>
        <v>#DIV/0!</v>
      </c>
      <c r="O73" s="7"/>
      <c r="P73" s="7"/>
      <c r="Q73" s="7"/>
      <c r="R73" s="7"/>
      <c r="S73" s="3"/>
      <c r="T73" s="37">
        <f t="shared" si="0"/>
        <v>0</v>
      </c>
      <c r="U73" s="28" t="e">
        <f t="shared" si="4"/>
        <v>#DIV/0!</v>
      </c>
      <c r="V73" s="59">
        <f t="shared" si="5"/>
        <v>0</v>
      </c>
    </row>
    <row r="74" spans="1:22" ht="21.75" customHeight="1">
      <c r="A74" s="87"/>
      <c r="B74" s="7" t="s">
        <v>13</v>
      </c>
      <c r="C74" s="3"/>
      <c r="D74" s="3"/>
      <c r="E74" s="4">
        <f t="shared" si="1"/>
        <v>0</v>
      </c>
      <c r="F74" s="3"/>
      <c r="G74" s="3"/>
      <c r="H74" s="3"/>
      <c r="I74" s="3"/>
      <c r="J74" s="3"/>
      <c r="K74" s="3"/>
      <c r="L74" s="3"/>
      <c r="M74" s="5">
        <f t="shared" si="2"/>
        <v>0</v>
      </c>
      <c r="N74" s="28" t="e">
        <f t="shared" si="3"/>
        <v>#DIV/0!</v>
      </c>
      <c r="O74" s="7"/>
      <c r="P74" s="7"/>
      <c r="Q74" s="7"/>
      <c r="R74" s="7"/>
      <c r="S74" s="3"/>
      <c r="T74" s="37">
        <f t="shared" ref="T74:T106" si="6">SUM(O74:S74)</f>
        <v>0</v>
      </c>
      <c r="U74" s="28" t="e">
        <f t="shared" si="4"/>
        <v>#DIV/0!</v>
      </c>
      <c r="V74" s="59">
        <f t="shared" si="5"/>
        <v>0</v>
      </c>
    </row>
    <row r="75" spans="1:22" ht="21.75" customHeight="1">
      <c r="A75" s="87"/>
      <c r="B75" s="7" t="s">
        <v>14</v>
      </c>
      <c r="C75" s="3"/>
      <c r="D75" s="3"/>
      <c r="E75" s="4">
        <f t="shared" ref="E75:E102" si="7">((($B$3*C75)+(12*D75))*$E$4)/7</f>
        <v>0</v>
      </c>
      <c r="F75" s="3"/>
      <c r="G75" s="3"/>
      <c r="H75" s="3"/>
      <c r="I75" s="3"/>
      <c r="J75" s="3"/>
      <c r="K75" s="3"/>
      <c r="L75" s="3"/>
      <c r="M75" s="5">
        <f t="shared" ref="M75:M106" si="8">(F75+G75+H75+L75)-E75</f>
        <v>0</v>
      </c>
      <c r="N75" s="28" t="e">
        <f t="shared" ref="N75:N105" si="9">(((C75*4.5)+(12*D75))*$E$4)/((F75+G75+H75+I75+J75+K75+L75)*7)*100</f>
        <v>#DIV/0!</v>
      </c>
      <c r="O75" s="7"/>
      <c r="P75" s="7"/>
      <c r="Q75" s="7"/>
      <c r="R75" s="7"/>
      <c r="S75" s="3"/>
      <c r="T75" s="37">
        <f t="shared" si="6"/>
        <v>0</v>
      </c>
      <c r="U75" s="28" t="e">
        <f t="shared" ref="U75:U106" si="10">((((O75*1.5+(P75*3.5)+(Q75*5.5)+(R75*7.5)+(S75*12)))/3)/((F75+G75+H75+I75+J75+K75+L75)*7))*100</f>
        <v>#DIV/0!</v>
      </c>
      <c r="V75" s="59">
        <f t="shared" ref="V75:V106" si="11">C75+D75-T75</f>
        <v>0</v>
      </c>
    </row>
    <row r="76" spans="1:22" ht="21.75" customHeight="1">
      <c r="A76" s="87">
        <v>23</v>
      </c>
      <c r="B76" s="7" t="s">
        <v>12</v>
      </c>
      <c r="C76" s="3"/>
      <c r="D76" s="3"/>
      <c r="E76" s="4">
        <f t="shared" si="7"/>
        <v>0</v>
      </c>
      <c r="F76" s="3"/>
      <c r="G76" s="3"/>
      <c r="H76" s="3"/>
      <c r="I76" s="3"/>
      <c r="J76" s="3"/>
      <c r="K76" s="3"/>
      <c r="L76" s="3"/>
      <c r="M76" s="5">
        <f t="shared" si="8"/>
        <v>0</v>
      </c>
      <c r="N76" s="28" t="e">
        <f t="shared" si="9"/>
        <v>#DIV/0!</v>
      </c>
      <c r="O76" s="7"/>
      <c r="P76" s="7"/>
      <c r="Q76" s="7"/>
      <c r="R76" s="7"/>
      <c r="S76" s="3"/>
      <c r="T76" s="37">
        <f t="shared" si="6"/>
        <v>0</v>
      </c>
      <c r="U76" s="28" t="e">
        <f t="shared" si="10"/>
        <v>#DIV/0!</v>
      </c>
      <c r="V76" s="59">
        <f t="shared" si="11"/>
        <v>0</v>
      </c>
    </row>
    <row r="77" spans="1:22" ht="21.75" customHeight="1">
      <c r="A77" s="87"/>
      <c r="B77" s="7" t="s">
        <v>13</v>
      </c>
      <c r="C77" s="3"/>
      <c r="D77" s="3"/>
      <c r="E77" s="4">
        <f t="shared" si="7"/>
        <v>0</v>
      </c>
      <c r="F77" s="3"/>
      <c r="G77" s="3"/>
      <c r="H77" s="3"/>
      <c r="I77" s="3"/>
      <c r="J77" s="3"/>
      <c r="K77" s="3"/>
      <c r="L77" s="3"/>
      <c r="M77" s="5">
        <f t="shared" si="8"/>
        <v>0</v>
      </c>
      <c r="N77" s="28" t="e">
        <f t="shared" si="9"/>
        <v>#DIV/0!</v>
      </c>
      <c r="O77" s="7"/>
      <c r="P77" s="7"/>
      <c r="Q77" s="7"/>
      <c r="R77" s="7"/>
      <c r="S77" s="3"/>
      <c r="T77" s="37">
        <f t="shared" si="6"/>
        <v>0</v>
      </c>
      <c r="U77" s="28" t="e">
        <f t="shared" si="10"/>
        <v>#DIV/0!</v>
      </c>
      <c r="V77" s="59">
        <f t="shared" si="11"/>
        <v>0</v>
      </c>
    </row>
    <row r="78" spans="1:22" ht="21.75" customHeight="1">
      <c r="A78" s="87"/>
      <c r="B78" s="7" t="s">
        <v>14</v>
      </c>
      <c r="C78" s="3"/>
      <c r="D78" s="3"/>
      <c r="E78" s="4">
        <f t="shared" si="7"/>
        <v>0</v>
      </c>
      <c r="F78" s="3"/>
      <c r="G78" s="3"/>
      <c r="H78" s="3"/>
      <c r="I78" s="3"/>
      <c r="J78" s="3"/>
      <c r="K78" s="3"/>
      <c r="L78" s="3"/>
      <c r="M78" s="5">
        <f t="shared" si="8"/>
        <v>0</v>
      </c>
      <c r="N78" s="28" t="e">
        <f t="shared" si="9"/>
        <v>#DIV/0!</v>
      </c>
      <c r="O78" s="7"/>
      <c r="P78" s="7"/>
      <c r="Q78" s="7"/>
      <c r="R78" s="7"/>
      <c r="S78" s="3"/>
      <c r="T78" s="37">
        <f t="shared" si="6"/>
        <v>0</v>
      </c>
      <c r="U78" s="28" t="e">
        <f t="shared" si="10"/>
        <v>#DIV/0!</v>
      </c>
      <c r="V78" s="59">
        <f t="shared" si="11"/>
        <v>0</v>
      </c>
    </row>
    <row r="79" spans="1:22" ht="21.75" customHeight="1">
      <c r="A79" s="87">
        <v>24</v>
      </c>
      <c r="B79" s="7" t="s">
        <v>12</v>
      </c>
      <c r="C79" s="3"/>
      <c r="D79" s="3"/>
      <c r="E79" s="4">
        <f t="shared" si="7"/>
        <v>0</v>
      </c>
      <c r="F79" s="3"/>
      <c r="G79" s="3"/>
      <c r="H79" s="3"/>
      <c r="I79" s="3"/>
      <c r="J79" s="3"/>
      <c r="K79" s="3"/>
      <c r="L79" s="3"/>
      <c r="M79" s="5">
        <f t="shared" si="8"/>
        <v>0</v>
      </c>
      <c r="N79" s="28" t="e">
        <f t="shared" si="9"/>
        <v>#DIV/0!</v>
      </c>
      <c r="O79" s="7"/>
      <c r="P79" s="7"/>
      <c r="Q79" s="7"/>
      <c r="R79" s="7"/>
      <c r="S79" s="3"/>
      <c r="T79" s="37">
        <f t="shared" si="6"/>
        <v>0</v>
      </c>
      <c r="U79" s="28" t="e">
        <f t="shared" si="10"/>
        <v>#DIV/0!</v>
      </c>
      <c r="V79" s="59">
        <f t="shared" si="11"/>
        <v>0</v>
      </c>
    </row>
    <row r="80" spans="1:22" ht="21.75" customHeight="1">
      <c r="A80" s="87"/>
      <c r="B80" s="7" t="s">
        <v>13</v>
      </c>
      <c r="C80" s="3"/>
      <c r="D80" s="3"/>
      <c r="E80" s="4">
        <f t="shared" si="7"/>
        <v>0</v>
      </c>
      <c r="F80" s="3"/>
      <c r="G80" s="3"/>
      <c r="H80" s="3"/>
      <c r="I80" s="3"/>
      <c r="J80" s="3"/>
      <c r="K80" s="3"/>
      <c r="L80" s="3"/>
      <c r="M80" s="5">
        <f t="shared" si="8"/>
        <v>0</v>
      </c>
      <c r="N80" s="28" t="e">
        <f t="shared" si="9"/>
        <v>#DIV/0!</v>
      </c>
      <c r="O80" s="7"/>
      <c r="P80" s="7"/>
      <c r="Q80" s="7"/>
      <c r="R80" s="7"/>
      <c r="S80" s="3"/>
      <c r="T80" s="37">
        <f t="shared" si="6"/>
        <v>0</v>
      </c>
      <c r="U80" s="28" t="e">
        <f t="shared" si="10"/>
        <v>#DIV/0!</v>
      </c>
      <c r="V80" s="59">
        <f t="shared" si="11"/>
        <v>0</v>
      </c>
    </row>
    <row r="81" spans="1:22" ht="21.75" customHeight="1">
      <c r="A81" s="87"/>
      <c r="B81" s="7" t="s">
        <v>14</v>
      </c>
      <c r="C81" s="3"/>
      <c r="D81" s="3"/>
      <c r="E81" s="4">
        <f t="shared" si="7"/>
        <v>0</v>
      </c>
      <c r="F81" s="3"/>
      <c r="G81" s="3"/>
      <c r="H81" s="3"/>
      <c r="I81" s="3"/>
      <c r="J81" s="3"/>
      <c r="K81" s="3"/>
      <c r="L81" s="3"/>
      <c r="M81" s="5">
        <f t="shared" si="8"/>
        <v>0</v>
      </c>
      <c r="N81" s="28" t="e">
        <f t="shared" si="9"/>
        <v>#DIV/0!</v>
      </c>
      <c r="O81" s="7"/>
      <c r="P81" s="7"/>
      <c r="Q81" s="7"/>
      <c r="R81" s="7"/>
      <c r="S81" s="3"/>
      <c r="T81" s="37">
        <f t="shared" si="6"/>
        <v>0</v>
      </c>
      <c r="U81" s="28" t="e">
        <f t="shared" si="10"/>
        <v>#DIV/0!</v>
      </c>
      <c r="V81" s="59">
        <f t="shared" si="11"/>
        <v>0</v>
      </c>
    </row>
    <row r="82" spans="1:22" ht="21.75" customHeight="1">
      <c r="A82" s="87">
        <v>25</v>
      </c>
      <c r="B82" s="7" t="s">
        <v>12</v>
      </c>
      <c r="C82" s="3"/>
      <c r="D82" s="3"/>
      <c r="E82" s="4">
        <f t="shared" si="7"/>
        <v>0</v>
      </c>
      <c r="F82" s="3"/>
      <c r="G82" s="3"/>
      <c r="H82" s="3"/>
      <c r="I82" s="3"/>
      <c r="J82" s="3"/>
      <c r="K82" s="3"/>
      <c r="L82" s="3"/>
      <c r="M82" s="5">
        <f t="shared" si="8"/>
        <v>0</v>
      </c>
      <c r="N82" s="28" t="e">
        <f t="shared" si="9"/>
        <v>#DIV/0!</v>
      </c>
      <c r="O82" s="7"/>
      <c r="P82" s="7"/>
      <c r="Q82" s="7"/>
      <c r="R82" s="7"/>
      <c r="S82" s="3"/>
      <c r="T82" s="37">
        <f t="shared" si="6"/>
        <v>0</v>
      </c>
      <c r="U82" s="28" t="e">
        <f t="shared" si="10"/>
        <v>#DIV/0!</v>
      </c>
      <c r="V82" s="59">
        <f t="shared" si="11"/>
        <v>0</v>
      </c>
    </row>
    <row r="83" spans="1:22" ht="21.75" customHeight="1">
      <c r="A83" s="87"/>
      <c r="B83" s="7" t="s">
        <v>13</v>
      </c>
      <c r="C83" s="3"/>
      <c r="D83" s="3"/>
      <c r="E83" s="4">
        <f t="shared" si="7"/>
        <v>0</v>
      </c>
      <c r="F83" s="3"/>
      <c r="G83" s="3"/>
      <c r="H83" s="3"/>
      <c r="I83" s="3"/>
      <c r="J83" s="3"/>
      <c r="K83" s="3"/>
      <c r="L83" s="3"/>
      <c r="M83" s="5">
        <f t="shared" si="8"/>
        <v>0</v>
      </c>
      <c r="N83" s="28" t="e">
        <f t="shared" si="9"/>
        <v>#DIV/0!</v>
      </c>
      <c r="O83" s="7"/>
      <c r="P83" s="7"/>
      <c r="Q83" s="7"/>
      <c r="R83" s="7"/>
      <c r="S83" s="3"/>
      <c r="T83" s="37">
        <f t="shared" si="6"/>
        <v>0</v>
      </c>
      <c r="U83" s="28" t="e">
        <f t="shared" si="10"/>
        <v>#DIV/0!</v>
      </c>
      <c r="V83" s="59">
        <f t="shared" si="11"/>
        <v>0</v>
      </c>
    </row>
    <row r="84" spans="1:22" ht="21.75" customHeight="1">
      <c r="A84" s="87"/>
      <c r="B84" s="7" t="s">
        <v>14</v>
      </c>
      <c r="C84" s="3"/>
      <c r="D84" s="3"/>
      <c r="E84" s="4">
        <f t="shared" si="7"/>
        <v>0</v>
      </c>
      <c r="F84" s="3"/>
      <c r="G84" s="3"/>
      <c r="H84" s="3"/>
      <c r="I84" s="3"/>
      <c r="J84" s="3"/>
      <c r="K84" s="3"/>
      <c r="L84" s="3"/>
      <c r="M84" s="5">
        <f t="shared" si="8"/>
        <v>0</v>
      </c>
      <c r="N84" s="28" t="e">
        <f t="shared" si="9"/>
        <v>#DIV/0!</v>
      </c>
      <c r="O84" s="7"/>
      <c r="P84" s="7"/>
      <c r="Q84" s="7"/>
      <c r="R84" s="7"/>
      <c r="S84" s="3"/>
      <c r="T84" s="37">
        <f t="shared" si="6"/>
        <v>0</v>
      </c>
      <c r="U84" s="28" t="e">
        <f t="shared" si="10"/>
        <v>#DIV/0!</v>
      </c>
      <c r="V84" s="59">
        <f t="shared" si="11"/>
        <v>0</v>
      </c>
    </row>
    <row r="85" spans="1:22" ht="21.75" customHeight="1">
      <c r="A85" s="87">
        <v>26</v>
      </c>
      <c r="B85" s="7" t="s">
        <v>12</v>
      </c>
      <c r="C85" s="3"/>
      <c r="D85" s="3"/>
      <c r="E85" s="4">
        <f t="shared" si="7"/>
        <v>0</v>
      </c>
      <c r="F85" s="3"/>
      <c r="G85" s="3"/>
      <c r="H85" s="3"/>
      <c r="I85" s="3"/>
      <c r="J85" s="3"/>
      <c r="K85" s="3"/>
      <c r="L85" s="3"/>
      <c r="M85" s="5">
        <f t="shared" si="8"/>
        <v>0</v>
      </c>
      <c r="N85" s="28" t="e">
        <f t="shared" si="9"/>
        <v>#DIV/0!</v>
      </c>
      <c r="O85" s="7"/>
      <c r="P85" s="7"/>
      <c r="Q85" s="7"/>
      <c r="R85" s="7"/>
      <c r="S85" s="3"/>
      <c r="T85" s="37">
        <f t="shared" si="6"/>
        <v>0</v>
      </c>
      <c r="U85" s="28" t="e">
        <f t="shared" si="10"/>
        <v>#DIV/0!</v>
      </c>
      <c r="V85" s="59">
        <f t="shared" si="11"/>
        <v>0</v>
      </c>
    </row>
    <row r="86" spans="1:22" ht="21.75" customHeight="1">
      <c r="A86" s="87"/>
      <c r="B86" s="7" t="s">
        <v>13</v>
      </c>
      <c r="C86" s="3"/>
      <c r="D86" s="3"/>
      <c r="E86" s="4">
        <f t="shared" si="7"/>
        <v>0</v>
      </c>
      <c r="F86" s="3"/>
      <c r="G86" s="3"/>
      <c r="H86" s="3"/>
      <c r="I86" s="3"/>
      <c r="J86" s="3"/>
      <c r="K86" s="3"/>
      <c r="L86" s="3"/>
      <c r="M86" s="5">
        <f t="shared" si="8"/>
        <v>0</v>
      </c>
      <c r="N86" s="28" t="e">
        <f t="shared" si="9"/>
        <v>#DIV/0!</v>
      </c>
      <c r="O86" s="7"/>
      <c r="P86" s="7"/>
      <c r="Q86" s="7"/>
      <c r="R86" s="7"/>
      <c r="S86" s="3"/>
      <c r="T86" s="37">
        <f t="shared" si="6"/>
        <v>0</v>
      </c>
      <c r="U86" s="28" t="e">
        <f t="shared" si="10"/>
        <v>#DIV/0!</v>
      </c>
      <c r="V86" s="59">
        <f t="shared" si="11"/>
        <v>0</v>
      </c>
    </row>
    <row r="87" spans="1:22" ht="21.75" customHeight="1">
      <c r="A87" s="87"/>
      <c r="B87" s="7" t="s">
        <v>14</v>
      </c>
      <c r="C87" s="3"/>
      <c r="D87" s="3"/>
      <c r="E87" s="4">
        <f t="shared" si="7"/>
        <v>0</v>
      </c>
      <c r="F87" s="3"/>
      <c r="G87" s="3"/>
      <c r="H87" s="3"/>
      <c r="I87" s="3"/>
      <c r="J87" s="3"/>
      <c r="K87" s="3"/>
      <c r="L87" s="3"/>
      <c r="M87" s="5">
        <f t="shared" si="8"/>
        <v>0</v>
      </c>
      <c r="N87" s="28" t="e">
        <f t="shared" si="9"/>
        <v>#DIV/0!</v>
      </c>
      <c r="O87" s="7"/>
      <c r="P87" s="7"/>
      <c r="Q87" s="7"/>
      <c r="R87" s="7"/>
      <c r="S87" s="3"/>
      <c r="T87" s="37">
        <f t="shared" si="6"/>
        <v>0</v>
      </c>
      <c r="U87" s="28" t="e">
        <f t="shared" si="10"/>
        <v>#DIV/0!</v>
      </c>
      <c r="V87" s="59">
        <f t="shared" si="11"/>
        <v>0</v>
      </c>
    </row>
    <row r="88" spans="1:22" ht="21.75" customHeight="1">
      <c r="A88" s="87">
        <v>27</v>
      </c>
      <c r="B88" s="7" t="s">
        <v>12</v>
      </c>
      <c r="C88" s="3"/>
      <c r="D88" s="3"/>
      <c r="E88" s="4">
        <f t="shared" si="7"/>
        <v>0</v>
      </c>
      <c r="F88" s="3"/>
      <c r="G88" s="3"/>
      <c r="H88" s="3"/>
      <c r="I88" s="3"/>
      <c r="J88" s="3"/>
      <c r="K88" s="3"/>
      <c r="L88" s="3"/>
      <c r="M88" s="5">
        <f t="shared" si="8"/>
        <v>0</v>
      </c>
      <c r="N88" s="28" t="e">
        <f t="shared" si="9"/>
        <v>#DIV/0!</v>
      </c>
      <c r="O88" s="7"/>
      <c r="P88" s="7"/>
      <c r="Q88" s="7"/>
      <c r="R88" s="7"/>
      <c r="S88" s="3"/>
      <c r="T88" s="37">
        <f t="shared" si="6"/>
        <v>0</v>
      </c>
      <c r="U88" s="28" t="e">
        <f t="shared" si="10"/>
        <v>#DIV/0!</v>
      </c>
      <c r="V88" s="59">
        <f t="shared" si="11"/>
        <v>0</v>
      </c>
    </row>
    <row r="89" spans="1:22" ht="21.75" customHeight="1">
      <c r="A89" s="87"/>
      <c r="B89" s="7" t="s">
        <v>13</v>
      </c>
      <c r="C89" s="3"/>
      <c r="D89" s="3"/>
      <c r="E89" s="4">
        <f t="shared" si="7"/>
        <v>0</v>
      </c>
      <c r="F89" s="3"/>
      <c r="G89" s="3"/>
      <c r="H89" s="3"/>
      <c r="I89" s="3"/>
      <c r="J89" s="3"/>
      <c r="K89" s="3"/>
      <c r="L89" s="3"/>
      <c r="M89" s="5">
        <f t="shared" si="8"/>
        <v>0</v>
      </c>
      <c r="N89" s="28" t="e">
        <f t="shared" si="9"/>
        <v>#DIV/0!</v>
      </c>
      <c r="O89" s="7"/>
      <c r="P89" s="7"/>
      <c r="Q89" s="7"/>
      <c r="R89" s="7"/>
      <c r="S89" s="3"/>
      <c r="T89" s="37">
        <f t="shared" si="6"/>
        <v>0</v>
      </c>
      <c r="U89" s="28" t="e">
        <f t="shared" si="10"/>
        <v>#DIV/0!</v>
      </c>
      <c r="V89" s="59">
        <f t="shared" si="11"/>
        <v>0</v>
      </c>
    </row>
    <row r="90" spans="1:22" ht="21.75" customHeight="1">
      <c r="A90" s="87"/>
      <c r="B90" s="7" t="s">
        <v>14</v>
      </c>
      <c r="C90" s="3"/>
      <c r="D90" s="3"/>
      <c r="E90" s="4">
        <f t="shared" si="7"/>
        <v>0</v>
      </c>
      <c r="F90" s="3"/>
      <c r="G90" s="3"/>
      <c r="H90" s="3"/>
      <c r="I90" s="3"/>
      <c r="J90" s="3"/>
      <c r="K90" s="3"/>
      <c r="L90" s="3"/>
      <c r="M90" s="5">
        <f t="shared" si="8"/>
        <v>0</v>
      </c>
      <c r="N90" s="28" t="e">
        <f t="shared" si="9"/>
        <v>#DIV/0!</v>
      </c>
      <c r="O90" s="7"/>
      <c r="P90" s="7"/>
      <c r="Q90" s="7"/>
      <c r="R90" s="7"/>
      <c r="S90" s="3"/>
      <c r="T90" s="37">
        <f t="shared" si="6"/>
        <v>0</v>
      </c>
      <c r="U90" s="28" t="e">
        <f t="shared" si="10"/>
        <v>#DIV/0!</v>
      </c>
      <c r="V90" s="59">
        <f t="shared" si="11"/>
        <v>0</v>
      </c>
    </row>
    <row r="91" spans="1:22" ht="21.75" customHeight="1">
      <c r="A91" s="87">
        <v>28</v>
      </c>
      <c r="B91" s="7" t="s">
        <v>12</v>
      </c>
      <c r="C91" s="3"/>
      <c r="D91" s="3"/>
      <c r="E91" s="4">
        <f t="shared" si="7"/>
        <v>0</v>
      </c>
      <c r="F91" s="3"/>
      <c r="G91" s="3"/>
      <c r="H91" s="3"/>
      <c r="I91" s="3"/>
      <c r="J91" s="3"/>
      <c r="K91" s="3"/>
      <c r="L91" s="3"/>
      <c r="M91" s="5">
        <f t="shared" si="8"/>
        <v>0</v>
      </c>
      <c r="N91" s="28" t="e">
        <f t="shared" si="9"/>
        <v>#DIV/0!</v>
      </c>
      <c r="O91" s="7"/>
      <c r="P91" s="7"/>
      <c r="Q91" s="7"/>
      <c r="R91" s="7"/>
      <c r="S91" s="3"/>
      <c r="T91" s="37">
        <f t="shared" si="6"/>
        <v>0</v>
      </c>
      <c r="U91" s="28" t="e">
        <f t="shared" si="10"/>
        <v>#DIV/0!</v>
      </c>
      <c r="V91" s="59">
        <f t="shared" si="11"/>
        <v>0</v>
      </c>
    </row>
    <row r="92" spans="1:22" ht="21.75" customHeight="1">
      <c r="A92" s="87"/>
      <c r="B92" s="7" t="s">
        <v>13</v>
      </c>
      <c r="C92" s="3"/>
      <c r="D92" s="3"/>
      <c r="E92" s="4">
        <f t="shared" si="7"/>
        <v>0</v>
      </c>
      <c r="F92" s="3"/>
      <c r="G92" s="3"/>
      <c r="H92" s="3"/>
      <c r="I92" s="3"/>
      <c r="J92" s="3"/>
      <c r="K92" s="3"/>
      <c r="L92" s="3"/>
      <c r="M92" s="5">
        <f t="shared" si="8"/>
        <v>0</v>
      </c>
      <c r="N92" s="28" t="e">
        <f t="shared" si="9"/>
        <v>#DIV/0!</v>
      </c>
      <c r="O92" s="7"/>
      <c r="P92" s="7"/>
      <c r="Q92" s="7"/>
      <c r="R92" s="7"/>
      <c r="S92" s="3"/>
      <c r="T92" s="37">
        <f t="shared" si="6"/>
        <v>0</v>
      </c>
      <c r="U92" s="28" t="e">
        <f t="shared" si="10"/>
        <v>#DIV/0!</v>
      </c>
      <c r="V92" s="59">
        <f t="shared" si="11"/>
        <v>0</v>
      </c>
    </row>
    <row r="93" spans="1:22" ht="21.75" customHeight="1">
      <c r="A93" s="87"/>
      <c r="B93" s="7" t="s">
        <v>14</v>
      </c>
      <c r="C93" s="3"/>
      <c r="D93" s="3"/>
      <c r="E93" s="4">
        <f t="shared" si="7"/>
        <v>0</v>
      </c>
      <c r="F93" s="3"/>
      <c r="G93" s="3"/>
      <c r="H93" s="3"/>
      <c r="I93" s="3"/>
      <c r="J93" s="3"/>
      <c r="K93" s="3"/>
      <c r="L93" s="3"/>
      <c r="M93" s="5">
        <f t="shared" si="8"/>
        <v>0</v>
      </c>
      <c r="N93" s="28" t="e">
        <f t="shared" si="9"/>
        <v>#DIV/0!</v>
      </c>
      <c r="O93" s="7"/>
      <c r="P93" s="7"/>
      <c r="Q93" s="7"/>
      <c r="R93" s="7"/>
      <c r="S93" s="3"/>
      <c r="T93" s="37">
        <f t="shared" si="6"/>
        <v>0</v>
      </c>
      <c r="U93" s="28" t="e">
        <f t="shared" si="10"/>
        <v>#DIV/0!</v>
      </c>
      <c r="V93" s="59">
        <f t="shared" si="11"/>
        <v>0</v>
      </c>
    </row>
    <row r="94" spans="1:22" ht="21.75" customHeight="1">
      <c r="A94" s="87">
        <v>29</v>
      </c>
      <c r="B94" s="7" t="s">
        <v>12</v>
      </c>
      <c r="C94" s="3"/>
      <c r="D94" s="3"/>
      <c r="E94" s="4">
        <f t="shared" si="7"/>
        <v>0</v>
      </c>
      <c r="F94" s="3"/>
      <c r="G94" s="3"/>
      <c r="H94" s="3"/>
      <c r="I94" s="3"/>
      <c r="J94" s="3"/>
      <c r="K94" s="3"/>
      <c r="L94" s="3"/>
      <c r="M94" s="5">
        <f t="shared" si="8"/>
        <v>0</v>
      </c>
      <c r="N94" s="28" t="e">
        <f t="shared" si="9"/>
        <v>#DIV/0!</v>
      </c>
      <c r="O94" s="7"/>
      <c r="P94" s="7"/>
      <c r="Q94" s="7"/>
      <c r="R94" s="7"/>
      <c r="S94" s="3"/>
      <c r="T94" s="37">
        <f t="shared" si="6"/>
        <v>0</v>
      </c>
      <c r="U94" s="28" t="e">
        <f t="shared" si="10"/>
        <v>#DIV/0!</v>
      </c>
      <c r="V94" s="59">
        <f t="shared" si="11"/>
        <v>0</v>
      </c>
    </row>
    <row r="95" spans="1:22" ht="21.75" customHeight="1">
      <c r="A95" s="87"/>
      <c r="B95" s="7" t="s">
        <v>13</v>
      </c>
      <c r="C95" s="3"/>
      <c r="D95" s="3"/>
      <c r="E95" s="4">
        <f t="shared" si="7"/>
        <v>0</v>
      </c>
      <c r="F95" s="3"/>
      <c r="G95" s="3"/>
      <c r="H95" s="3"/>
      <c r="I95" s="3"/>
      <c r="J95" s="3"/>
      <c r="K95" s="3"/>
      <c r="L95" s="3"/>
      <c r="M95" s="5">
        <f t="shared" si="8"/>
        <v>0</v>
      </c>
      <c r="N95" s="28" t="e">
        <f t="shared" si="9"/>
        <v>#DIV/0!</v>
      </c>
      <c r="O95" s="7"/>
      <c r="P95" s="7"/>
      <c r="Q95" s="7"/>
      <c r="R95" s="7"/>
      <c r="S95" s="3"/>
      <c r="T95" s="37">
        <f t="shared" si="6"/>
        <v>0</v>
      </c>
      <c r="U95" s="28" t="e">
        <f t="shared" si="10"/>
        <v>#DIV/0!</v>
      </c>
      <c r="V95" s="59">
        <f t="shared" si="11"/>
        <v>0</v>
      </c>
    </row>
    <row r="96" spans="1:22" ht="21.75" customHeight="1">
      <c r="A96" s="87"/>
      <c r="B96" s="7" t="s">
        <v>14</v>
      </c>
      <c r="C96" s="3"/>
      <c r="D96" s="3"/>
      <c r="E96" s="4">
        <f t="shared" si="7"/>
        <v>0</v>
      </c>
      <c r="F96" s="3"/>
      <c r="G96" s="3"/>
      <c r="H96" s="3"/>
      <c r="I96" s="3"/>
      <c r="J96" s="3"/>
      <c r="K96" s="3"/>
      <c r="L96" s="3"/>
      <c r="M96" s="5">
        <f t="shared" si="8"/>
        <v>0</v>
      </c>
      <c r="N96" s="28" t="e">
        <f t="shared" si="9"/>
        <v>#DIV/0!</v>
      </c>
      <c r="O96" s="7"/>
      <c r="P96" s="7"/>
      <c r="Q96" s="7"/>
      <c r="R96" s="7"/>
      <c r="S96" s="3"/>
      <c r="T96" s="37">
        <f t="shared" si="6"/>
        <v>0</v>
      </c>
      <c r="U96" s="28" t="e">
        <f t="shared" si="10"/>
        <v>#DIV/0!</v>
      </c>
      <c r="V96" s="59">
        <f t="shared" si="11"/>
        <v>0</v>
      </c>
    </row>
    <row r="97" spans="1:22" ht="21.75" customHeight="1">
      <c r="A97" s="87">
        <v>30</v>
      </c>
      <c r="B97" s="7" t="s">
        <v>12</v>
      </c>
      <c r="C97" s="3"/>
      <c r="D97" s="3"/>
      <c r="E97" s="4">
        <f t="shared" si="7"/>
        <v>0</v>
      </c>
      <c r="F97" s="3"/>
      <c r="G97" s="3"/>
      <c r="H97" s="3"/>
      <c r="I97" s="3"/>
      <c r="J97" s="3"/>
      <c r="K97" s="3"/>
      <c r="L97" s="3"/>
      <c r="M97" s="5">
        <f t="shared" si="8"/>
        <v>0</v>
      </c>
      <c r="N97" s="28" t="e">
        <f t="shared" si="9"/>
        <v>#DIV/0!</v>
      </c>
      <c r="O97" s="7"/>
      <c r="P97" s="7"/>
      <c r="Q97" s="7"/>
      <c r="R97" s="7"/>
      <c r="S97" s="3"/>
      <c r="T97" s="37">
        <f t="shared" si="6"/>
        <v>0</v>
      </c>
      <c r="U97" s="28" t="e">
        <f t="shared" si="10"/>
        <v>#DIV/0!</v>
      </c>
      <c r="V97" s="59">
        <f t="shared" si="11"/>
        <v>0</v>
      </c>
    </row>
    <row r="98" spans="1:22" ht="21.75" customHeight="1">
      <c r="A98" s="87"/>
      <c r="B98" s="7" t="s">
        <v>13</v>
      </c>
      <c r="C98" s="3"/>
      <c r="D98" s="3"/>
      <c r="E98" s="4">
        <f t="shared" si="7"/>
        <v>0</v>
      </c>
      <c r="F98" s="3"/>
      <c r="G98" s="3"/>
      <c r="H98" s="3"/>
      <c r="I98" s="3"/>
      <c r="J98" s="3"/>
      <c r="K98" s="3"/>
      <c r="L98" s="3"/>
      <c r="M98" s="5">
        <f t="shared" si="8"/>
        <v>0</v>
      </c>
      <c r="N98" s="28" t="e">
        <f t="shared" si="9"/>
        <v>#DIV/0!</v>
      </c>
      <c r="O98" s="7"/>
      <c r="P98" s="7"/>
      <c r="Q98" s="7"/>
      <c r="R98" s="7"/>
      <c r="S98" s="3"/>
      <c r="T98" s="37">
        <f t="shared" si="6"/>
        <v>0</v>
      </c>
      <c r="U98" s="28" t="e">
        <f t="shared" si="10"/>
        <v>#DIV/0!</v>
      </c>
      <c r="V98" s="59">
        <f t="shared" si="11"/>
        <v>0</v>
      </c>
    </row>
    <row r="99" spans="1:22" ht="21.75" customHeight="1">
      <c r="A99" s="87"/>
      <c r="B99" s="7" t="s">
        <v>14</v>
      </c>
      <c r="C99" s="3"/>
      <c r="D99" s="3"/>
      <c r="E99" s="4">
        <f t="shared" si="7"/>
        <v>0</v>
      </c>
      <c r="F99" s="3"/>
      <c r="G99" s="3"/>
      <c r="H99" s="3"/>
      <c r="I99" s="3"/>
      <c r="J99" s="3"/>
      <c r="K99" s="3"/>
      <c r="L99" s="3"/>
      <c r="M99" s="5">
        <f t="shared" si="8"/>
        <v>0</v>
      </c>
      <c r="N99" s="28" t="e">
        <f t="shared" si="9"/>
        <v>#DIV/0!</v>
      </c>
      <c r="O99" s="7"/>
      <c r="P99" s="7"/>
      <c r="Q99" s="7"/>
      <c r="R99" s="7"/>
      <c r="S99" s="3"/>
      <c r="T99" s="37">
        <f t="shared" si="6"/>
        <v>0</v>
      </c>
      <c r="U99" s="28" t="e">
        <f t="shared" si="10"/>
        <v>#DIV/0!</v>
      </c>
      <c r="V99" s="59">
        <f t="shared" si="11"/>
        <v>0</v>
      </c>
    </row>
    <row r="100" spans="1:22" ht="21.75" customHeight="1">
      <c r="A100" s="87">
        <v>31</v>
      </c>
      <c r="B100" s="7" t="s">
        <v>12</v>
      </c>
      <c r="C100" s="3"/>
      <c r="D100" s="3"/>
      <c r="E100" s="4">
        <f t="shared" si="7"/>
        <v>0</v>
      </c>
      <c r="F100" s="3"/>
      <c r="G100" s="3"/>
      <c r="H100" s="3"/>
      <c r="I100" s="3"/>
      <c r="J100" s="3"/>
      <c r="K100" s="3"/>
      <c r="L100" s="3"/>
      <c r="M100" s="5">
        <f t="shared" si="8"/>
        <v>0</v>
      </c>
      <c r="N100" s="28" t="e">
        <f t="shared" si="9"/>
        <v>#DIV/0!</v>
      </c>
      <c r="O100" s="7"/>
      <c r="P100" s="7"/>
      <c r="Q100" s="7"/>
      <c r="R100" s="7"/>
      <c r="S100" s="3"/>
      <c r="T100" s="37">
        <f t="shared" si="6"/>
        <v>0</v>
      </c>
      <c r="U100" s="28" t="e">
        <f t="shared" si="10"/>
        <v>#DIV/0!</v>
      </c>
      <c r="V100" s="59">
        <f t="shared" si="11"/>
        <v>0</v>
      </c>
    </row>
    <row r="101" spans="1:22" ht="21.75" customHeight="1">
      <c r="A101" s="87"/>
      <c r="B101" s="7" t="s">
        <v>13</v>
      </c>
      <c r="C101" s="3"/>
      <c r="D101" s="3"/>
      <c r="E101" s="4">
        <f t="shared" si="7"/>
        <v>0</v>
      </c>
      <c r="F101" s="3"/>
      <c r="G101" s="3"/>
      <c r="H101" s="3"/>
      <c r="I101" s="3"/>
      <c r="J101" s="3"/>
      <c r="K101" s="3"/>
      <c r="L101" s="3"/>
      <c r="M101" s="5">
        <f t="shared" si="8"/>
        <v>0</v>
      </c>
      <c r="N101" s="28" t="e">
        <f t="shared" si="9"/>
        <v>#DIV/0!</v>
      </c>
      <c r="O101" s="7"/>
      <c r="P101" s="7"/>
      <c r="Q101" s="7"/>
      <c r="R101" s="7"/>
      <c r="S101" s="3"/>
      <c r="T101" s="37">
        <f t="shared" si="6"/>
        <v>0</v>
      </c>
      <c r="U101" s="28" t="e">
        <f t="shared" si="10"/>
        <v>#DIV/0!</v>
      </c>
      <c r="V101" s="59">
        <f t="shared" si="11"/>
        <v>0</v>
      </c>
    </row>
    <row r="102" spans="1:22" ht="21.75" customHeight="1">
      <c r="A102" s="87"/>
      <c r="B102" s="7" t="s">
        <v>14</v>
      </c>
      <c r="C102" s="3"/>
      <c r="D102" s="3"/>
      <c r="E102" s="4">
        <f t="shared" si="7"/>
        <v>0</v>
      </c>
      <c r="F102" s="3"/>
      <c r="G102" s="3"/>
      <c r="H102" s="3"/>
      <c r="I102" s="3"/>
      <c r="J102" s="3"/>
      <c r="K102" s="3"/>
      <c r="L102" s="3"/>
      <c r="M102" s="5">
        <f t="shared" si="8"/>
        <v>0</v>
      </c>
      <c r="N102" s="28" t="e">
        <f t="shared" si="9"/>
        <v>#DIV/0!</v>
      </c>
      <c r="O102" s="7"/>
      <c r="P102" s="7"/>
      <c r="Q102" s="7"/>
      <c r="R102" s="7"/>
      <c r="S102" s="3"/>
      <c r="T102" s="37">
        <f t="shared" si="6"/>
        <v>0</v>
      </c>
      <c r="U102" s="28" t="e">
        <f t="shared" si="10"/>
        <v>#DIV/0!</v>
      </c>
      <c r="V102" s="59">
        <f t="shared" si="11"/>
        <v>0</v>
      </c>
    </row>
    <row r="103" spans="1:22" ht="21.75" customHeight="1">
      <c r="A103" s="87" t="s">
        <v>41</v>
      </c>
      <c r="B103" s="1" t="s">
        <v>12</v>
      </c>
      <c r="C103" s="37">
        <f>C10+C13+C16+C19+C22+C25+C28+C31+C34+C37+C40+C43+C46+C49+C52+C55+C58+C61+C64+C67+C70+C73+C76+C79+C82+C85+C88+C91+C94+C97+C100</f>
        <v>0</v>
      </c>
      <c r="D103" s="37">
        <f>D10+D13+D16+D19+D22+D25+D28+D31+D34+D37+D40+D43+D46+D49+D52+D55+D58+D61+D64+D67+D70+D73+D76+D79+D82+D85+D88+D91+D94+D97+D100</f>
        <v>0</v>
      </c>
      <c r="E103" s="4">
        <f>((($B$3*C103)+(12*D103))*$M$4)/7</f>
        <v>0</v>
      </c>
      <c r="F103" s="1">
        <f t="shared" ref="F103:L105" si="12">F10+F13+F16+F19+F22+F25+F28+F31+F34+F37+F40+F43+F46+F49+F52+F55+F58+F61+F64+F67+F70+F73+F76+F79+F82+F85+F88+F91+F94+F97+F100</f>
        <v>0</v>
      </c>
      <c r="G103" s="1">
        <f t="shared" si="12"/>
        <v>0</v>
      </c>
      <c r="H103" s="1">
        <f t="shared" si="12"/>
        <v>0</v>
      </c>
      <c r="I103" s="1">
        <f t="shared" si="12"/>
        <v>0</v>
      </c>
      <c r="J103" s="1">
        <f t="shared" si="12"/>
        <v>0</v>
      </c>
      <c r="K103" s="1">
        <f t="shared" si="12"/>
        <v>0</v>
      </c>
      <c r="L103" s="1">
        <f t="shared" si="12"/>
        <v>0</v>
      </c>
      <c r="M103" s="5">
        <f t="shared" si="8"/>
        <v>0</v>
      </c>
      <c r="N103" s="28" t="e">
        <f t="shared" si="9"/>
        <v>#DIV/0!</v>
      </c>
      <c r="O103" s="1">
        <f t="shared" ref="O103:S105" si="13">O10+O13+O16+O19+O22+O25+O28+O31+O34+O37+O40+O43+O46+O49+O52+O55+O58+O61+O64+O67+O70+O73+O76+O79+O82+O85+O88+O91+O94+O97+O100</f>
        <v>0</v>
      </c>
      <c r="P103" s="1">
        <f t="shared" si="13"/>
        <v>0</v>
      </c>
      <c r="Q103" s="1">
        <f t="shared" si="13"/>
        <v>0</v>
      </c>
      <c r="R103" s="1">
        <f t="shared" si="13"/>
        <v>0</v>
      </c>
      <c r="S103" s="1">
        <f t="shared" si="13"/>
        <v>0</v>
      </c>
      <c r="T103" s="37">
        <f t="shared" si="6"/>
        <v>0</v>
      </c>
      <c r="U103" s="28" t="e">
        <f t="shared" si="10"/>
        <v>#DIV/0!</v>
      </c>
      <c r="V103" s="59">
        <f t="shared" si="11"/>
        <v>0</v>
      </c>
    </row>
    <row r="104" spans="1:22" ht="21.75" customHeight="1">
      <c r="A104" s="87"/>
      <c r="B104" s="1" t="s">
        <v>13</v>
      </c>
      <c r="C104" s="37">
        <f t="shared" ref="C104:D105" si="14">C11+C14+C17+C20+C23+C26+C29+C32+C35+C38+C41+C44+C47+C50+C53+C56+C59+C62+C65+C68+C71+C74+C77+C80+C83+C86+C89+C92+C95+C98+C101</f>
        <v>0</v>
      </c>
      <c r="D104" s="37">
        <f t="shared" si="14"/>
        <v>0</v>
      </c>
      <c r="E104" s="4">
        <f t="shared" ref="E104:E105" si="15">((($B$3*C104)+(12*D104))*$M$4)/7</f>
        <v>0</v>
      </c>
      <c r="F104" s="1">
        <f t="shared" si="12"/>
        <v>0</v>
      </c>
      <c r="G104" s="1">
        <f t="shared" si="12"/>
        <v>0</v>
      </c>
      <c r="H104" s="1">
        <f t="shared" ref="H104" si="16">H11+H14+H17+H20+H23+H26+H29+H32+H35+H38+H41+H44+H47+H50+H53+H56+H59+H62+H65+H68+H71+H74+H77+H80+H83+H86+H89+H92+H95+H98+H101</f>
        <v>0</v>
      </c>
      <c r="I104" s="1">
        <f t="shared" si="12"/>
        <v>0</v>
      </c>
      <c r="J104" s="1">
        <f t="shared" si="12"/>
        <v>0</v>
      </c>
      <c r="K104" s="1">
        <f t="shared" ref="K104" si="17">K11+K14+K17+K20+K23+K26+K29+K32+K35+K38+K41+K44+K47+K50+K53+K56+K59+K62+K65+K68+K71+K74+K77+K80+K83+K86+K89+K92+K95+K98+K101</f>
        <v>0</v>
      </c>
      <c r="L104" s="1">
        <f t="shared" si="12"/>
        <v>0</v>
      </c>
      <c r="M104" s="5">
        <f t="shared" si="8"/>
        <v>0</v>
      </c>
      <c r="N104" s="28" t="e">
        <f t="shared" si="9"/>
        <v>#DIV/0!</v>
      </c>
      <c r="O104" s="1">
        <f t="shared" si="13"/>
        <v>0</v>
      </c>
      <c r="P104" s="1">
        <f t="shared" si="13"/>
        <v>0</v>
      </c>
      <c r="Q104" s="1">
        <f t="shared" si="13"/>
        <v>0</v>
      </c>
      <c r="R104" s="1">
        <f t="shared" si="13"/>
        <v>0</v>
      </c>
      <c r="S104" s="1">
        <f t="shared" si="13"/>
        <v>0</v>
      </c>
      <c r="T104" s="37">
        <f t="shared" si="6"/>
        <v>0</v>
      </c>
      <c r="U104" s="28" t="e">
        <f t="shared" si="10"/>
        <v>#DIV/0!</v>
      </c>
      <c r="V104" s="59">
        <f t="shared" si="11"/>
        <v>0</v>
      </c>
    </row>
    <row r="105" spans="1:22" ht="21.75" customHeight="1">
      <c r="A105" s="87"/>
      <c r="B105" s="1" t="s">
        <v>14</v>
      </c>
      <c r="C105" s="37">
        <f t="shared" si="14"/>
        <v>0</v>
      </c>
      <c r="D105" s="37">
        <f t="shared" si="14"/>
        <v>0</v>
      </c>
      <c r="E105" s="4">
        <f t="shared" si="15"/>
        <v>0</v>
      </c>
      <c r="F105" s="1">
        <f t="shared" si="12"/>
        <v>0</v>
      </c>
      <c r="G105" s="1">
        <f t="shared" si="12"/>
        <v>0</v>
      </c>
      <c r="H105" s="1">
        <f t="shared" ref="H105" si="18">H12+H15+H18+H21+H24+H27+H30+H33+H36+H39+H42+H45+H48+H51+H54+H57+H60+H63+H66+H69+H72+H75+H78+H81+H84+H87+H90+H93+H96+H99+H102</f>
        <v>0</v>
      </c>
      <c r="I105" s="1">
        <f t="shared" si="12"/>
        <v>0</v>
      </c>
      <c r="J105" s="1">
        <f t="shared" si="12"/>
        <v>0</v>
      </c>
      <c r="K105" s="1">
        <f t="shared" ref="K105" si="19">K12+K15+K18+K21+K24+K27+K30+K33+K36+K39+K42+K45+K48+K51+K54+K57+K60+K63+K66+K69+K72+K75+K78+K81+K84+K87+K90+K93+K96+K99+K102</f>
        <v>0</v>
      </c>
      <c r="L105" s="1">
        <f t="shared" si="12"/>
        <v>0</v>
      </c>
      <c r="M105" s="5">
        <f t="shared" si="8"/>
        <v>0</v>
      </c>
      <c r="N105" s="28" t="e">
        <f t="shared" si="9"/>
        <v>#DIV/0!</v>
      </c>
      <c r="O105" s="1">
        <f t="shared" si="13"/>
        <v>0</v>
      </c>
      <c r="P105" s="1">
        <f t="shared" si="13"/>
        <v>0</v>
      </c>
      <c r="Q105" s="1">
        <f t="shared" si="13"/>
        <v>0</v>
      </c>
      <c r="R105" s="1">
        <f t="shared" si="13"/>
        <v>0</v>
      </c>
      <c r="S105" s="1">
        <f t="shared" si="13"/>
        <v>0</v>
      </c>
      <c r="T105" s="37">
        <f t="shared" si="6"/>
        <v>0</v>
      </c>
      <c r="U105" s="28" t="e">
        <f t="shared" si="10"/>
        <v>#DIV/0!</v>
      </c>
      <c r="V105" s="59">
        <f t="shared" si="11"/>
        <v>0</v>
      </c>
    </row>
    <row r="106" spans="1:22" ht="21.75" customHeight="1">
      <c r="A106" s="7" t="s">
        <v>42</v>
      </c>
      <c r="B106" s="7"/>
      <c r="C106" s="42">
        <f>SUM(C103:C105)/3</f>
        <v>0</v>
      </c>
      <c r="D106" s="42">
        <f>SUM(D103:D105)/3</f>
        <v>0</v>
      </c>
      <c r="E106" s="25"/>
      <c r="F106" s="42">
        <f>SUM(F103:F105)</f>
        <v>0</v>
      </c>
      <c r="G106" s="42">
        <f t="shared" ref="G106:L106" si="20">SUM(G103:G105)</f>
        <v>0</v>
      </c>
      <c r="H106" s="42">
        <f t="shared" si="20"/>
        <v>0</v>
      </c>
      <c r="I106" s="42">
        <f t="shared" si="20"/>
        <v>0</v>
      </c>
      <c r="J106" s="42">
        <f t="shared" si="20"/>
        <v>0</v>
      </c>
      <c r="K106" s="42">
        <f t="shared" si="20"/>
        <v>0</v>
      </c>
      <c r="L106" s="42">
        <f t="shared" si="20"/>
        <v>0</v>
      </c>
      <c r="M106" s="5">
        <f t="shared" si="8"/>
        <v>0</v>
      </c>
      <c r="N106" s="25"/>
      <c r="O106" s="25">
        <f>SUM(O103:O105)/3</f>
        <v>0</v>
      </c>
      <c r="P106" s="25">
        <f>SUM(P103:P105)/3</f>
        <v>0</v>
      </c>
      <c r="Q106" s="25">
        <f t="shared" ref="Q106:S106" si="21">SUM(Q103:Q105)/3</f>
        <v>0</v>
      </c>
      <c r="R106" s="25">
        <f t="shared" si="21"/>
        <v>0</v>
      </c>
      <c r="S106" s="25">
        <f t="shared" si="21"/>
        <v>0</v>
      </c>
      <c r="T106" s="37">
        <f t="shared" si="6"/>
        <v>0</v>
      </c>
      <c r="U106" s="28" t="e">
        <f t="shared" si="10"/>
        <v>#DIV/0!</v>
      </c>
      <c r="V106" s="59">
        <f t="shared" si="11"/>
        <v>0</v>
      </c>
    </row>
  </sheetData>
  <mergeCells count="77">
    <mergeCell ref="O7:S7"/>
    <mergeCell ref="T7:T9"/>
    <mergeCell ref="O8:O9"/>
    <mergeCell ref="Q4:R4"/>
    <mergeCell ref="F5:L5"/>
    <mergeCell ref="O5:P5"/>
    <mergeCell ref="Q5:R5"/>
    <mergeCell ref="O6:Q6"/>
    <mergeCell ref="R6:S6"/>
    <mergeCell ref="P8:P9"/>
    <mergeCell ref="I4:L4"/>
    <mergeCell ref="E4:H4"/>
    <mergeCell ref="F6:H6"/>
    <mergeCell ref="A1:N1"/>
    <mergeCell ref="A2:N2"/>
    <mergeCell ref="M3:N3"/>
    <mergeCell ref="O3:P3"/>
    <mergeCell ref="Q3:R3"/>
    <mergeCell ref="I3:L3"/>
    <mergeCell ref="E3:H3"/>
    <mergeCell ref="C5:D5"/>
    <mergeCell ref="C6:D6"/>
    <mergeCell ref="N7:N9"/>
    <mergeCell ref="E7:E9"/>
    <mergeCell ref="I6:K6"/>
    <mergeCell ref="F8:H8"/>
    <mergeCell ref="I8:K8"/>
    <mergeCell ref="F7:K7"/>
    <mergeCell ref="A97:A99"/>
    <mergeCell ref="A100:A102"/>
    <mergeCell ref="A103:A105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91:A93"/>
    <mergeCell ref="A94:A96"/>
    <mergeCell ref="A49:A51"/>
    <mergeCell ref="A52:A54"/>
    <mergeCell ref="A55:A57"/>
    <mergeCell ref="A58:A60"/>
    <mergeCell ref="A61:A63"/>
    <mergeCell ref="A37:A39"/>
    <mergeCell ref="A40:A42"/>
    <mergeCell ref="A43:A45"/>
    <mergeCell ref="A46:A48"/>
    <mergeCell ref="A7:A9"/>
    <mergeCell ref="A10:A12"/>
    <mergeCell ref="A28:A30"/>
    <mergeCell ref="A31:A33"/>
    <mergeCell ref="A34:A36"/>
    <mergeCell ref="A13:A15"/>
    <mergeCell ref="A16:A18"/>
    <mergeCell ref="A19:A21"/>
    <mergeCell ref="A22:A24"/>
    <mergeCell ref="A25:A27"/>
    <mergeCell ref="U7:U9"/>
    <mergeCell ref="L7:L9"/>
    <mergeCell ref="M7:M9"/>
    <mergeCell ref="A3:A4"/>
    <mergeCell ref="B3:B4"/>
    <mergeCell ref="C3:C4"/>
    <mergeCell ref="Q8:Q9"/>
    <mergeCell ref="R8:R9"/>
    <mergeCell ref="S8:S9"/>
    <mergeCell ref="M4:N4"/>
    <mergeCell ref="O4:P4"/>
    <mergeCell ref="B7:B9"/>
    <mergeCell ref="C7:C9"/>
    <mergeCell ref="D7:D9"/>
    <mergeCell ref="A5:B5"/>
    <mergeCell ref="A6:B6"/>
  </mergeCell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06"/>
  <sheetViews>
    <sheetView zoomScale="90" zoomScaleNormal="90" workbookViewId="0">
      <pane xSplit="2" ySplit="9" topLeftCell="C95" activePane="bottomRight" state="frozen"/>
      <selection pane="topRight" activeCell="C1" sqref="C1"/>
      <selection pane="bottomLeft" activeCell="A10" sqref="A10"/>
      <selection pane="bottomRight" activeCell="M10" sqref="M10:M106"/>
    </sheetView>
  </sheetViews>
  <sheetFormatPr defaultColWidth="9" defaultRowHeight="21.75" customHeight="1"/>
  <cols>
    <col min="1" max="1" width="10.33203125" style="2" customWidth="1"/>
    <col min="2" max="2" width="4.109375" style="2" customWidth="1"/>
    <col min="3" max="4" width="7.88671875" style="2" customWidth="1"/>
    <col min="5" max="5" width="8.33203125" style="2" customWidth="1"/>
    <col min="6" max="6" width="7.77734375" style="2" customWidth="1"/>
    <col min="7" max="8" width="6" style="2" customWidth="1"/>
    <col min="9" max="9" width="5.33203125" style="2" bestFit="1" customWidth="1"/>
    <col min="10" max="11" width="6.33203125" style="2" customWidth="1"/>
    <col min="12" max="12" width="6" style="2" customWidth="1"/>
    <col min="13" max="13" width="6.88671875" style="2" bestFit="1" customWidth="1"/>
    <col min="14" max="14" width="7.88671875" style="2" bestFit="1" customWidth="1"/>
    <col min="15" max="15" width="5.33203125" style="2" bestFit="1" customWidth="1"/>
    <col min="16" max="17" width="6.33203125" style="2" bestFit="1" customWidth="1"/>
    <col min="18" max="18" width="5" style="2" customWidth="1"/>
    <col min="19" max="19" width="7" style="2" customWidth="1"/>
    <col min="20" max="20" width="6.21875" style="2" customWidth="1"/>
    <col min="21" max="21" width="6.77734375" style="2" customWidth="1"/>
    <col min="22" max="22" width="4.109375" style="2" bestFit="1" customWidth="1"/>
    <col min="23" max="16384" width="9" style="2"/>
  </cols>
  <sheetData>
    <row r="1" spans="1:23" ht="21.75" customHeight="1">
      <c r="A1" s="90" t="s">
        <v>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</row>
    <row r="2" spans="1:23" ht="21.75" customHeight="1">
      <c r="A2" s="90" t="s">
        <v>65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</row>
    <row r="3" spans="1:23" ht="21.75" customHeight="1">
      <c r="A3" s="91" t="s">
        <v>10</v>
      </c>
      <c r="B3" s="92">
        <v>4.5</v>
      </c>
      <c r="C3" s="93" t="s">
        <v>11</v>
      </c>
      <c r="D3" s="38"/>
      <c r="E3" s="116" t="s">
        <v>12</v>
      </c>
      <c r="F3" s="95"/>
      <c r="G3" s="95"/>
      <c r="H3" s="96"/>
      <c r="I3" s="93" t="s">
        <v>13</v>
      </c>
      <c r="J3" s="93"/>
      <c r="K3" s="93"/>
      <c r="L3" s="93"/>
      <c r="M3" s="95" t="s">
        <v>14</v>
      </c>
      <c r="N3" s="96"/>
      <c r="O3" s="113" t="s">
        <v>15</v>
      </c>
      <c r="P3" s="113"/>
      <c r="Q3" s="115">
        <f>((F103+F105)*240)+((G103+G105)*180)</f>
        <v>0</v>
      </c>
      <c r="R3" s="115"/>
      <c r="S3" s="7" t="s">
        <v>16</v>
      </c>
    </row>
    <row r="4" spans="1:23" ht="21.75" customHeight="1">
      <c r="A4" s="91"/>
      <c r="B4" s="92"/>
      <c r="C4" s="93"/>
      <c r="D4" s="38"/>
      <c r="E4" s="114">
        <v>0.25</v>
      </c>
      <c r="F4" s="97"/>
      <c r="G4" s="97"/>
      <c r="H4" s="98"/>
      <c r="I4" s="94">
        <v>0.4</v>
      </c>
      <c r="J4" s="94"/>
      <c r="K4" s="94"/>
      <c r="L4" s="94"/>
      <c r="M4" s="97">
        <v>0.35</v>
      </c>
      <c r="N4" s="98"/>
      <c r="O4" s="113" t="s">
        <v>17</v>
      </c>
      <c r="P4" s="113"/>
      <c r="Q4" s="115">
        <f>((I103+L103+I104+L104+I105+L105)*660)+((J103+J105+J104)*530)</f>
        <v>0</v>
      </c>
      <c r="R4" s="115"/>
      <c r="S4" s="7" t="s">
        <v>16</v>
      </c>
    </row>
    <row r="5" spans="1:23" ht="21.75" customHeight="1">
      <c r="A5" s="99" t="s">
        <v>18</v>
      </c>
      <c r="B5" s="99"/>
      <c r="C5" s="103"/>
      <c r="D5" s="104"/>
      <c r="E5" s="35" t="s">
        <v>19</v>
      </c>
      <c r="F5" s="114" t="s">
        <v>20</v>
      </c>
      <c r="G5" s="97"/>
      <c r="H5" s="97"/>
      <c r="I5" s="97"/>
      <c r="J5" s="97"/>
      <c r="K5" s="97"/>
      <c r="L5" s="97"/>
      <c r="M5" s="6"/>
      <c r="N5" s="34" t="s">
        <v>21</v>
      </c>
      <c r="O5" s="113"/>
      <c r="P5" s="113"/>
      <c r="Q5" s="115"/>
      <c r="R5" s="115"/>
      <c r="S5" s="7"/>
      <c r="W5" s="2" t="s">
        <v>67</v>
      </c>
    </row>
    <row r="6" spans="1:23" ht="21.75" customHeight="1">
      <c r="A6" s="99" t="s">
        <v>23</v>
      </c>
      <c r="B6" s="99"/>
      <c r="C6" s="105" t="e">
        <f>((C106*12)/(M5*7)+((D106*12)/(M5*7)))</f>
        <v>#DIV/0!</v>
      </c>
      <c r="D6" s="106"/>
      <c r="E6" s="35" t="s">
        <v>19</v>
      </c>
      <c r="F6" s="80" t="s">
        <v>24</v>
      </c>
      <c r="G6" s="81"/>
      <c r="H6" s="82"/>
      <c r="I6" s="77" t="e">
        <f>C5-C6</f>
        <v>#DIV/0!</v>
      </c>
      <c r="J6" s="78"/>
      <c r="K6" s="79"/>
      <c r="L6" s="39" t="s">
        <v>19</v>
      </c>
      <c r="M6" s="36" t="s">
        <v>25</v>
      </c>
      <c r="N6" s="27" t="e">
        <f>((((C106*4.5)+(D106*12))/((F106+G106+H106+I106+J106+K106+L106)*7)))*100</f>
        <v>#DIV/0!</v>
      </c>
      <c r="O6" s="71" t="s">
        <v>26</v>
      </c>
      <c r="P6" s="71"/>
      <c r="Q6" s="71"/>
      <c r="R6" s="72" t="e">
        <f>U106</f>
        <v>#DIV/0!</v>
      </c>
      <c r="S6" s="73"/>
    </row>
    <row r="7" spans="1:23" ht="21.75" customHeight="1">
      <c r="A7" s="65" t="s">
        <v>27</v>
      </c>
      <c r="B7" s="65" t="s">
        <v>28</v>
      </c>
      <c r="C7" s="100" t="s">
        <v>77</v>
      </c>
      <c r="D7" s="100" t="s">
        <v>78</v>
      </c>
      <c r="E7" s="65" t="s">
        <v>30</v>
      </c>
      <c r="F7" s="74" t="s">
        <v>31</v>
      </c>
      <c r="G7" s="75"/>
      <c r="H7" s="75"/>
      <c r="I7" s="75"/>
      <c r="J7" s="75"/>
      <c r="K7" s="76"/>
      <c r="L7" s="65" t="s">
        <v>32</v>
      </c>
      <c r="M7" s="65" t="s">
        <v>33</v>
      </c>
      <c r="N7" s="68" t="s">
        <v>25</v>
      </c>
      <c r="O7" s="87" t="s">
        <v>34</v>
      </c>
      <c r="P7" s="87"/>
      <c r="Q7" s="87"/>
      <c r="R7" s="87"/>
      <c r="S7" s="87"/>
      <c r="T7" s="83" t="s">
        <v>35</v>
      </c>
      <c r="U7" s="85" t="s">
        <v>26</v>
      </c>
    </row>
    <row r="8" spans="1:23" ht="21.75" customHeight="1">
      <c r="A8" s="66"/>
      <c r="B8" s="66"/>
      <c r="C8" s="101"/>
      <c r="D8" s="101"/>
      <c r="E8" s="66"/>
      <c r="F8" s="120" t="s">
        <v>37</v>
      </c>
      <c r="G8" s="121"/>
      <c r="H8" s="122"/>
      <c r="I8" s="123" t="s">
        <v>38</v>
      </c>
      <c r="J8" s="123"/>
      <c r="K8" s="123"/>
      <c r="L8" s="66"/>
      <c r="M8" s="66"/>
      <c r="N8" s="69"/>
      <c r="O8" s="88">
        <v>1</v>
      </c>
      <c r="P8" s="88">
        <v>2</v>
      </c>
      <c r="Q8" s="88">
        <v>3</v>
      </c>
      <c r="R8" s="88">
        <v>4</v>
      </c>
      <c r="S8" s="88">
        <v>5</v>
      </c>
      <c r="T8" s="83"/>
      <c r="U8" s="85"/>
    </row>
    <row r="9" spans="1:23" ht="21.75" customHeight="1">
      <c r="A9" s="67"/>
      <c r="B9" s="67"/>
      <c r="C9" s="102"/>
      <c r="D9" s="102"/>
      <c r="E9" s="67"/>
      <c r="F9" s="24" t="s">
        <v>39</v>
      </c>
      <c r="G9" s="24" t="s">
        <v>40</v>
      </c>
      <c r="H9" s="24" t="s">
        <v>76</v>
      </c>
      <c r="I9" s="57" t="s">
        <v>68</v>
      </c>
      <c r="J9" s="57" t="s">
        <v>40</v>
      </c>
      <c r="K9" s="57" t="s">
        <v>76</v>
      </c>
      <c r="L9" s="67"/>
      <c r="M9" s="67"/>
      <c r="N9" s="70"/>
      <c r="O9" s="89"/>
      <c r="P9" s="89"/>
      <c r="Q9" s="89"/>
      <c r="R9" s="89"/>
      <c r="S9" s="89"/>
      <c r="T9" s="84"/>
      <c r="U9" s="86"/>
    </row>
    <row r="10" spans="1:23" ht="21.75" customHeight="1">
      <c r="A10" s="87">
        <v>1</v>
      </c>
      <c r="B10" s="7" t="s">
        <v>12</v>
      </c>
      <c r="C10" s="3"/>
      <c r="D10" s="3"/>
      <c r="E10" s="4">
        <f>((($B$3*C10)+(12*D10))*$E$4)/7</f>
        <v>0</v>
      </c>
      <c r="F10" s="3"/>
      <c r="G10" s="3"/>
      <c r="H10" s="3"/>
      <c r="I10" s="3"/>
      <c r="J10" s="3"/>
      <c r="K10" s="3"/>
      <c r="L10" s="3"/>
      <c r="M10" s="5">
        <f>(F10+G10+H10+L10)-E10</f>
        <v>0</v>
      </c>
      <c r="N10" s="28" t="e">
        <f>(((C10*4.5)+(12*D10))*$E$4)/((F10+G10+H10+I10+J10+K10+L10)*7)*100</f>
        <v>#DIV/0!</v>
      </c>
      <c r="O10" s="7"/>
      <c r="P10" s="7"/>
      <c r="Q10" s="7"/>
      <c r="R10" s="7"/>
      <c r="S10" s="3"/>
      <c r="T10" s="37">
        <f t="shared" ref="T10:T73" si="0">SUM(O10:S10)</f>
        <v>0</v>
      </c>
      <c r="U10" s="28" t="e">
        <f>((((O10*1.5+(P10*3.5)+(Q10*5.5)+(R10*7.5)+(S10*12)))/3)/((F10+G10+H10+I10+J10+K10+L10)*7))*100</f>
        <v>#DIV/0!</v>
      </c>
      <c r="V10" s="61">
        <f>C10+D10-T10</f>
        <v>0</v>
      </c>
    </row>
    <row r="11" spans="1:23" ht="21.75" customHeight="1">
      <c r="A11" s="87"/>
      <c r="B11" s="7" t="s">
        <v>13</v>
      </c>
      <c r="C11" s="3"/>
      <c r="D11" s="3"/>
      <c r="E11" s="4">
        <f t="shared" ref="E11:E74" si="1">((($B$3*C11)+(12*D11))*$E$4)/7</f>
        <v>0</v>
      </c>
      <c r="F11" s="3"/>
      <c r="G11" s="3"/>
      <c r="H11" s="3"/>
      <c r="I11" s="3"/>
      <c r="J11" s="3"/>
      <c r="K11" s="3"/>
      <c r="L11" s="3"/>
      <c r="M11" s="5">
        <f t="shared" ref="M11:M74" si="2">(F11+G11+H11+L11)-E11</f>
        <v>0</v>
      </c>
      <c r="N11" s="28" t="e">
        <f t="shared" ref="N11:N74" si="3">(((C11*4.5)+(12*D11))*$E$4)/((F11+G11+H11+I11+J11+K11+L11)*7)*100</f>
        <v>#DIV/0!</v>
      </c>
      <c r="O11" s="7"/>
      <c r="P11" s="7"/>
      <c r="Q11" s="7"/>
      <c r="R11" s="7"/>
      <c r="S11" s="3"/>
      <c r="T11" s="37">
        <f t="shared" si="0"/>
        <v>0</v>
      </c>
      <c r="U11" s="28" t="e">
        <f t="shared" ref="U11:U74" si="4">((((O11*1.5+(P11*3.5)+(Q11*5.5)+(R11*7.5)+(S11*12)))/3)/((F11+G11+H11+I11+J11+K11+L11)*7))*100</f>
        <v>#DIV/0!</v>
      </c>
      <c r="V11" s="61">
        <f t="shared" ref="V11:V74" si="5">C11+D11-T11</f>
        <v>0</v>
      </c>
    </row>
    <row r="12" spans="1:23" ht="21.75" customHeight="1">
      <c r="A12" s="87"/>
      <c r="B12" s="7" t="s">
        <v>14</v>
      </c>
      <c r="C12" s="3"/>
      <c r="D12" s="3"/>
      <c r="E12" s="4">
        <f t="shared" si="1"/>
        <v>0</v>
      </c>
      <c r="F12" s="3"/>
      <c r="G12" s="3"/>
      <c r="H12" s="3"/>
      <c r="I12" s="3"/>
      <c r="J12" s="3"/>
      <c r="K12" s="3"/>
      <c r="L12" s="3"/>
      <c r="M12" s="5">
        <f t="shared" si="2"/>
        <v>0</v>
      </c>
      <c r="N12" s="28" t="e">
        <f t="shared" si="3"/>
        <v>#DIV/0!</v>
      </c>
      <c r="O12" s="7"/>
      <c r="P12" s="7"/>
      <c r="Q12" s="7"/>
      <c r="R12" s="7"/>
      <c r="S12" s="3"/>
      <c r="T12" s="37">
        <f t="shared" si="0"/>
        <v>0</v>
      </c>
      <c r="U12" s="28" t="e">
        <f t="shared" si="4"/>
        <v>#DIV/0!</v>
      </c>
      <c r="V12" s="61">
        <f t="shared" si="5"/>
        <v>0</v>
      </c>
    </row>
    <row r="13" spans="1:23" ht="21.75" customHeight="1">
      <c r="A13" s="87">
        <v>2</v>
      </c>
      <c r="B13" s="7" t="s">
        <v>12</v>
      </c>
      <c r="C13" s="3"/>
      <c r="D13" s="3"/>
      <c r="E13" s="4">
        <f t="shared" si="1"/>
        <v>0</v>
      </c>
      <c r="F13" s="3"/>
      <c r="G13" s="3"/>
      <c r="H13" s="3"/>
      <c r="I13" s="3"/>
      <c r="J13" s="3"/>
      <c r="K13" s="3"/>
      <c r="L13" s="3"/>
      <c r="M13" s="5">
        <f t="shared" si="2"/>
        <v>0</v>
      </c>
      <c r="N13" s="28" t="e">
        <f t="shared" si="3"/>
        <v>#DIV/0!</v>
      </c>
      <c r="O13" s="7"/>
      <c r="P13" s="7"/>
      <c r="Q13" s="7"/>
      <c r="R13" s="7"/>
      <c r="S13" s="3"/>
      <c r="T13" s="37">
        <f t="shared" si="0"/>
        <v>0</v>
      </c>
      <c r="U13" s="28" t="e">
        <f t="shared" si="4"/>
        <v>#DIV/0!</v>
      </c>
      <c r="V13" s="61">
        <f t="shared" si="5"/>
        <v>0</v>
      </c>
    </row>
    <row r="14" spans="1:23" ht="21.75" customHeight="1">
      <c r="A14" s="87"/>
      <c r="B14" s="7" t="s">
        <v>13</v>
      </c>
      <c r="C14" s="3"/>
      <c r="D14" s="3"/>
      <c r="E14" s="4">
        <f t="shared" si="1"/>
        <v>0</v>
      </c>
      <c r="F14" s="3"/>
      <c r="G14" s="3"/>
      <c r="H14" s="3"/>
      <c r="I14" s="3"/>
      <c r="J14" s="3"/>
      <c r="K14" s="3"/>
      <c r="L14" s="3"/>
      <c r="M14" s="5">
        <f t="shared" si="2"/>
        <v>0</v>
      </c>
      <c r="N14" s="28" t="e">
        <f t="shared" si="3"/>
        <v>#DIV/0!</v>
      </c>
      <c r="O14" s="7"/>
      <c r="P14" s="7"/>
      <c r="Q14" s="7"/>
      <c r="R14" s="7"/>
      <c r="S14" s="3"/>
      <c r="T14" s="37">
        <f t="shared" si="0"/>
        <v>0</v>
      </c>
      <c r="U14" s="28" t="e">
        <f t="shared" si="4"/>
        <v>#DIV/0!</v>
      </c>
      <c r="V14" s="61">
        <f t="shared" si="5"/>
        <v>0</v>
      </c>
    </row>
    <row r="15" spans="1:23" ht="21.75" customHeight="1">
      <c r="A15" s="87"/>
      <c r="B15" s="7" t="s">
        <v>14</v>
      </c>
      <c r="C15" s="3"/>
      <c r="D15" s="3"/>
      <c r="E15" s="4">
        <f t="shared" si="1"/>
        <v>0</v>
      </c>
      <c r="F15" s="3"/>
      <c r="G15" s="3"/>
      <c r="H15" s="3"/>
      <c r="I15" s="3"/>
      <c r="J15" s="3"/>
      <c r="K15" s="3"/>
      <c r="L15" s="3"/>
      <c r="M15" s="5">
        <f t="shared" si="2"/>
        <v>0</v>
      </c>
      <c r="N15" s="28" t="e">
        <f t="shared" si="3"/>
        <v>#DIV/0!</v>
      </c>
      <c r="O15" s="7"/>
      <c r="P15" s="7"/>
      <c r="Q15" s="7"/>
      <c r="R15" s="7"/>
      <c r="S15" s="3"/>
      <c r="T15" s="37">
        <f t="shared" si="0"/>
        <v>0</v>
      </c>
      <c r="U15" s="28" t="e">
        <f t="shared" si="4"/>
        <v>#DIV/0!</v>
      </c>
      <c r="V15" s="61">
        <f t="shared" si="5"/>
        <v>0</v>
      </c>
    </row>
    <row r="16" spans="1:23" ht="21.75" customHeight="1">
      <c r="A16" s="87">
        <v>3</v>
      </c>
      <c r="B16" s="7" t="s">
        <v>12</v>
      </c>
      <c r="C16" s="3"/>
      <c r="D16" s="3"/>
      <c r="E16" s="4">
        <f t="shared" si="1"/>
        <v>0</v>
      </c>
      <c r="F16" s="3"/>
      <c r="G16" s="3"/>
      <c r="H16" s="3"/>
      <c r="I16" s="3"/>
      <c r="J16" s="3"/>
      <c r="K16" s="3"/>
      <c r="L16" s="3"/>
      <c r="M16" s="5">
        <f t="shared" si="2"/>
        <v>0</v>
      </c>
      <c r="N16" s="28" t="e">
        <f t="shared" si="3"/>
        <v>#DIV/0!</v>
      </c>
      <c r="O16" s="7"/>
      <c r="P16" s="7"/>
      <c r="Q16" s="7"/>
      <c r="R16" s="7"/>
      <c r="S16" s="3"/>
      <c r="T16" s="37">
        <f t="shared" si="0"/>
        <v>0</v>
      </c>
      <c r="U16" s="28" t="e">
        <f t="shared" si="4"/>
        <v>#DIV/0!</v>
      </c>
      <c r="V16" s="61">
        <f t="shared" si="5"/>
        <v>0</v>
      </c>
    </row>
    <row r="17" spans="1:22" ht="21.75" customHeight="1">
      <c r="A17" s="87"/>
      <c r="B17" s="7" t="s">
        <v>13</v>
      </c>
      <c r="C17" s="3"/>
      <c r="D17" s="3"/>
      <c r="E17" s="4">
        <f t="shared" si="1"/>
        <v>0</v>
      </c>
      <c r="F17" s="3"/>
      <c r="G17" s="3"/>
      <c r="H17" s="3"/>
      <c r="I17" s="3"/>
      <c r="J17" s="3"/>
      <c r="K17" s="3"/>
      <c r="L17" s="3"/>
      <c r="M17" s="5">
        <f t="shared" si="2"/>
        <v>0</v>
      </c>
      <c r="N17" s="28" t="e">
        <f t="shared" si="3"/>
        <v>#DIV/0!</v>
      </c>
      <c r="O17" s="7"/>
      <c r="P17" s="7"/>
      <c r="Q17" s="7"/>
      <c r="R17" s="7"/>
      <c r="S17" s="3"/>
      <c r="T17" s="37">
        <f t="shared" si="0"/>
        <v>0</v>
      </c>
      <c r="U17" s="28" t="e">
        <f t="shared" si="4"/>
        <v>#DIV/0!</v>
      </c>
      <c r="V17" s="61">
        <f t="shared" si="5"/>
        <v>0</v>
      </c>
    </row>
    <row r="18" spans="1:22" ht="21.75" customHeight="1">
      <c r="A18" s="87"/>
      <c r="B18" s="7" t="s">
        <v>14</v>
      </c>
      <c r="C18" s="3"/>
      <c r="D18" s="3"/>
      <c r="E18" s="4">
        <f t="shared" si="1"/>
        <v>0</v>
      </c>
      <c r="F18" s="3"/>
      <c r="G18" s="3"/>
      <c r="H18" s="3"/>
      <c r="I18" s="3"/>
      <c r="J18" s="3"/>
      <c r="K18" s="3"/>
      <c r="L18" s="3"/>
      <c r="M18" s="5">
        <f t="shared" si="2"/>
        <v>0</v>
      </c>
      <c r="N18" s="28" t="e">
        <f t="shared" si="3"/>
        <v>#DIV/0!</v>
      </c>
      <c r="O18" s="7"/>
      <c r="P18" s="7"/>
      <c r="Q18" s="7"/>
      <c r="R18" s="7"/>
      <c r="S18" s="3"/>
      <c r="T18" s="37">
        <f t="shared" si="0"/>
        <v>0</v>
      </c>
      <c r="U18" s="28" t="e">
        <f t="shared" si="4"/>
        <v>#DIV/0!</v>
      </c>
      <c r="V18" s="61">
        <f t="shared" si="5"/>
        <v>0</v>
      </c>
    </row>
    <row r="19" spans="1:22" ht="21.75" customHeight="1">
      <c r="A19" s="87">
        <v>4</v>
      </c>
      <c r="B19" s="7" t="s">
        <v>12</v>
      </c>
      <c r="C19" s="3"/>
      <c r="D19" s="3"/>
      <c r="E19" s="4">
        <f t="shared" si="1"/>
        <v>0</v>
      </c>
      <c r="F19" s="3"/>
      <c r="G19" s="3"/>
      <c r="H19" s="3"/>
      <c r="I19" s="3"/>
      <c r="J19" s="3"/>
      <c r="K19" s="3"/>
      <c r="L19" s="3"/>
      <c r="M19" s="5">
        <f t="shared" si="2"/>
        <v>0</v>
      </c>
      <c r="N19" s="28" t="e">
        <f t="shared" si="3"/>
        <v>#DIV/0!</v>
      </c>
      <c r="O19" s="7"/>
      <c r="P19" s="7"/>
      <c r="Q19" s="7"/>
      <c r="R19" s="7"/>
      <c r="S19" s="3"/>
      <c r="T19" s="37">
        <f t="shared" si="0"/>
        <v>0</v>
      </c>
      <c r="U19" s="28" t="e">
        <f t="shared" si="4"/>
        <v>#DIV/0!</v>
      </c>
      <c r="V19" s="61">
        <f t="shared" si="5"/>
        <v>0</v>
      </c>
    </row>
    <row r="20" spans="1:22" ht="21.75" customHeight="1">
      <c r="A20" s="87"/>
      <c r="B20" s="7" t="s">
        <v>13</v>
      </c>
      <c r="C20" s="3"/>
      <c r="D20" s="3"/>
      <c r="E20" s="4">
        <f t="shared" si="1"/>
        <v>0</v>
      </c>
      <c r="F20" s="3"/>
      <c r="G20" s="3"/>
      <c r="H20" s="3"/>
      <c r="I20" s="3"/>
      <c r="J20" s="3"/>
      <c r="K20" s="3"/>
      <c r="L20" s="3"/>
      <c r="M20" s="5">
        <f t="shared" si="2"/>
        <v>0</v>
      </c>
      <c r="N20" s="28" t="e">
        <f t="shared" si="3"/>
        <v>#DIV/0!</v>
      </c>
      <c r="O20" s="7"/>
      <c r="P20" s="7"/>
      <c r="Q20" s="7"/>
      <c r="R20" s="7"/>
      <c r="S20" s="3"/>
      <c r="T20" s="37">
        <f t="shared" si="0"/>
        <v>0</v>
      </c>
      <c r="U20" s="28" t="e">
        <f t="shared" si="4"/>
        <v>#DIV/0!</v>
      </c>
      <c r="V20" s="61">
        <f t="shared" si="5"/>
        <v>0</v>
      </c>
    </row>
    <row r="21" spans="1:22" ht="21.75" customHeight="1">
      <c r="A21" s="87"/>
      <c r="B21" s="7" t="s">
        <v>14</v>
      </c>
      <c r="C21" s="3"/>
      <c r="D21" s="3"/>
      <c r="E21" s="4">
        <f t="shared" si="1"/>
        <v>0</v>
      </c>
      <c r="F21" s="3"/>
      <c r="G21" s="3"/>
      <c r="H21" s="3"/>
      <c r="I21" s="3"/>
      <c r="J21" s="3"/>
      <c r="K21" s="3"/>
      <c r="L21" s="3"/>
      <c r="M21" s="5">
        <f t="shared" si="2"/>
        <v>0</v>
      </c>
      <c r="N21" s="28" t="e">
        <f t="shared" si="3"/>
        <v>#DIV/0!</v>
      </c>
      <c r="O21" s="7"/>
      <c r="P21" s="7"/>
      <c r="Q21" s="7"/>
      <c r="R21" s="7"/>
      <c r="S21" s="3"/>
      <c r="T21" s="37">
        <f t="shared" si="0"/>
        <v>0</v>
      </c>
      <c r="U21" s="28" t="e">
        <f t="shared" si="4"/>
        <v>#DIV/0!</v>
      </c>
      <c r="V21" s="61">
        <f t="shared" si="5"/>
        <v>0</v>
      </c>
    </row>
    <row r="22" spans="1:22" ht="21.75" customHeight="1">
      <c r="A22" s="87">
        <v>5</v>
      </c>
      <c r="B22" s="7" t="s">
        <v>12</v>
      </c>
      <c r="C22" s="3"/>
      <c r="D22" s="3"/>
      <c r="E22" s="4">
        <f t="shared" si="1"/>
        <v>0</v>
      </c>
      <c r="F22" s="3"/>
      <c r="G22" s="3"/>
      <c r="H22" s="3"/>
      <c r="I22" s="3"/>
      <c r="J22" s="3"/>
      <c r="K22" s="3"/>
      <c r="L22" s="3"/>
      <c r="M22" s="5">
        <f t="shared" si="2"/>
        <v>0</v>
      </c>
      <c r="N22" s="28" t="e">
        <f t="shared" si="3"/>
        <v>#DIV/0!</v>
      </c>
      <c r="O22" s="7"/>
      <c r="P22" s="7"/>
      <c r="Q22" s="7"/>
      <c r="R22" s="7"/>
      <c r="S22" s="3"/>
      <c r="T22" s="37">
        <f t="shared" si="0"/>
        <v>0</v>
      </c>
      <c r="U22" s="28" t="e">
        <f t="shared" si="4"/>
        <v>#DIV/0!</v>
      </c>
      <c r="V22" s="61">
        <f t="shared" si="5"/>
        <v>0</v>
      </c>
    </row>
    <row r="23" spans="1:22" ht="21.75" customHeight="1">
      <c r="A23" s="87"/>
      <c r="B23" s="7" t="s">
        <v>13</v>
      </c>
      <c r="C23" s="3"/>
      <c r="D23" s="3"/>
      <c r="E23" s="4">
        <f t="shared" si="1"/>
        <v>0</v>
      </c>
      <c r="F23" s="3"/>
      <c r="G23" s="3"/>
      <c r="H23" s="3"/>
      <c r="I23" s="3"/>
      <c r="J23" s="3"/>
      <c r="K23" s="3"/>
      <c r="L23" s="3"/>
      <c r="M23" s="5">
        <f t="shared" si="2"/>
        <v>0</v>
      </c>
      <c r="N23" s="28" t="e">
        <f t="shared" si="3"/>
        <v>#DIV/0!</v>
      </c>
      <c r="O23" s="7"/>
      <c r="P23" s="7"/>
      <c r="Q23" s="7"/>
      <c r="R23" s="7"/>
      <c r="S23" s="3"/>
      <c r="T23" s="37">
        <f t="shared" si="0"/>
        <v>0</v>
      </c>
      <c r="U23" s="28" t="e">
        <f t="shared" si="4"/>
        <v>#DIV/0!</v>
      </c>
      <c r="V23" s="61">
        <f t="shared" si="5"/>
        <v>0</v>
      </c>
    </row>
    <row r="24" spans="1:22" ht="21.75" customHeight="1">
      <c r="A24" s="87"/>
      <c r="B24" s="7" t="s">
        <v>14</v>
      </c>
      <c r="C24" s="3"/>
      <c r="D24" s="3"/>
      <c r="E24" s="4">
        <f t="shared" si="1"/>
        <v>0</v>
      </c>
      <c r="F24" s="3"/>
      <c r="G24" s="3"/>
      <c r="H24" s="3"/>
      <c r="I24" s="3"/>
      <c r="J24" s="3"/>
      <c r="K24" s="3"/>
      <c r="L24" s="3"/>
      <c r="M24" s="5">
        <f t="shared" si="2"/>
        <v>0</v>
      </c>
      <c r="N24" s="28" t="e">
        <f t="shared" si="3"/>
        <v>#DIV/0!</v>
      </c>
      <c r="O24" s="7"/>
      <c r="P24" s="7"/>
      <c r="Q24" s="7"/>
      <c r="R24" s="7"/>
      <c r="S24" s="3"/>
      <c r="T24" s="37">
        <f t="shared" si="0"/>
        <v>0</v>
      </c>
      <c r="U24" s="28" t="e">
        <f t="shared" si="4"/>
        <v>#DIV/0!</v>
      </c>
      <c r="V24" s="61">
        <f t="shared" si="5"/>
        <v>0</v>
      </c>
    </row>
    <row r="25" spans="1:22" ht="21.75" customHeight="1">
      <c r="A25" s="87">
        <v>6</v>
      </c>
      <c r="B25" s="7" t="s">
        <v>12</v>
      </c>
      <c r="C25" s="3"/>
      <c r="D25" s="3"/>
      <c r="E25" s="4">
        <f t="shared" si="1"/>
        <v>0</v>
      </c>
      <c r="F25" s="3"/>
      <c r="G25" s="3"/>
      <c r="H25" s="3"/>
      <c r="I25" s="3"/>
      <c r="J25" s="3"/>
      <c r="K25" s="3"/>
      <c r="L25" s="3"/>
      <c r="M25" s="5">
        <f t="shared" si="2"/>
        <v>0</v>
      </c>
      <c r="N25" s="28" t="e">
        <f t="shared" si="3"/>
        <v>#DIV/0!</v>
      </c>
      <c r="O25" s="7"/>
      <c r="P25" s="7"/>
      <c r="Q25" s="7"/>
      <c r="R25" s="7"/>
      <c r="S25" s="3"/>
      <c r="T25" s="37">
        <f t="shared" si="0"/>
        <v>0</v>
      </c>
      <c r="U25" s="28" t="e">
        <f t="shared" si="4"/>
        <v>#DIV/0!</v>
      </c>
      <c r="V25" s="61">
        <f t="shared" si="5"/>
        <v>0</v>
      </c>
    </row>
    <row r="26" spans="1:22" ht="21.75" customHeight="1">
      <c r="A26" s="87"/>
      <c r="B26" s="7" t="s">
        <v>13</v>
      </c>
      <c r="C26" s="3"/>
      <c r="D26" s="3"/>
      <c r="E26" s="4">
        <f t="shared" si="1"/>
        <v>0</v>
      </c>
      <c r="F26" s="3"/>
      <c r="G26" s="3"/>
      <c r="H26" s="3"/>
      <c r="I26" s="3"/>
      <c r="J26" s="3"/>
      <c r="K26" s="3"/>
      <c r="L26" s="3"/>
      <c r="M26" s="5">
        <f t="shared" si="2"/>
        <v>0</v>
      </c>
      <c r="N26" s="28" t="e">
        <f t="shared" si="3"/>
        <v>#DIV/0!</v>
      </c>
      <c r="O26" s="7"/>
      <c r="P26" s="7"/>
      <c r="Q26" s="7"/>
      <c r="R26" s="7"/>
      <c r="S26" s="3"/>
      <c r="T26" s="37">
        <f t="shared" si="0"/>
        <v>0</v>
      </c>
      <c r="U26" s="28" t="e">
        <f t="shared" si="4"/>
        <v>#DIV/0!</v>
      </c>
      <c r="V26" s="61">
        <f t="shared" si="5"/>
        <v>0</v>
      </c>
    </row>
    <row r="27" spans="1:22" ht="21.75" customHeight="1">
      <c r="A27" s="87"/>
      <c r="B27" s="7" t="s">
        <v>14</v>
      </c>
      <c r="C27" s="3"/>
      <c r="D27" s="3"/>
      <c r="E27" s="4">
        <f t="shared" si="1"/>
        <v>0</v>
      </c>
      <c r="F27" s="3"/>
      <c r="G27" s="3"/>
      <c r="H27" s="3"/>
      <c r="I27" s="3"/>
      <c r="J27" s="3"/>
      <c r="K27" s="3"/>
      <c r="L27" s="3"/>
      <c r="M27" s="5">
        <f t="shared" si="2"/>
        <v>0</v>
      </c>
      <c r="N27" s="28" t="e">
        <f t="shared" si="3"/>
        <v>#DIV/0!</v>
      </c>
      <c r="O27" s="7"/>
      <c r="P27" s="7"/>
      <c r="Q27" s="7"/>
      <c r="R27" s="7"/>
      <c r="S27" s="3"/>
      <c r="T27" s="37">
        <f t="shared" si="0"/>
        <v>0</v>
      </c>
      <c r="U27" s="28" t="e">
        <f t="shared" si="4"/>
        <v>#DIV/0!</v>
      </c>
      <c r="V27" s="61">
        <f t="shared" si="5"/>
        <v>0</v>
      </c>
    </row>
    <row r="28" spans="1:22" ht="21.75" customHeight="1">
      <c r="A28" s="87">
        <v>7</v>
      </c>
      <c r="B28" s="7" t="s">
        <v>12</v>
      </c>
      <c r="C28" s="3"/>
      <c r="D28" s="3"/>
      <c r="E28" s="4">
        <f t="shared" si="1"/>
        <v>0</v>
      </c>
      <c r="F28" s="3"/>
      <c r="G28" s="3"/>
      <c r="H28" s="3"/>
      <c r="I28" s="3"/>
      <c r="J28" s="3"/>
      <c r="K28" s="3"/>
      <c r="L28" s="3"/>
      <c r="M28" s="5">
        <f t="shared" si="2"/>
        <v>0</v>
      </c>
      <c r="N28" s="28" t="e">
        <f t="shared" si="3"/>
        <v>#DIV/0!</v>
      </c>
      <c r="O28" s="7"/>
      <c r="P28" s="7"/>
      <c r="Q28" s="7"/>
      <c r="R28" s="7"/>
      <c r="S28" s="3"/>
      <c r="T28" s="37">
        <f t="shared" si="0"/>
        <v>0</v>
      </c>
      <c r="U28" s="28" t="e">
        <f t="shared" si="4"/>
        <v>#DIV/0!</v>
      </c>
      <c r="V28" s="61">
        <f t="shared" si="5"/>
        <v>0</v>
      </c>
    </row>
    <row r="29" spans="1:22" ht="21.75" customHeight="1">
      <c r="A29" s="87"/>
      <c r="B29" s="7" t="s">
        <v>13</v>
      </c>
      <c r="C29" s="3"/>
      <c r="D29" s="3"/>
      <c r="E29" s="4">
        <f t="shared" si="1"/>
        <v>0</v>
      </c>
      <c r="F29" s="3"/>
      <c r="G29" s="3"/>
      <c r="H29" s="3"/>
      <c r="I29" s="3"/>
      <c r="J29" s="3"/>
      <c r="K29" s="3"/>
      <c r="L29" s="3"/>
      <c r="M29" s="5">
        <f t="shared" si="2"/>
        <v>0</v>
      </c>
      <c r="N29" s="28" t="e">
        <f t="shared" si="3"/>
        <v>#DIV/0!</v>
      </c>
      <c r="O29" s="7"/>
      <c r="P29" s="7"/>
      <c r="Q29" s="7"/>
      <c r="R29" s="7"/>
      <c r="S29" s="3"/>
      <c r="T29" s="37">
        <f t="shared" si="0"/>
        <v>0</v>
      </c>
      <c r="U29" s="28" t="e">
        <f t="shared" si="4"/>
        <v>#DIV/0!</v>
      </c>
      <c r="V29" s="61">
        <f t="shared" si="5"/>
        <v>0</v>
      </c>
    </row>
    <row r="30" spans="1:22" ht="21.75" customHeight="1">
      <c r="A30" s="87"/>
      <c r="B30" s="7" t="s">
        <v>14</v>
      </c>
      <c r="C30" s="3"/>
      <c r="D30" s="3"/>
      <c r="E30" s="4">
        <f t="shared" si="1"/>
        <v>0</v>
      </c>
      <c r="F30" s="3"/>
      <c r="G30" s="3"/>
      <c r="H30" s="3"/>
      <c r="I30" s="3"/>
      <c r="J30" s="3"/>
      <c r="K30" s="3"/>
      <c r="L30" s="3"/>
      <c r="M30" s="5">
        <f t="shared" si="2"/>
        <v>0</v>
      </c>
      <c r="N30" s="28" t="e">
        <f t="shared" si="3"/>
        <v>#DIV/0!</v>
      </c>
      <c r="O30" s="7"/>
      <c r="P30" s="7"/>
      <c r="Q30" s="7"/>
      <c r="R30" s="7"/>
      <c r="S30" s="3"/>
      <c r="T30" s="37">
        <f t="shared" si="0"/>
        <v>0</v>
      </c>
      <c r="U30" s="28" t="e">
        <f t="shared" si="4"/>
        <v>#DIV/0!</v>
      </c>
      <c r="V30" s="61">
        <f t="shared" si="5"/>
        <v>0</v>
      </c>
    </row>
    <row r="31" spans="1:22" ht="21.75" customHeight="1">
      <c r="A31" s="87">
        <v>8</v>
      </c>
      <c r="B31" s="7" t="s">
        <v>12</v>
      </c>
      <c r="C31" s="3"/>
      <c r="D31" s="3"/>
      <c r="E31" s="4">
        <f t="shared" si="1"/>
        <v>0</v>
      </c>
      <c r="F31" s="3"/>
      <c r="G31" s="3"/>
      <c r="H31" s="3"/>
      <c r="I31" s="3"/>
      <c r="J31" s="3"/>
      <c r="K31" s="3"/>
      <c r="L31" s="3"/>
      <c r="M31" s="5">
        <f t="shared" si="2"/>
        <v>0</v>
      </c>
      <c r="N31" s="28" t="e">
        <f t="shared" si="3"/>
        <v>#DIV/0!</v>
      </c>
      <c r="O31" s="7"/>
      <c r="P31" s="7"/>
      <c r="Q31" s="7"/>
      <c r="R31" s="7"/>
      <c r="S31" s="3"/>
      <c r="T31" s="37">
        <f t="shared" si="0"/>
        <v>0</v>
      </c>
      <c r="U31" s="28" t="e">
        <f t="shared" si="4"/>
        <v>#DIV/0!</v>
      </c>
      <c r="V31" s="61">
        <f t="shared" si="5"/>
        <v>0</v>
      </c>
    </row>
    <row r="32" spans="1:22" ht="21.75" customHeight="1">
      <c r="A32" s="87"/>
      <c r="B32" s="7" t="s">
        <v>13</v>
      </c>
      <c r="C32" s="3"/>
      <c r="D32" s="3"/>
      <c r="E32" s="4">
        <f t="shared" si="1"/>
        <v>0</v>
      </c>
      <c r="F32" s="3"/>
      <c r="G32" s="3"/>
      <c r="H32" s="3"/>
      <c r="I32" s="3"/>
      <c r="J32" s="3"/>
      <c r="K32" s="3"/>
      <c r="L32" s="3"/>
      <c r="M32" s="5">
        <f t="shared" si="2"/>
        <v>0</v>
      </c>
      <c r="N32" s="28" t="e">
        <f t="shared" si="3"/>
        <v>#DIV/0!</v>
      </c>
      <c r="O32" s="7"/>
      <c r="P32" s="7"/>
      <c r="Q32" s="7"/>
      <c r="R32" s="7"/>
      <c r="S32" s="3"/>
      <c r="T32" s="37">
        <f t="shared" si="0"/>
        <v>0</v>
      </c>
      <c r="U32" s="28" t="e">
        <f t="shared" si="4"/>
        <v>#DIV/0!</v>
      </c>
      <c r="V32" s="61">
        <f t="shared" si="5"/>
        <v>0</v>
      </c>
    </row>
    <row r="33" spans="1:22" ht="21.75" customHeight="1">
      <c r="A33" s="87"/>
      <c r="B33" s="7" t="s">
        <v>14</v>
      </c>
      <c r="C33" s="3"/>
      <c r="D33" s="3"/>
      <c r="E33" s="4">
        <f t="shared" si="1"/>
        <v>0</v>
      </c>
      <c r="F33" s="3"/>
      <c r="G33" s="3"/>
      <c r="H33" s="3"/>
      <c r="I33" s="3"/>
      <c r="J33" s="3"/>
      <c r="K33" s="3"/>
      <c r="L33" s="3"/>
      <c r="M33" s="5">
        <f t="shared" si="2"/>
        <v>0</v>
      </c>
      <c r="N33" s="28" t="e">
        <f t="shared" si="3"/>
        <v>#DIV/0!</v>
      </c>
      <c r="O33" s="7"/>
      <c r="P33" s="7"/>
      <c r="Q33" s="7"/>
      <c r="R33" s="7"/>
      <c r="S33" s="3"/>
      <c r="T33" s="37">
        <f t="shared" si="0"/>
        <v>0</v>
      </c>
      <c r="U33" s="28" t="e">
        <f t="shared" si="4"/>
        <v>#DIV/0!</v>
      </c>
      <c r="V33" s="61">
        <f t="shared" si="5"/>
        <v>0</v>
      </c>
    </row>
    <row r="34" spans="1:22" ht="21.75" customHeight="1">
      <c r="A34" s="87">
        <v>9</v>
      </c>
      <c r="B34" s="7" t="s">
        <v>12</v>
      </c>
      <c r="C34" s="3"/>
      <c r="D34" s="3"/>
      <c r="E34" s="4">
        <f t="shared" si="1"/>
        <v>0</v>
      </c>
      <c r="F34" s="3"/>
      <c r="G34" s="3"/>
      <c r="H34" s="3"/>
      <c r="I34" s="3"/>
      <c r="J34" s="3"/>
      <c r="K34" s="3"/>
      <c r="L34" s="3"/>
      <c r="M34" s="5">
        <f t="shared" si="2"/>
        <v>0</v>
      </c>
      <c r="N34" s="28" t="e">
        <f t="shared" si="3"/>
        <v>#DIV/0!</v>
      </c>
      <c r="O34" s="7"/>
      <c r="P34" s="7"/>
      <c r="Q34" s="7"/>
      <c r="R34" s="7"/>
      <c r="S34" s="3"/>
      <c r="T34" s="37">
        <f t="shared" si="0"/>
        <v>0</v>
      </c>
      <c r="U34" s="28" t="e">
        <f t="shared" si="4"/>
        <v>#DIV/0!</v>
      </c>
      <c r="V34" s="61">
        <f t="shared" si="5"/>
        <v>0</v>
      </c>
    </row>
    <row r="35" spans="1:22" ht="21.75" customHeight="1">
      <c r="A35" s="87"/>
      <c r="B35" s="7" t="s">
        <v>13</v>
      </c>
      <c r="C35" s="3"/>
      <c r="D35" s="3"/>
      <c r="E35" s="4">
        <f t="shared" si="1"/>
        <v>0</v>
      </c>
      <c r="F35" s="3"/>
      <c r="G35" s="3"/>
      <c r="H35" s="3"/>
      <c r="I35" s="3"/>
      <c r="J35" s="3"/>
      <c r="K35" s="3"/>
      <c r="L35" s="3"/>
      <c r="M35" s="5">
        <f t="shared" si="2"/>
        <v>0</v>
      </c>
      <c r="N35" s="28" t="e">
        <f t="shared" si="3"/>
        <v>#DIV/0!</v>
      </c>
      <c r="O35" s="7"/>
      <c r="P35" s="7"/>
      <c r="Q35" s="7"/>
      <c r="R35" s="7"/>
      <c r="S35" s="3"/>
      <c r="T35" s="37">
        <f t="shared" si="0"/>
        <v>0</v>
      </c>
      <c r="U35" s="28" t="e">
        <f t="shared" si="4"/>
        <v>#DIV/0!</v>
      </c>
      <c r="V35" s="61">
        <f t="shared" si="5"/>
        <v>0</v>
      </c>
    </row>
    <row r="36" spans="1:22" ht="21.75" customHeight="1">
      <c r="A36" s="87"/>
      <c r="B36" s="7" t="s">
        <v>14</v>
      </c>
      <c r="C36" s="3"/>
      <c r="D36" s="3"/>
      <c r="E36" s="4">
        <f t="shared" si="1"/>
        <v>0</v>
      </c>
      <c r="F36" s="3"/>
      <c r="G36" s="3"/>
      <c r="H36" s="3"/>
      <c r="I36" s="3"/>
      <c r="J36" s="3"/>
      <c r="K36" s="3"/>
      <c r="L36" s="3"/>
      <c r="M36" s="5">
        <f t="shared" si="2"/>
        <v>0</v>
      </c>
      <c r="N36" s="28" t="e">
        <f t="shared" si="3"/>
        <v>#DIV/0!</v>
      </c>
      <c r="O36" s="7"/>
      <c r="P36" s="7"/>
      <c r="Q36" s="7"/>
      <c r="R36" s="7"/>
      <c r="S36" s="3"/>
      <c r="T36" s="37">
        <f t="shared" si="0"/>
        <v>0</v>
      </c>
      <c r="U36" s="28" t="e">
        <f t="shared" si="4"/>
        <v>#DIV/0!</v>
      </c>
      <c r="V36" s="61">
        <f t="shared" si="5"/>
        <v>0</v>
      </c>
    </row>
    <row r="37" spans="1:22" ht="21.75" customHeight="1">
      <c r="A37" s="87">
        <v>10</v>
      </c>
      <c r="B37" s="7" t="s">
        <v>12</v>
      </c>
      <c r="C37" s="3"/>
      <c r="D37" s="3"/>
      <c r="E37" s="4">
        <f t="shared" si="1"/>
        <v>0</v>
      </c>
      <c r="F37" s="3"/>
      <c r="G37" s="3"/>
      <c r="H37" s="3"/>
      <c r="I37" s="3"/>
      <c r="J37" s="3"/>
      <c r="K37" s="3"/>
      <c r="L37" s="3"/>
      <c r="M37" s="5">
        <f t="shared" si="2"/>
        <v>0</v>
      </c>
      <c r="N37" s="28" t="e">
        <f t="shared" si="3"/>
        <v>#DIV/0!</v>
      </c>
      <c r="O37" s="7"/>
      <c r="P37" s="7"/>
      <c r="Q37" s="7"/>
      <c r="R37" s="7"/>
      <c r="S37" s="3"/>
      <c r="T37" s="37">
        <f t="shared" si="0"/>
        <v>0</v>
      </c>
      <c r="U37" s="28" t="e">
        <f t="shared" si="4"/>
        <v>#DIV/0!</v>
      </c>
      <c r="V37" s="61">
        <f t="shared" si="5"/>
        <v>0</v>
      </c>
    </row>
    <row r="38" spans="1:22" ht="21.75" customHeight="1">
      <c r="A38" s="87"/>
      <c r="B38" s="7" t="s">
        <v>13</v>
      </c>
      <c r="C38" s="3"/>
      <c r="D38" s="3"/>
      <c r="E38" s="4">
        <f t="shared" si="1"/>
        <v>0</v>
      </c>
      <c r="F38" s="3"/>
      <c r="G38" s="3"/>
      <c r="H38" s="3"/>
      <c r="I38" s="3"/>
      <c r="J38" s="3"/>
      <c r="K38" s="3"/>
      <c r="L38" s="3"/>
      <c r="M38" s="5">
        <f t="shared" si="2"/>
        <v>0</v>
      </c>
      <c r="N38" s="28" t="e">
        <f t="shared" si="3"/>
        <v>#DIV/0!</v>
      </c>
      <c r="O38" s="7"/>
      <c r="P38" s="7"/>
      <c r="Q38" s="7"/>
      <c r="R38" s="7"/>
      <c r="S38" s="3"/>
      <c r="T38" s="37">
        <f t="shared" si="0"/>
        <v>0</v>
      </c>
      <c r="U38" s="28" t="e">
        <f t="shared" si="4"/>
        <v>#DIV/0!</v>
      </c>
      <c r="V38" s="61">
        <f t="shared" si="5"/>
        <v>0</v>
      </c>
    </row>
    <row r="39" spans="1:22" ht="21.75" customHeight="1">
      <c r="A39" s="87"/>
      <c r="B39" s="7" t="s">
        <v>14</v>
      </c>
      <c r="C39" s="3"/>
      <c r="D39" s="3"/>
      <c r="E39" s="4">
        <f t="shared" si="1"/>
        <v>0</v>
      </c>
      <c r="F39" s="3"/>
      <c r="G39" s="3"/>
      <c r="H39" s="3"/>
      <c r="I39" s="3"/>
      <c r="J39" s="3"/>
      <c r="K39" s="3"/>
      <c r="L39" s="3"/>
      <c r="M39" s="5">
        <f t="shared" si="2"/>
        <v>0</v>
      </c>
      <c r="N39" s="28" t="e">
        <f t="shared" si="3"/>
        <v>#DIV/0!</v>
      </c>
      <c r="O39" s="7"/>
      <c r="P39" s="7"/>
      <c r="Q39" s="7"/>
      <c r="R39" s="7"/>
      <c r="S39" s="3"/>
      <c r="T39" s="37">
        <f t="shared" si="0"/>
        <v>0</v>
      </c>
      <c r="U39" s="28" t="e">
        <f t="shared" si="4"/>
        <v>#DIV/0!</v>
      </c>
      <c r="V39" s="61">
        <f t="shared" si="5"/>
        <v>0</v>
      </c>
    </row>
    <row r="40" spans="1:22" ht="21.75" customHeight="1">
      <c r="A40" s="87">
        <v>11</v>
      </c>
      <c r="B40" s="7" t="s">
        <v>12</v>
      </c>
      <c r="C40" s="3"/>
      <c r="D40" s="3"/>
      <c r="E40" s="4">
        <f t="shared" si="1"/>
        <v>0</v>
      </c>
      <c r="F40" s="3"/>
      <c r="G40" s="3"/>
      <c r="H40" s="3"/>
      <c r="I40" s="3"/>
      <c r="J40" s="3"/>
      <c r="K40" s="3"/>
      <c r="L40" s="3"/>
      <c r="M40" s="5">
        <f t="shared" si="2"/>
        <v>0</v>
      </c>
      <c r="N40" s="28" t="e">
        <f t="shared" si="3"/>
        <v>#DIV/0!</v>
      </c>
      <c r="O40" s="7"/>
      <c r="P40" s="7"/>
      <c r="Q40" s="7"/>
      <c r="R40" s="7"/>
      <c r="S40" s="3"/>
      <c r="T40" s="37">
        <f t="shared" si="0"/>
        <v>0</v>
      </c>
      <c r="U40" s="28" t="e">
        <f t="shared" si="4"/>
        <v>#DIV/0!</v>
      </c>
      <c r="V40" s="61">
        <f t="shared" si="5"/>
        <v>0</v>
      </c>
    </row>
    <row r="41" spans="1:22" ht="21.75" customHeight="1">
      <c r="A41" s="87"/>
      <c r="B41" s="7" t="s">
        <v>13</v>
      </c>
      <c r="C41" s="3"/>
      <c r="D41" s="3"/>
      <c r="E41" s="4">
        <f t="shared" si="1"/>
        <v>0</v>
      </c>
      <c r="F41" s="3"/>
      <c r="G41" s="3"/>
      <c r="H41" s="3"/>
      <c r="I41" s="3"/>
      <c r="J41" s="3"/>
      <c r="K41" s="3"/>
      <c r="L41" s="3"/>
      <c r="M41" s="5">
        <f t="shared" si="2"/>
        <v>0</v>
      </c>
      <c r="N41" s="28" t="e">
        <f t="shared" si="3"/>
        <v>#DIV/0!</v>
      </c>
      <c r="O41" s="7"/>
      <c r="P41" s="7"/>
      <c r="Q41" s="7"/>
      <c r="R41" s="7"/>
      <c r="S41" s="3"/>
      <c r="T41" s="37">
        <f t="shared" si="0"/>
        <v>0</v>
      </c>
      <c r="U41" s="28" t="e">
        <f t="shared" si="4"/>
        <v>#DIV/0!</v>
      </c>
      <c r="V41" s="61">
        <f t="shared" si="5"/>
        <v>0</v>
      </c>
    </row>
    <row r="42" spans="1:22" ht="21.75" customHeight="1">
      <c r="A42" s="87"/>
      <c r="B42" s="7" t="s">
        <v>14</v>
      </c>
      <c r="C42" s="3"/>
      <c r="D42" s="3"/>
      <c r="E42" s="4">
        <f t="shared" si="1"/>
        <v>0</v>
      </c>
      <c r="F42" s="3"/>
      <c r="G42" s="3"/>
      <c r="H42" s="3"/>
      <c r="I42" s="3"/>
      <c r="J42" s="3"/>
      <c r="K42" s="3"/>
      <c r="L42" s="3"/>
      <c r="M42" s="5">
        <f t="shared" si="2"/>
        <v>0</v>
      </c>
      <c r="N42" s="28" t="e">
        <f t="shared" si="3"/>
        <v>#DIV/0!</v>
      </c>
      <c r="O42" s="7"/>
      <c r="P42" s="7"/>
      <c r="Q42" s="7"/>
      <c r="R42" s="7"/>
      <c r="S42" s="3"/>
      <c r="T42" s="37">
        <f t="shared" si="0"/>
        <v>0</v>
      </c>
      <c r="U42" s="28" t="e">
        <f t="shared" si="4"/>
        <v>#DIV/0!</v>
      </c>
      <c r="V42" s="61">
        <f t="shared" si="5"/>
        <v>0</v>
      </c>
    </row>
    <row r="43" spans="1:22" ht="21.75" customHeight="1">
      <c r="A43" s="87">
        <v>12</v>
      </c>
      <c r="B43" s="7" t="s">
        <v>12</v>
      </c>
      <c r="C43" s="3"/>
      <c r="D43" s="3"/>
      <c r="E43" s="4">
        <f t="shared" si="1"/>
        <v>0</v>
      </c>
      <c r="F43" s="3"/>
      <c r="G43" s="3"/>
      <c r="H43" s="3"/>
      <c r="I43" s="3"/>
      <c r="J43" s="3"/>
      <c r="K43" s="3"/>
      <c r="L43" s="3"/>
      <c r="M43" s="5">
        <f t="shared" si="2"/>
        <v>0</v>
      </c>
      <c r="N43" s="28" t="e">
        <f t="shared" si="3"/>
        <v>#DIV/0!</v>
      </c>
      <c r="O43" s="7"/>
      <c r="P43" s="7"/>
      <c r="Q43" s="7"/>
      <c r="R43" s="7"/>
      <c r="S43" s="3"/>
      <c r="T43" s="37">
        <f t="shared" si="0"/>
        <v>0</v>
      </c>
      <c r="U43" s="28" t="e">
        <f t="shared" si="4"/>
        <v>#DIV/0!</v>
      </c>
      <c r="V43" s="61">
        <f t="shared" si="5"/>
        <v>0</v>
      </c>
    </row>
    <row r="44" spans="1:22" ht="21.75" customHeight="1">
      <c r="A44" s="87"/>
      <c r="B44" s="7" t="s">
        <v>13</v>
      </c>
      <c r="C44" s="3"/>
      <c r="D44" s="3"/>
      <c r="E44" s="4">
        <f t="shared" si="1"/>
        <v>0</v>
      </c>
      <c r="F44" s="3"/>
      <c r="G44" s="3"/>
      <c r="H44" s="3"/>
      <c r="I44" s="3"/>
      <c r="J44" s="3"/>
      <c r="K44" s="3"/>
      <c r="L44" s="3"/>
      <c r="M44" s="5">
        <f t="shared" si="2"/>
        <v>0</v>
      </c>
      <c r="N44" s="28" t="e">
        <f t="shared" si="3"/>
        <v>#DIV/0!</v>
      </c>
      <c r="O44" s="7"/>
      <c r="P44" s="7"/>
      <c r="Q44" s="7"/>
      <c r="R44" s="7"/>
      <c r="S44" s="3"/>
      <c r="T44" s="37">
        <f t="shared" si="0"/>
        <v>0</v>
      </c>
      <c r="U44" s="28" t="e">
        <f t="shared" si="4"/>
        <v>#DIV/0!</v>
      </c>
      <c r="V44" s="61">
        <f t="shared" si="5"/>
        <v>0</v>
      </c>
    </row>
    <row r="45" spans="1:22" ht="21.75" customHeight="1">
      <c r="A45" s="87"/>
      <c r="B45" s="7" t="s">
        <v>14</v>
      </c>
      <c r="C45" s="3"/>
      <c r="D45" s="3"/>
      <c r="E45" s="4">
        <f t="shared" si="1"/>
        <v>0</v>
      </c>
      <c r="F45" s="3"/>
      <c r="G45" s="3"/>
      <c r="H45" s="3"/>
      <c r="I45" s="3"/>
      <c r="J45" s="3"/>
      <c r="K45" s="3"/>
      <c r="L45" s="3"/>
      <c r="M45" s="5">
        <f t="shared" si="2"/>
        <v>0</v>
      </c>
      <c r="N45" s="28" t="e">
        <f t="shared" si="3"/>
        <v>#DIV/0!</v>
      </c>
      <c r="O45" s="7"/>
      <c r="P45" s="7"/>
      <c r="Q45" s="7"/>
      <c r="R45" s="7"/>
      <c r="S45" s="3"/>
      <c r="T45" s="37">
        <f t="shared" si="0"/>
        <v>0</v>
      </c>
      <c r="U45" s="28" t="e">
        <f t="shared" si="4"/>
        <v>#DIV/0!</v>
      </c>
      <c r="V45" s="61">
        <f t="shared" si="5"/>
        <v>0</v>
      </c>
    </row>
    <row r="46" spans="1:22" ht="21.75" customHeight="1">
      <c r="A46" s="87">
        <v>13</v>
      </c>
      <c r="B46" s="7" t="s">
        <v>12</v>
      </c>
      <c r="C46" s="3"/>
      <c r="D46" s="3"/>
      <c r="E46" s="4">
        <f t="shared" si="1"/>
        <v>0</v>
      </c>
      <c r="F46" s="3"/>
      <c r="G46" s="3"/>
      <c r="H46" s="3"/>
      <c r="I46" s="3"/>
      <c r="J46" s="3"/>
      <c r="K46" s="3"/>
      <c r="L46" s="3"/>
      <c r="M46" s="5">
        <f t="shared" si="2"/>
        <v>0</v>
      </c>
      <c r="N46" s="28" t="e">
        <f t="shared" si="3"/>
        <v>#DIV/0!</v>
      </c>
      <c r="O46" s="7"/>
      <c r="P46" s="7"/>
      <c r="Q46" s="7"/>
      <c r="R46" s="7"/>
      <c r="S46" s="3"/>
      <c r="T46" s="37">
        <f t="shared" si="0"/>
        <v>0</v>
      </c>
      <c r="U46" s="28" t="e">
        <f t="shared" si="4"/>
        <v>#DIV/0!</v>
      </c>
      <c r="V46" s="61">
        <f t="shared" si="5"/>
        <v>0</v>
      </c>
    </row>
    <row r="47" spans="1:22" ht="21.75" customHeight="1">
      <c r="A47" s="87"/>
      <c r="B47" s="7" t="s">
        <v>13</v>
      </c>
      <c r="C47" s="3"/>
      <c r="D47" s="3"/>
      <c r="E47" s="4">
        <f t="shared" si="1"/>
        <v>0</v>
      </c>
      <c r="F47" s="3"/>
      <c r="G47" s="3"/>
      <c r="H47" s="3"/>
      <c r="I47" s="3"/>
      <c r="J47" s="3"/>
      <c r="K47" s="3"/>
      <c r="L47" s="3"/>
      <c r="M47" s="5">
        <f t="shared" si="2"/>
        <v>0</v>
      </c>
      <c r="N47" s="28" t="e">
        <f t="shared" si="3"/>
        <v>#DIV/0!</v>
      </c>
      <c r="O47" s="7"/>
      <c r="P47" s="7"/>
      <c r="Q47" s="7"/>
      <c r="R47" s="7"/>
      <c r="S47" s="3"/>
      <c r="T47" s="37">
        <f t="shared" si="0"/>
        <v>0</v>
      </c>
      <c r="U47" s="28" t="e">
        <f t="shared" si="4"/>
        <v>#DIV/0!</v>
      </c>
      <c r="V47" s="61">
        <f t="shared" si="5"/>
        <v>0</v>
      </c>
    </row>
    <row r="48" spans="1:22" ht="21.75" customHeight="1">
      <c r="A48" s="87"/>
      <c r="B48" s="7" t="s">
        <v>14</v>
      </c>
      <c r="C48" s="3"/>
      <c r="D48" s="3"/>
      <c r="E48" s="4">
        <f t="shared" si="1"/>
        <v>0</v>
      </c>
      <c r="F48" s="3"/>
      <c r="G48" s="3"/>
      <c r="H48" s="3"/>
      <c r="I48" s="3"/>
      <c r="J48" s="3"/>
      <c r="K48" s="3"/>
      <c r="L48" s="3"/>
      <c r="M48" s="5">
        <f t="shared" si="2"/>
        <v>0</v>
      </c>
      <c r="N48" s="28" t="e">
        <f t="shared" si="3"/>
        <v>#DIV/0!</v>
      </c>
      <c r="O48" s="7"/>
      <c r="P48" s="7"/>
      <c r="Q48" s="7"/>
      <c r="R48" s="7"/>
      <c r="S48" s="3"/>
      <c r="T48" s="37">
        <f t="shared" si="0"/>
        <v>0</v>
      </c>
      <c r="U48" s="28" t="e">
        <f t="shared" si="4"/>
        <v>#DIV/0!</v>
      </c>
      <c r="V48" s="61">
        <f t="shared" si="5"/>
        <v>0</v>
      </c>
    </row>
    <row r="49" spans="1:22" ht="21.75" customHeight="1">
      <c r="A49" s="87">
        <v>14</v>
      </c>
      <c r="B49" s="7" t="s">
        <v>12</v>
      </c>
      <c r="C49" s="3"/>
      <c r="D49" s="3"/>
      <c r="E49" s="4">
        <f t="shared" si="1"/>
        <v>0</v>
      </c>
      <c r="F49" s="3"/>
      <c r="G49" s="3"/>
      <c r="H49" s="3"/>
      <c r="I49" s="3"/>
      <c r="J49" s="3"/>
      <c r="K49" s="3"/>
      <c r="L49" s="3"/>
      <c r="M49" s="5">
        <f t="shared" si="2"/>
        <v>0</v>
      </c>
      <c r="N49" s="28" t="e">
        <f t="shared" si="3"/>
        <v>#DIV/0!</v>
      </c>
      <c r="O49" s="7"/>
      <c r="P49" s="7"/>
      <c r="Q49" s="7"/>
      <c r="R49" s="7"/>
      <c r="S49" s="3"/>
      <c r="T49" s="37">
        <f t="shared" si="0"/>
        <v>0</v>
      </c>
      <c r="U49" s="28" t="e">
        <f t="shared" si="4"/>
        <v>#DIV/0!</v>
      </c>
      <c r="V49" s="61">
        <f t="shared" si="5"/>
        <v>0</v>
      </c>
    </row>
    <row r="50" spans="1:22" ht="21.75" customHeight="1">
      <c r="A50" s="87"/>
      <c r="B50" s="7" t="s">
        <v>13</v>
      </c>
      <c r="C50" s="3"/>
      <c r="D50" s="3"/>
      <c r="E50" s="4">
        <f t="shared" si="1"/>
        <v>0</v>
      </c>
      <c r="F50" s="3"/>
      <c r="G50" s="3"/>
      <c r="H50" s="3"/>
      <c r="I50" s="3"/>
      <c r="J50" s="3"/>
      <c r="K50" s="3"/>
      <c r="L50" s="3"/>
      <c r="M50" s="5">
        <f t="shared" si="2"/>
        <v>0</v>
      </c>
      <c r="N50" s="28" t="e">
        <f t="shared" si="3"/>
        <v>#DIV/0!</v>
      </c>
      <c r="O50" s="7"/>
      <c r="P50" s="7"/>
      <c r="Q50" s="7"/>
      <c r="R50" s="7"/>
      <c r="S50" s="3"/>
      <c r="T50" s="37">
        <f t="shared" si="0"/>
        <v>0</v>
      </c>
      <c r="U50" s="28" t="e">
        <f t="shared" si="4"/>
        <v>#DIV/0!</v>
      </c>
      <c r="V50" s="61">
        <f t="shared" si="5"/>
        <v>0</v>
      </c>
    </row>
    <row r="51" spans="1:22" ht="21.75" customHeight="1">
      <c r="A51" s="87"/>
      <c r="B51" s="7" t="s">
        <v>14</v>
      </c>
      <c r="C51" s="3"/>
      <c r="D51" s="3"/>
      <c r="E51" s="4">
        <f t="shared" si="1"/>
        <v>0</v>
      </c>
      <c r="F51" s="3"/>
      <c r="G51" s="3"/>
      <c r="H51" s="3"/>
      <c r="I51" s="3"/>
      <c r="J51" s="3"/>
      <c r="K51" s="3"/>
      <c r="L51" s="3"/>
      <c r="M51" s="5">
        <f t="shared" si="2"/>
        <v>0</v>
      </c>
      <c r="N51" s="28" t="e">
        <f t="shared" si="3"/>
        <v>#DIV/0!</v>
      </c>
      <c r="O51" s="7"/>
      <c r="P51" s="7"/>
      <c r="Q51" s="7"/>
      <c r="R51" s="7"/>
      <c r="S51" s="3"/>
      <c r="T51" s="37">
        <f t="shared" si="0"/>
        <v>0</v>
      </c>
      <c r="U51" s="28" t="e">
        <f t="shared" si="4"/>
        <v>#DIV/0!</v>
      </c>
      <c r="V51" s="61">
        <f t="shared" si="5"/>
        <v>0</v>
      </c>
    </row>
    <row r="52" spans="1:22" ht="21.75" customHeight="1">
      <c r="A52" s="87">
        <v>15</v>
      </c>
      <c r="B52" s="7" t="s">
        <v>12</v>
      </c>
      <c r="C52" s="3"/>
      <c r="D52" s="3"/>
      <c r="E52" s="4">
        <f t="shared" si="1"/>
        <v>0</v>
      </c>
      <c r="F52" s="3"/>
      <c r="G52" s="3"/>
      <c r="H52" s="3"/>
      <c r="I52" s="3"/>
      <c r="J52" s="3"/>
      <c r="K52" s="3"/>
      <c r="L52" s="3"/>
      <c r="M52" s="5">
        <f t="shared" si="2"/>
        <v>0</v>
      </c>
      <c r="N52" s="28" t="e">
        <f t="shared" si="3"/>
        <v>#DIV/0!</v>
      </c>
      <c r="O52" s="7"/>
      <c r="P52" s="7"/>
      <c r="Q52" s="7"/>
      <c r="R52" s="7"/>
      <c r="S52" s="3"/>
      <c r="T52" s="37">
        <f t="shared" si="0"/>
        <v>0</v>
      </c>
      <c r="U52" s="28" t="e">
        <f t="shared" si="4"/>
        <v>#DIV/0!</v>
      </c>
      <c r="V52" s="61">
        <f t="shared" si="5"/>
        <v>0</v>
      </c>
    </row>
    <row r="53" spans="1:22" ht="21.75" customHeight="1">
      <c r="A53" s="87"/>
      <c r="B53" s="7" t="s">
        <v>13</v>
      </c>
      <c r="C53" s="3"/>
      <c r="D53" s="3"/>
      <c r="E53" s="4">
        <f t="shared" si="1"/>
        <v>0</v>
      </c>
      <c r="F53" s="3"/>
      <c r="G53" s="3"/>
      <c r="H53" s="3"/>
      <c r="I53" s="3"/>
      <c r="J53" s="3"/>
      <c r="K53" s="3"/>
      <c r="L53" s="3"/>
      <c r="M53" s="5">
        <f t="shared" si="2"/>
        <v>0</v>
      </c>
      <c r="N53" s="28" t="e">
        <f t="shared" si="3"/>
        <v>#DIV/0!</v>
      </c>
      <c r="O53" s="7"/>
      <c r="P53" s="7"/>
      <c r="Q53" s="7"/>
      <c r="R53" s="7"/>
      <c r="S53" s="3"/>
      <c r="T53" s="37">
        <f t="shared" si="0"/>
        <v>0</v>
      </c>
      <c r="U53" s="28" t="e">
        <f t="shared" si="4"/>
        <v>#DIV/0!</v>
      </c>
      <c r="V53" s="61">
        <f t="shared" si="5"/>
        <v>0</v>
      </c>
    </row>
    <row r="54" spans="1:22" ht="21.75" customHeight="1">
      <c r="A54" s="87"/>
      <c r="B54" s="7" t="s">
        <v>14</v>
      </c>
      <c r="C54" s="3"/>
      <c r="D54" s="3"/>
      <c r="E54" s="4">
        <f t="shared" si="1"/>
        <v>0</v>
      </c>
      <c r="F54" s="3"/>
      <c r="G54" s="3"/>
      <c r="H54" s="3"/>
      <c r="I54" s="3"/>
      <c r="J54" s="3"/>
      <c r="K54" s="3"/>
      <c r="L54" s="3"/>
      <c r="M54" s="5">
        <f t="shared" si="2"/>
        <v>0</v>
      </c>
      <c r="N54" s="28" t="e">
        <f t="shared" si="3"/>
        <v>#DIV/0!</v>
      </c>
      <c r="O54" s="7"/>
      <c r="P54" s="7"/>
      <c r="Q54" s="7"/>
      <c r="R54" s="7"/>
      <c r="S54" s="3"/>
      <c r="T54" s="37">
        <f t="shared" si="0"/>
        <v>0</v>
      </c>
      <c r="U54" s="28" t="e">
        <f t="shared" si="4"/>
        <v>#DIV/0!</v>
      </c>
      <c r="V54" s="61">
        <f t="shared" si="5"/>
        <v>0</v>
      </c>
    </row>
    <row r="55" spans="1:22" ht="21.75" customHeight="1">
      <c r="A55" s="87">
        <v>16</v>
      </c>
      <c r="B55" s="7" t="s">
        <v>12</v>
      </c>
      <c r="C55" s="3"/>
      <c r="D55" s="3"/>
      <c r="E55" s="4">
        <f t="shared" si="1"/>
        <v>0</v>
      </c>
      <c r="F55" s="3"/>
      <c r="G55" s="3"/>
      <c r="H55" s="3"/>
      <c r="I55" s="3"/>
      <c r="J55" s="3"/>
      <c r="K55" s="3"/>
      <c r="L55" s="3"/>
      <c r="M55" s="5">
        <f t="shared" si="2"/>
        <v>0</v>
      </c>
      <c r="N55" s="28" t="e">
        <f t="shared" si="3"/>
        <v>#DIV/0!</v>
      </c>
      <c r="O55" s="7"/>
      <c r="P55" s="7"/>
      <c r="Q55" s="7"/>
      <c r="R55" s="7"/>
      <c r="S55" s="3"/>
      <c r="T55" s="37">
        <f t="shared" si="0"/>
        <v>0</v>
      </c>
      <c r="U55" s="28" t="e">
        <f t="shared" si="4"/>
        <v>#DIV/0!</v>
      </c>
      <c r="V55" s="61">
        <f t="shared" si="5"/>
        <v>0</v>
      </c>
    </row>
    <row r="56" spans="1:22" ht="21.75" customHeight="1">
      <c r="A56" s="87"/>
      <c r="B56" s="7" t="s">
        <v>13</v>
      </c>
      <c r="C56" s="3"/>
      <c r="D56" s="3"/>
      <c r="E56" s="4">
        <f t="shared" si="1"/>
        <v>0</v>
      </c>
      <c r="F56" s="3"/>
      <c r="G56" s="3"/>
      <c r="H56" s="3"/>
      <c r="I56" s="3"/>
      <c r="J56" s="3"/>
      <c r="K56" s="3"/>
      <c r="L56" s="3"/>
      <c r="M56" s="5">
        <f t="shared" si="2"/>
        <v>0</v>
      </c>
      <c r="N56" s="28" t="e">
        <f t="shared" si="3"/>
        <v>#DIV/0!</v>
      </c>
      <c r="O56" s="7"/>
      <c r="P56" s="7"/>
      <c r="Q56" s="7"/>
      <c r="R56" s="7"/>
      <c r="S56" s="3"/>
      <c r="T56" s="37">
        <f t="shared" si="0"/>
        <v>0</v>
      </c>
      <c r="U56" s="28" t="e">
        <f t="shared" si="4"/>
        <v>#DIV/0!</v>
      </c>
      <c r="V56" s="61">
        <f t="shared" si="5"/>
        <v>0</v>
      </c>
    </row>
    <row r="57" spans="1:22" ht="21.75" customHeight="1">
      <c r="A57" s="87"/>
      <c r="B57" s="7" t="s">
        <v>14</v>
      </c>
      <c r="C57" s="3"/>
      <c r="D57" s="3"/>
      <c r="E57" s="4">
        <f t="shared" si="1"/>
        <v>0</v>
      </c>
      <c r="F57" s="3"/>
      <c r="G57" s="3"/>
      <c r="H57" s="3"/>
      <c r="I57" s="3"/>
      <c r="J57" s="3"/>
      <c r="K57" s="3"/>
      <c r="L57" s="3"/>
      <c r="M57" s="5">
        <f t="shared" si="2"/>
        <v>0</v>
      </c>
      <c r="N57" s="28" t="e">
        <f t="shared" si="3"/>
        <v>#DIV/0!</v>
      </c>
      <c r="O57" s="7"/>
      <c r="P57" s="7"/>
      <c r="Q57" s="7"/>
      <c r="R57" s="7"/>
      <c r="S57" s="3"/>
      <c r="T57" s="37">
        <f t="shared" si="0"/>
        <v>0</v>
      </c>
      <c r="U57" s="28" t="e">
        <f t="shared" si="4"/>
        <v>#DIV/0!</v>
      </c>
      <c r="V57" s="61">
        <f t="shared" si="5"/>
        <v>0</v>
      </c>
    </row>
    <row r="58" spans="1:22" ht="21.75" customHeight="1">
      <c r="A58" s="87">
        <v>17</v>
      </c>
      <c r="B58" s="7" t="s">
        <v>12</v>
      </c>
      <c r="C58" s="3"/>
      <c r="D58" s="3"/>
      <c r="E58" s="4">
        <f t="shared" si="1"/>
        <v>0</v>
      </c>
      <c r="F58" s="3"/>
      <c r="G58" s="3"/>
      <c r="H58" s="3"/>
      <c r="I58" s="3"/>
      <c r="J58" s="3"/>
      <c r="K58" s="3"/>
      <c r="L58" s="3"/>
      <c r="M58" s="5">
        <f t="shared" si="2"/>
        <v>0</v>
      </c>
      <c r="N58" s="28" t="e">
        <f t="shared" si="3"/>
        <v>#DIV/0!</v>
      </c>
      <c r="O58" s="7"/>
      <c r="P58" s="7"/>
      <c r="Q58" s="7"/>
      <c r="R58" s="7"/>
      <c r="S58" s="3"/>
      <c r="T58" s="37">
        <f t="shared" si="0"/>
        <v>0</v>
      </c>
      <c r="U58" s="28" t="e">
        <f t="shared" si="4"/>
        <v>#DIV/0!</v>
      </c>
      <c r="V58" s="61">
        <f t="shared" si="5"/>
        <v>0</v>
      </c>
    </row>
    <row r="59" spans="1:22" ht="21.75" customHeight="1">
      <c r="A59" s="87"/>
      <c r="B59" s="7" t="s">
        <v>13</v>
      </c>
      <c r="C59" s="3"/>
      <c r="D59" s="3"/>
      <c r="E59" s="4">
        <f t="shared" si="1"/>
        <v>0</v>
      </c>
      <c r="F59" s="3"/>
      <c r="G59" s="3"/>
      <c r="H59" s="3"/>
      <c r="I59" s="3"/>
      <c r="J59" s="3"/>
      <c r="K59" s="3"/>
      <c r="L59" s="3"/>
      <c r="M59" s="5">
        <f t="shared" si="2"/>
        <v>0</v>
      </c>
      <c r="N59" s="28" t="e">
        <f t="shared" si="3"/>
        <v>#DIV/0!</v>
      </c>
      <c r="O59" s="7"/>
      <c r="P59" s="7"/>
      <c r="Q59" s="7"/>
      <c r="R59" s="7"/>
      <c r="S59" s="3"/>
      <c r="T59" s="37">
        <f t="shared" si="0"/>
        <v>0</v>
      </c>
      <c r="U59" s="28" t="e">
        <f t="shared" si="4"/>
        <v>#DIV/0!</v>
      </c>
      <c r="V59" s="61">
        <f t="shared" si="5"/>
        <v>0</v>
      </c>
    </row>
    <row r="60" spans="1:22" ht="21.75" customHeight="1">
      <c r="A60" s="87"/>
      <c r="B60" s="7" t="s">
        <v>14</v>
      </c>
      <c r="C60" s="3"/>
      <c r="D60" s="3"/>
      <c r="E60" s="4">
        <f t="shared" si="1"/>
        <v>0</v>
      </c>
      <c r="F60" s="3"/>
      <c r="G60" s="3"/>
      <c r="H60" s="3"/>
      <c r="I60" s="3"/>
      <c r="J60" s="3"/>
      <c r="K60" s="3"/>
      <c r="L60" s="3"/>
      <c r="M60" s="5">
        <f t="shared" si="2"/>
        <v>0</v>
      </c>
      <c r="N60" s="28" t="e">
        <f t="shared" si="3"/>
        <v>#DIV/0!</v>
      </c>
      <c r="O60" s="7"/>
      <c r="P60" s="7"/>
      <c r="Q60" s="7"/>
      <c r="R60" s="7"/>
      <c r="S60" s="3"/>
      <c r="T60" s="37">
        <f t="shared" si="0"/>
        <v>0</v>
      </c>
      <c r="U60" s="28" t="e">
        <f t="shared" si="4"/>
        <v>#DIV/0!</v>
      </c>
      <c r="V60" s="61">
        <f t="shared" si="5"/>
        <v>0</v>
      </c>
    </row>
    <row r="61" spans="1:22" ht="21.75" customHeight="1">
      <c r="A61" s="87">
        <v>18</v>
      </c>
      <c r="B61" s="7" t="s">
        <v>12</v>
      </c>
      <c r="C61" s="3"/>
      <c r="D61" s="3"/>
      <c r="E61" s="4">
        <f t="shared" si="1"/>
        <v>0</v>
      </c>
      <c r="F61" s="3"/>
      <c r="G61" s="3"/>
      <c r="H61" s="3"/>
      <c r="I61" s="3"/>
      <c r="J61" s="3"/>
      <c r="K61" s="3"/>
      <c r="L61" s="3"/>
      <c r="M61" s="5">
        <f t="shared" si="2"/>
        <v>0</v>
      </c>
      <c r="N61" s="28" t="e">
        <f t="shared" si="3"/>
        <v>#DIV/0!</v>
      </c>
      <c r="O61" s="7"/>
      <c r="P61" s="7"/>
      <c r="Q61" s="7"/>
      <c r="R61" s="7"/>
      <c r="S61" s="3"/>
      <c r="T61" s="37">
        <f t="shared" si="0"/>
        <v>0</v>
      </c>
      <c r="U61" s="28" t="e">
        <f t="shared" si="4"/>
        <v>#DIV/0!</v>
      </c>
      <c r="V61" s="61">
        <f t="shared" si="5"/>
        <v>0</v>
      </c>
    </row>
    <row r="62" spans="1:22" ht="21.75" customHeight="1">
      <c r="A62" s="87"/>
      <c r="B62" s="7" t="s">
        <v>13</v>
      </c>
      <c r="C62" s="3"/>
      <c r="D62" s="3"/>
      <c r="E62" s="4">
        <f t="shared" si="1"/>
        <v>0</v>
      </c>
      <c r="F62" s="3"/>
      <c r="G62" s="3"/>
      <c r="H62" s="3"/>
      <c r="I62" s="3"/>
      <c r="J62" s="3"/>
      <c r="K62" s="3"/>
      <c r="L62" s="3"/>
      <c r="M62" s="5">
        <f t="shared" si="2"/>
        <v>0</v>
      </c>
      <c r="N62" s="28" t="e">
        <f t="shared" si="3"/>
        <v>#DIV/0!</v>
      </c>
      <c r="O62" s="7"/>
      <c r="P62" s="7"/>
      <c r="Q62" s="7"/>
      <c r="R62" s="7"/>
      <c r="S62" s="3"/>
      <c r="T62" s="37">
        <f t="shared" si="0"/>
        <v>0</v>
      </c>
      <c r="U62" s="28" t="e">
        <f t="shared" si="4"/>
        <v>#DIV/0!</v>
      </c>
      <c r="V62" s="61">
        <f t="shared" si="5"/>
        <v>0</v>
      </c>
    </row>
    <row r="63" spans="1:22" ht="21.75" customHeight="1">
      <c r="A63" s="87"/>
      <c r="B63" s="7" t="s">
        <v>14</v>
      </c>
      <c r="C63" s="3"/>
      <c r="D63" s="3"/>
      <c r="E63" s="4">
        <f t="shared" si="1"/>
        <v>0</v>
      </c>
      <c r="F63" s="3"/>
      <c r="G63" s="3"/>
      <c r="H63" s="3"/>
      <c r="I63" s="3"/>
      <c r="J63" s="3"/>
      <c r="K63" s="3"/>
      <c r="L63" s="3"/>
      <c r="M63" s="5">
        <f t="shared" si="2"/>
        <v>0</v>
      </c>
      <c r="N63" s="28" t="e">
        <f t="shared" si="3"/>
        <v>#DIV/0!</v>
      </c>
      <c r="O63" s="7"/>
      <c r="P63" s="7"/>
      <c r="Q63" s="7"/>
      <c r="R63" s="7"/>
      <c r="S63" s="3"/>
      <c r="T63" s="37">
        <f t="shared" si="0"/>
        <v>0</v>
      </c>
      <c r="U63" s="28" t="e">
        <f t="shared" si="4"/>
        <v>#DIV/0!</v>
      </c>
      <c r="V63" s="61">
        <f t="shared" si="5"/>
        <v>0</v>
      </c>
    </row>
    <row r="64" spans="1:22" ht="21.75" customHeight="1">
      <c r="A64" s="87">
        <v>19</v>
      </c>
      <c r="B64" s="7" t="s">
        <v>12</v>
      </c>
      <c r="C64" s="3"/>
      <c r="D64" s="3"/>
      <c r="E64" s="4">
        <f t="shared" si="1"/>
        <v>0</v>
      </c>
      <c r="F64" s="3"/>
      <c r="G64" s="3"/>
      <c r="H64" s="3"/>
      <c r="I64" s="3"/>
      <c r="J64" s="3"/>
      <c r="K64" s="3"/>
      <c r="L64" s="3"/>
      <c r="M64" s="5">
        <f t="shared" si="2"/>
        <v>0</v>
      </c>
      <c r="N64" s="28" t="e">
        <f t="shared" si="3"/>
        <v>#DIV/0!</v>
      </c>
      <c r="O64" s="7"/>
      <c r="P64" s="7"/>
      <c r="Q64" s="7"/>
      <c r="R64" s="7"/>
      <c r="S64" s="3"/>
      <c r="T64" s="37">
        <f t="shared" si="0"/>
        <v>0</v>
      </c>
      <c r="U64" s="28" t="e">
        <f t="shared" si="4"/>
        <v>#DIV/0!</v>
      </c>
      <c r="V64" s="61">
        <f t="shared" si="5"/>
        <v>0</v>
      </c>
    </row>
    <row r="65" spans="1:22" ht="21.75" customHeight="1">
      <c r="A65" s="87"/>
      <c r="B65" s="7" t="s">
        <v>13</v>
      </c>
      <c r="C65" s="3"/>
      <c r="D65" s="3"/>
      <c r="E65" s="4">
        <f t="shared" si="1"/>
        <v>0</v>
      </c>
      <c r="F65" s="3"/>
      <c r="G65" s="3"/>
      <c r="H65" s="3"/>
      <c r="I65" s="3"/>
      <c r="J65" s="3"/>
      <c r="K65" s="3"/>
      <c r="L65" s="3"/>
      <c r="M65" s="5">
        <f t="shared" si="2"/>
        <v>0</v>
      </c>
      <c r="N65" s="28" t="e">
        <f t="shared" si="3"/>
        <v>#DIV/0!</v>
      </c>
      <c r="O65" s="7"/>
      <c r="P65" s="7"/>
      <c r="Q65" s="7"/>
      <c r="R65" s="7"/>
      <c r="S65" s="3"/>
      <c r="T65" s="37">
        <f t="shared" si="0"/>
        <v>0</v>
      </c>
      <c r="U65" s="28" t="e">
        <f t="shared" si="4"/>
        <v>#DIV/0!</v>
      </c>
      <c r="V65" s="61">
        <f t="shared" si="5"/>
        <v>0</v>
      </c>
    </row>
    <row r="66" spans="1:22" ht="21.75" customHeight="1">
      <c r="A66" s="87"/>
      <c r="B66" s="7" t="s">
        <v>14</v>
      </c>
      <c r="C66" s="3"/>
      <c r="D66" s="3"/>
      <c r="E66" s="4">
        <f t="shared" si="1"/>
        <v>0</v>
      </c>
      <c r="F66" s="3"/>
      <c r="G66" s="3"/>
      <c r="H66" s="3"/>
      <c r="I66" s="3"/>
      <c r="J66" s="3"/>
      <c r="K66" s="3"/>
      <c r="L66" s="3"/>
      <c r="M66" s="5">
        <f t="shared" si="2"/>
        <v>0</v>
      </c>
      <c r="N66" s="28" t="e">
        <f t="shared" si="3"/>
        <v>#DIV/0!</v>
      </c>
      <c r="O66" s="7"/>
      <c r="P66" s="7"/>
      <c r="Q66" s="7"/>
      <c r="R66" s="7"/>
      <c r="S66" s="3"/>
      <c r="T66" s="37">
        <f t="shared" si="0"/>
        <v>0</v>
      </c>
      <c r="U66" s="28" t="e">
        <f t="shared" si="4"/>
        <v>#DIV/0!</v>
      </c>
      <c r="V66" s="61">
        <f t="shared" si="5"/>
        <v>0</v>
      </c>
    </row>
    <row r="67" spans="1:22" ht="21.75" customHeight="1">
      <c r="A67" s="87">
        <v>20</v>
      </c>
      <c r="B67" s="7" t="s">
        <v>12</v>
      </c>
      <c r="C67" s="3"/>
      <c r="D67" s="3"/>
      <c r="E67" s="4">
        <f t="shared" si="1"/>
        <v>0</v>
      </c>
      <c r="F67" s="3"/>
      <c r="G67" s="3"/>
      <c r="H67" s="3"/>
      <c r="I67" s="3"/>
      <c r="J67" s="3"/>
      <c r="K67" s="3"/>
      <c r="L67" s="3"/>
      <c r="M67" s="5">
        <f t="shared" si="2"/>
        <v>0</v>
      </c>
      <c r="N67" s="28" t="e">
        <f t="shared" si="3"/>
        <v>#DIV/0!</v>
      </c>
      <c r="O67" s="7"/>
      <c r="P67" s="7"/>
      <c r="Q67" s="7"/>
      <c r="R67" s="7"/>
      <c r="S67" s="3"/>
      <c r="T67" s="37">
        <f t="shared" si="0"/>
        <v>0</v>
      </c>
      <c r="U67" s="28" t="e">
        <f t="shared" si="4"/>
        <v>#DIV/0!</v>
      </c>
      <c r="V67" s="61">
        <f t="shared" si="5"/>
        <v>0</v>
      </c>
    </row>
    <row r="68" spans="1:22" ht="21.75" customHeight="1">
      <c r="A68" s="87"/>
      <c r="B68" s="7" t="s">
        <v>13</v>
      </c>
      <c r="C68" s="3"/>
      <c r="D68" s="3"/>
      <c r="E68" s="4">
        <f t="shared" si="1"/>
        <v>0</v>
      </c>
      <c r="F68" s="3"/>
      <c r="G68" s="3"/>
      <c r="H68" s="3"/>
      <c r="I68" s="3"/>
      <c r="J68" s="3"/>
      <c r="K68" s="3"/>
      <c r="L68" s="3"/>
      <c r="M68" s="5">
        <f t="shared" si="2"/>
        <v>0</v>
      </c>
      <c r="N68" s="28" t="e">
        <f t="shared" si="3"/>
        <v>#DIV/0!</v>
      </c>
      <c r="O68" s="7"/>
      <c r="P68" s="7"/>
      <c r="Q68" s="7"/>
      <c r="R68" s="7"/>
      <c r="S68" s="3"/>
      <c r="T68" s="37">
        <f t="shared" si="0"/>
        <v>0</v>
      </c>
      <c r="U68" s="28" t="e">
        <f t="shared" si="4"/>
        <v>#DIV/0!</v>
      </c>
      <c r="V68" s="61">
        <f t="shared" si="5"/>
        <v>0</v>
      </c>
    </row>
    <row r="69" spans="1:22" ht="21.75" customHeight="1">
      <c r="A69" s="87"/>
      <c r="B69" s="7" t="s">
        <v>14</v>
      </c>
      <c r="C69" s="3"/>
      <c r="D69" s="3"/>
      <c r="E69" s="4">
        <f t="shared" si="1"/>
        <v>0</v>
      </c>
      <c r="F69" s="3"/>
      <c r="G69" s="3"/>
      <c r="H69" s="3"/>
      <c r="I69" s="3"/>
      <c r="J69" s="3"/>
      <c r="K69" s="3"/>
      <c r="L69" s="3"/>
      <c r="M69" s="5">
        <f t="shared" si="2"/>
        <v>0</v>
      </c>
      <c r="N69" s="28" t="e">
        <f t="shared" si="3"/>
        <v>#DIV/0!</v>
      </c>
      <c r="O69" s="7"/>
      <c r="P69" s="7"/>
      <c r="Q69" s="7"/>
      <c r="R69" s="7"/>
      <c r="S69" s="3"/>
      <c r="T69" s="37">
        <f t="shared" si="0"/>
        <v>0</v>
      </c>
      <c r="U69" s="28" t="e">
        <f t="shared" si="4"/>
        <v>#DIV/0!</v>
      </c>
      <c r="V69" s="61">
        <f t="shared" si="5"/>
        <v>0</v>
      </c>
    </row>
    <row r="70" spans="1:22" ht="21.75" customHeight="1">
      <c r="A70" s="87">
        <v>21</v>
      </c>
      <c r="B70" s="7" t="s">
        <v>12</v>
      </c>
      <c r="C70" s="3"/>
      <c r="D70" s="3"/>
      <c r="E70" s="4">
        <f t="shared" si="1"/>
        <v>0</v>
      </c>
      <c r="F70" s="3"/>
      <c r="G70" s="3"/>
      <c r="H70" s="3"/>
      <c r="I70" s="3"/>
      <c r="J70" s="3"/>
      <c r="K70" s="3"/>
      <c r="L70" s="3"/>
      <c r="M70" s="5">
        <f t="shared" si="2"/>
        <v>0</v>
      </c>
      <c r="N70" s="28" t="e">
        <f t="shared" si="3"/>
        <v>#DIV/0!</v>
      </c>
      <c r="O70" s="7"/>
      <c r="P70" s="7"/>
      <c r="Q70" s="7"/>
      <c r="R70" s="7"/>
      <c r="S70" s="3"/>
      <c r="T70" s="37">
        <f t="shared" si="0"/>
        <v>0</v>
      </c>
      <c r="U70" s="28" t="e">
        <f t="shared" si="4"/>
        <v>#DIV/0!</v>
      </c>
      <c r="V70" s="61">
        <f t="shared" si="5"/>
        <v>0</v>
      </c>
    </row>
    <row r="71" spans="1:22" ht="21.75" customHeight="1">
      <c r="A71" s="87"/>
      <c r="B71" s="7" t="s">
        <v>13</v>
      </c>
      <c r="C71" s="3"/>
      <c r="D71" s="3"/>
      <c r="E71" s="4">
        <f t="shared" si="1"/>
        <v>0</v>
      </c>
      <c r="F71" s="3"/>
      <c r="G71" s="3"/>
      <c r="H71" s="3"/>
      <c r="I71" s="3"/>
      <c r="J71" s="3"/>
      <c r="K71" s="3"/>
      <c r="L71" s="3"/>
      <c r="M71" s="5">
        <f t="shared" si="2"/>
        <v>0</v>
      </c>
      <c r="N71" s="28" t="e">
        <f t="shared" si="3"/>
        <v>#DIV/0!</v>
      </c>
      <c r="O71" s="7"/>
      <c r="P71" s="7"/>
      <c r="Q71" s="7"/>
      <c r="R71" s="7"/>
      <c r="S71" s="3"/>
      <c r="T71" s="37">
        <f t="shared" si="0"/>
        <v>0</v>
      </c>
      <c r="U71" s="28" t="e">
        <f t="shared" si="4"/>
        <v>#DIV/0!</v>
      </c>
      <c r="V71" s="61">
        <f t="shared" si="5"/>
        <v>0</v>
      </c>
    </row>
    <row r="72" spans="1:22" ht="21.75" customHeight="1">
      <c r="A72" s="87"/>
      <c r="B72" s="7" t="s">
        <v>14</v>
      </c>
      <c r="C72" s="3"/>
      <c r="D72" s="3"/>
      <c r="E72" s="4">
        <f t="shared" si="1"/>
        <v>0</v>
      </c>
      <c r="F72" s="3"/>
      <c r="G72" s="3"/>
      <c r="H72" s="3"/>
      <c r="I72" s="3"/>
      <c r="J72" s="3"/>
      <c r="K72" s="3"/>
      <c r="L72" s="3"/>
      <c r="M72" s="5">
        <f t="shared" si="2"/>
        <v>0</v>
      </c>
      <c r="N72" s="28" t="e">
        <f t="shared" si="3"/>
        <v>#DIV/0!</v>
      </c>
      <c r="O72" s="7"/>
      <c r="P72" s="7"/>
      <c r="Q72" s="7"/>
      <c r="R72" s="7"/>
      <c r="S72" s="3"/>
      <c r="T72" s="37">
        <f t="shared" si="0"/>
        <v>0</v>
      </c>
      <c r="U72" s="28" t="e">
        <f t="shared" si="4"/>
        <v>#DIV/0!</v>
      </c>
      <c r="V72" s="61">
        <f t="shared" si="5"/>
        <v>0</v>
      </c>
    </row>
    <row r="73" spans="1:22" ht="21.75" customHeight="1">
      <c r="A73" s="87">
        <v>22</v>
      </c>
      <c r="B73" s="7" t="s">
        <v>12</v>
      </c>
      <c r="C73" s="3"/>
      <c r="D73" s="3"/>
      <c r="E73" s="4">
        <f t="shared" si="1"/>
        <v>0</v>
      </c>
      <c r="F73" s="3"/>
      <c r="G73" s="3"/>
      <c r="H73" s="3"/>
      <c r="I73" s="3"/>
      <c r="J73" s="3"/>
      <c r="K73" s="3"/>
      <c r="L73" s="3"/>
      <c r="M73" s="5">
        <f t="shared" si="2"/>
        <v>0</v>
      </c>
      <c r="N73" s="28" t="e">
        <f t="shared" si="3"/>
        <v>#DIV/0!</v>
      </c>
      <c r="O73" s="7"/>
      <c r="P73" s="7"/>
      <c r="Q73" s="7"/>
      <c r="R73" s="7"/>
      <c r="S73" s="3"/>
      <c r="T73" s="37">
        <f t="shared" si="0"/>
        <v>0</v>
      </c>
      <c r="U73" s="28" t="e">
        <f t="shared" si="4"/>
        <v>#DIV/0!</v>
      </c>
      <c r="V73" s="61">
        <f t="shared" si="5"/>
        <v>0</v>
      </c>
    </row>
    <row r="74" spans="1:22" ht="21.75" customHeight="1">
      <c r="A74" s="87"/>
      <c r="B74" s="7" t="s">
        <v>13</v>
      </c>
      <c r="C74" s="3"/>
      <c r="D74" s="3"/>
      <c r="E74" s="4">
        <f t="shared" si="1"/>
        <v>0</v>
      </c>
      <c r="F74" s="3"/>
      <c r="G74" s="3"/>
      <c r="H74" s="3"/>
      <c r="I74" s="3"/>
      <c r="J74" s="3"/>
      <c r="K74" s="3"/>
      <c r="L74" s="3"/>
      <c r="M74" s="5">
        <f t="shared" si="2"/>
        <v>0</v>
      </c>
      <c r="N74" s="28" t="e">
        <f t="shared" si="3"/>
        <v>#DIV/0!</v>
      </c>
      <c r="O74" s="7"/>
      <c r="P74" s="7"/>
      <c r="Q74" s="7"/>
      <c r="R74" s="7"/>
      <c r="S74" s="3"/>
      <c r="T74" s="37">
        <f t="shared" ref="T74:T106" si="6">SUM(O74:S74)</f>
        <v>0</v>
      </c>
      <c r="U74" s="28" t="e">
        <f t="shared" si="4"/>
        <v>#DIV/0!</v>
      </c>
      <c r="V74" s="61">
        <f t="shared" si="5"/>
        <v>0</v>
      </c>
    </row>
    <row r="75" spans="1:22" ht="21.75" customHeight="1">
      <c r="A75" s="87"/>
      <c r="B75" s="7" t="s">
        <v>14</v>
      </c>
      <c r="C75" s="3"/>
      <c r="D75" s="3"/>
      <c r="E75" s="4">
        <f t="shared" ref="E75:E102" si="7">((($B$3*C75)+(12*D75))*$E$4)/7</f>
        <v>0</v>
      </c>
      <c r="F75" s="3"/>
      <c r="G75" s="3"/>
      <c r="H75" s="3"/>
      <c r="I75" s="3"/>
      <c r="J75" s="3"/>
      <c r="K75" s="3"/>
      <c r="L75" s="3"/>
      <c r="M75" s="5">
        <f t="shared" ref="M75:M106" si="8">(F75+G75+H75+L75)-E75</f>
        <v>0</v>
      </c>
      <c r="N75" s="28" t="e">
        <f t="shared" ref="N75:N105" si="9">(((C75*4.5)+(12*D75))*$E$4)/((F75+G75+H75+I75+J75+K75+L75)*7)*100</f>
        <v>#DIV/0!</v>
      </c>
      <c r="O75" s="7"/>
      <c r="P75" s="7"/>
      <c r="Q75" s="7"/>
      <c r="R75" s="7"/>
      <c r="S75" s="3"/>
      <c r="T75" s="37">
        <f t="shared" si="6"/>
        <v>0</v>
      </c>
      <c r="U75" s="28" t="e">
        <f t="shared" ref="U75:U106" si="10">((((O75*1.5+(P75*3.5)+(Q75*5.5)+(R75*7.5)+(S75*12)))/3)/((F75+G75+H75+I75+J75+K75+L75)*7))*100</f>
        <v>#DIV/0!</v>
      </c>
      <c r="V75" s="61">
        <f t="shared" ref="V75:V106" si="11">C75+D75-T75</f>
        <v>0</v>
      </c>
    </row>
    <row r="76" spans="1:22" ht="21.75" customHeight="1">
      <c r="A76" s="87">
        <v>23</v>
      </c>
      <c r="B76" s="7" t="s">
        <v>12</v>
      </c>
      <c r="C76" s="3"/>
      <c r="D76" s="3"/>
      <c r="E76" s="4">
        <f t="shared" si="7"/>
        <v>0</v>
      </c>
      <c r="F76" s="3"/>
      <c r="G76" s="3"/>
      <c r="H76" s="3"/>
      <c r="I76" s="3"/>
      <c r="J76" s="3"/>
      <c r="K76" s="3"/>
      <c r="L76" s="3"/>
      <c r="M76" s="5">
        <f t="shared" si="8"/>
        <v>0</v>
      </c>
      <c r="N76" s="28" t="e">
        <f t="shared" si="9"/>
        <v>#DIV/0!</v>
      </c>
      <c r="O76" s="7"/>
      <c r="P76" s="7"/>
      <c r="Q76" s="7"/>
      <c r="R76" s="7"/>
      <c r="S76" s="3"/>
      <c r="T76" s="37">
        <f t="shared" si="6"/>
        <v>0</v>
      </c>
      <c r="U76" s="28" t="e">
        <f t="shared" si="10"/>
        <v>#DIV/0!</v>
      </c>
      <c r="V76" s="61">
        <f t="shared" si="11"/>
        <v>0</v>
      </c>
    </row>
    <row r="77" spans="1:22" ht="21.75" customHeight="1">
      <c r="A77" s="87"/>
      <c r="B77" s="7" t="s">
        <v>13</v>
      </c>
      <c r="C77" s="3"/>
      <c r="D77" s="3"/>
      <c r="E77" s="4">
        <f t="shared" si="7"/>
        <v>0</v>
      </c>
      <c r="F77" s="3"/>
      <c r="G77" s="3"/>
      <c r="H77" s="3"/>
      <c r="I77" s="3"/>
      <c r="J77" s="3"/>
      <c r="K77" s="3"/>
      <c r="L77" s="3"/>
      <c r="M77" s="5">
        <f t="shared" si="8"/>
        <v>0</v>
      </c>
      <c r="N77" s="28" t="e">
        <f t="shared" si="9"/>
        <v>#DIV/0!</v>
      </c>
      <c r="O77" s="7"/>
      <c r="P77" s="7"/>
      <c r="Q77" s="7"/>
      <c r="R77" s="7"/>
      <c r="S77" s="3"/>
      <c r="T77" s="37">
        <f t="shared" si="6"/>
        <v>0</v>
      </c>
      <c r="U77" s="28" t="e">
        <f t="shared" si="10"/>
        <v>#DIV/0!</v>
      </c>
      <c r="V77" s="61">
        <f t="shared" si="11"/>
        <v>0</v>
      </c>
    </row>
    <row r="78" spans="1:22" ht="21.75" customHeight="1">
      <c r="A78" s="87"/>
      <c r="B78" s="7" t="s">
        <v>14</v>
      </c>
      <c r="C78" s="3"/>
      <c r="D78" s="3"/>
      <c r="E78" s="4">
        <f t="shared" si="7"/>
        <v>0</v>
      </c>
      <c r="F78" s="3"/>
      <c r="G78" s="3"/>
      <c r="H78" s="3"/>
      <c r="I78" s="3"/>
      <c r="J78" s="3"/>
      <c r="K78" s="3"/>
      <c r="L78" s="3"/>
      <c r="M78" s="5">
        <f t="shared" si="8"/>
        <v>0</v>
      </c>
      <c r="N78" s="28" t="e">
        <f t="shared" si="9"/>
        <v>#DIV/0!</v>
      </c>
      <c r="O78" s="7"/>
      <c r="P78" s="7"/>
      <c r="Q78" s="7"/>
      <c r="R78" s="7"/>
      <c r="S78" s="3"/>
      <c r="T78" s="37">
        <f t="shared" si="6"/>
        <v>0</v>
      </c>
      <c r="U78" s="28" t="e">
        <f t="shared" si="10"/>
        <v>#DIV/0!</v>
      </c>
      <c r="V78" s="61">
        <f t="shared" si="11"/>
        <v>0</v>
      </c>
    </row>
    <row r="79" spans="1:22" ht="21.75" customHeight="1">
      <c r="A79" s="87">
        <v>24</v>
      </c>
      <c r="B79" s="7" t="s">
        <v>12</v>
      </c>
      <c r="C79" s="3"/>
      <c r="D79" s="3"/>
      <c r="E79" s="4">
        <f t="shared" si="7"/>
        <v>0</v>
      </c>
      <c r="F79" s="3"/>
      <c r="G79" s="3"/>
      <c r="H79" s="3"/>
      <c r="I79" s="3"/>
      <c r="J79" s="3"/>
      <c r="K79" s="3"/>
      <c r="L79" s="3"/>
      <c r="M79" s="5">
        <f t="shared" si="8"/>
        <v>0</v>
      </c>
      <c r="N79" s="28" t="e">
        <f t="shared" si="9"/>
        <v>#DIV/0!</v>
      </c>
      <c r="O79" s="7"/>
      <c r="P79" s="7"/>
      <c r="Q79" s="7"/>
      <c r="R79" s="7"/>
      <c r="S79" s="3"/>
      <c r="T79" s="37">
        <f t="shared" si="6"/>
        <v>0</v>
      </c>
      <c r="U79" s="28" t="e">
        <f t="shared" si="10"/>
        <v>#DIV/0!</v>
      </c>
      <c r="V79" s="61">
        <f t="shared" si="11"/>
        <v>0</v>
      </c>
    </row>
    <row r="80" spans="1:22" ht="21.75" customHeight="1">
      <c r="A80" s="87"/>
      <c r="B80" s="7" t="s">
        <v>13</v>
      </c>
      <c r="C80" s="3"/>
      <c r="D80" s="3"/>
      <c r="E80" s="4">
        <f t="shared" si="7"/>
        <v>0</v>
      </c>
      <c r="F80" s="3"/>
      <c r="G80" s="3"/>
      <c r="H80" s="3"/>
      <c r="I80" s="3"/>
      <c r="J80" s="3"/>
      <c r="K80" s="3"/>
      <c r="L80" s="3"/>
      <c r="M80" s="5">
        <f t="shared" si="8"/>
        <v>0</v>
      </c>
      <c r="N80" s="28" t="e">
        <f t="shared" si="9"/>
        <v>#DIV/0!</v>
      </c>
      <c r="O80" s="7"/>
      <c r="P80" s="7"/>
      <c r="Q80" s="7"/>
      <c r="R80" s="7"/>
      <c r="S80" s="3"/>
      <c r="T80" s="37">
        <f t="shared" si="6"/>
        <v>0</v>
      </c>
      <c r="U80" s="28" t="e">
        <f t="shared" si="10"/>
        <v>#DIV/0!</v>
      </c>
      <c r="V80" s="61">
        <f t="shared" si="11"/>
        <v>0</v>
      </c>
    </row>
    <row r="81" spans="1:22" ht="21.75" customHeight="1">
      <c r="A81" s="87"/>
      <c r="B81" s="7" t="s">
        <v>14</v>
      </c>
      <c r="C81" s="3"/>
      <c r="D81" s="3"/>
      <c r="E81" s="4">
        <f t="shared" si="7"/>
        <v>0</v>
      </c>
      <c r="F81" s="3"/>
      <c r="G81" s="3"/>
      <c r="H81" s="3"/>
      <c r="I81" s="3"/>
      <c r="J81" s="3"/>
      <c r="K81" s="3"/>
      <c r="L81" s="3"/>
      <c r="M81" s="5">
        <f t="shared" si="8"/>
        <v>0</v>
      </c>
      <c r="N81" s="28" t="e">
        <f t="shared" si="9"/>
        <v>#DIV/0!</v>
      </c>
      <c r="O81" s="7"/>
      <c r="P81" s="7"/>
      <c r="Q81" s="7"/>
      <c r="R81" s="7"/>
      <c r="S81" s="3"/>
      <c r="T81" s="37">
        <f t="shared" si="6"/>
        <v>0</v>
      </c>
      <c r="U81" s="28" t="e">
        <f t="shared" si="10"/>
        <v>#DIV/0!</v>
      </c>
      <c r="V81" s="61">
        <f t="shared" si="11"/>
        <v>0</v>
      </c>
    </row>
    <row r="82" spans="1:22" ht="21.75" customHeight="1">
      <c r="A82" s="87">
        <v>25</v>
      </c>
      <c r="B82" s="7" t="s">
        <v>12</v>
      </c>
      <c r="C82" s="3"/>
      <c r="D82" s="3"/>
      <c r="E82" s="4">
        <f t="shared" si="7"/>
        <v>0</v>
      </c>
      <c r="F82" s="3"/>
      <c r="G82" s="3"/>
      <c r="H82" s="3"/>
      <c r="I82" s="3"/>
      <c r="J82" s="3"/>
      <c r="K82" s="3"/>
      <c r="L82" s="3"/>
      <c r="M82" s="5">
        <f t="shared" si="8"/>
        <v>0</v>
      </c>
      <c r="N82" s="28" t="e">
        <f t="shared" si="9"/>
        <v>#DIV/0!</v>
      </c>
      <c r="O82" s="7"/>
      <c r="P82" s="7"/>
      <c r="Q82" s="7"/>
      <c r="R82" s="7"/>
      <c r="S82" s="3"/>
      <c r="T82" s="37">
        <f t="shared" si="6"/>
        <v>0</v>
      </c>
      <c r="U82" s="28" t="e">
        <f t="shared" si="10"/>
        <v>#DIV/0!</v>
      </c>
      <c r="V82" s="61">
        <f t="shared" si="11"/>
        <v>0</v>
      </c>
    </row>
    <row r="83" spans="1:22" ht="21.75" customHeight="1">
      <c r="A83" s="87"/>
      <c r="B83" s="7" t="s">
        <v>13</v>
      </c>
      <c r="C83" s="3"/>
      <c r="D83" s="3"/>
      <c r="E83" s="4">
        <f t="shared" si="7"/>
        <v>0</v>
      </c>
      <c r="F83" s="3"/>
      <c r="G83" s="3"/>
      <c r="H83" s="3"/>
      <c r="I83" s="3"/>
      <c r="J83" s="3"/>
      <c r="K83" s="3"/>
      <c r="L83" s="3"/>
      <c r="M83" s="5">
        <f t="shared" si="8"/>
        <v>0</v>
      </c>
      <c r="N83" s="28" t="e">
        <f t="shared" si="9"/>
        <v>#DIV/0!</v>
      </c>
      <c r="O83" s="7"/>
      <c r="P83" s="7"/>
      <c r="Q83" s="7"/>
      <c r="R83" s="7"/>
      <c r="S83" s="3"/>
      <c r="T83" s="37">
        <f t="shared" si="6"/>
        <v>0</v>
      </c>
      <c r="U83" s="28" t="e">
        <f t="shared" si="10"/>
        <v>#DIV/0!</v>
      </c>
      <c r="V83" s="61">
        <f t="shared" si="11"/>
        <v>0</v>
      </c>
    </row>
    <row r="84" spans="1:22" ht="21.75" customHeight="1">
      <c r="A84" s="87"/>
      <c r="B84" s="7" t="s">
        <v>14</v>
      </c>
      <c r="C84" s="3"/>
      <c r="D84" s="3"/>
      <c r="E84" s="4">
        <f t="shared" si="7"/>
        <v>0</v>
      </c>
      <c r="F84" s="3"/>
      <c r="G84" s="3"/>
      <c r="H84" s="3"/>
      <c r="I84" s="3"/>
      <c r="J84" s="3"/>
      <c r="K84" s="3"/>
      <c r="L84" s="3"/>
      <c r="M84" s="5">
        <f t="shared" si="8"/>
        <v>0</v>
      </c>
      <c r="N84" s="28" t="e">
        <f t="shared" si="9"/>
        <v>#DIV/0!</v>
      </c>
      <c r="O84" s="7"/>
      <c r="P84" s="7"/>
      <c r="Q84" s="7"/>
      <c r="R84" s="7"/>
      <c r="S84" s="3"/>
      <c r="T84" s="37">
        <f t="shared" si="6"/>
        <v>0</v>
      </c>
      <c r="U84" s="28" t="e">
        <f t="shared" si="10"/>
        <v>#DIV/0!</v>
      </c>
      <c r="V84" s="61">
        <f t="shared" si="11"/>
        <v>0</v>
      </c>
    </row>
    <row r="85" spans="1:22" ht="21.75" customHeight="1">
      <c r="A85" s="87">
        <v>26</v>
      </c>
      <c r="B85" s="7" t="s">
        <v>12</v>
      </c>
      <c r="C85" s="3"/>
      <c r="D85" s="3"/>
      <c r="E85" s="4">
        <f t="shared" si="7"/>
        <v>0</v>
      </c>
      <c r="F85" s="3"/>
      <c r="G85" s="3"/>
      <c r="H85" s="3"/>
      <c r="I85" s="3"/>
      <c r="J85" s="3"/>
      <c r="K85" s="3"/>
      <c r="L85" s="3"/>
      <c r="M85" s="5">
        <f t="shared" si="8"/>
        <v>0</v>
      </c>
      <c r="N85" s="28" t="e">
        <f t="shared" si="9"/>
        <v>#DIV/0!</v>
      </c>
      <c r="O85" s="7"/>
      <c r="P85" s="7"/>
      <c r="Q85" s="7"/>
      <c r="R85" s="7"/>
      <c r="S85" s="3"/>
      <c r="T85" s="37">
        <f t="shared" si="6"/>
        <v>0</v>
      </c>
      <c r="U85" s="28" t="e">
        <f t="shared" si="10"/>
        <v>#DIV/0!</v>
      </c>
      <c r="V85" s="61">
        <f t="shared" si="11"/>
        <v>0</v>
      </c>
    </row>
    <row r="86" spans="1:22" ht="21.75" customHeight="1">
      <c r="A86" s="87"/>
      <c r="B86" s="7" t="s">
        <v>13</v>
      </c>
      <c r="C86" s="3"/>
      <c r="D86" s="3"/>
      <c r="E86" s="4">
        <f t="shared" si="7"/>
        <v>0</v>
      </c>
      <c r="F86" s="3"/>
      <c r="G86" s="3"/>
      <c r="H86" s="3"/>
      <c r="I86" s="3"/>
      <c r="J86" s="3"/>
      <c r="K86" s="3"/>
      <c r="L86" s="3"/>
      <c r="M86" s="5">
        <f t="shared" si="8"/>
        <v>0</v>
      </c>
      <c r="N86" s="28" t="e">
        <f t="shared" si="9"/>
        <v>#DIV/0!</v>
      </c>
      <c r="O86" s="7"/>
      <c r="P86" s="7"/>
      <c r="Q86" s="7"/>
      <c r="R86" s="7"/>
      <c r="S86" s="3"/>
      <c r="T86" s="37">
        <f t="shared" si="6"/>
        <v>0</v>
      </c>
      <c r="U86" s="28" t="e">
        <f t="shared" si="10"/>
        <v>#DIV/0!</v>
      </c>
      <c r="V86" s="61">
        <f t="shared" si="11"/>
        <v>0</v>
      </c>
    </row>
    <row r="87" spans="1:22" ht="21.75" customHeight="1">
      <c r="A87" s="87"/>
      <c r="B87" s="7" t="s">
        <v>14</v>
      </c>
      <c r="C87" s="3"/>
      <c r="D87" s="3"/>
      <c r="E87" s="4">
        <f t="shared" si="7"/>
        <v>0</v>
      </c>
      <c r="F87" s="3"/>
      <c r="G87" s="3"/>
      <c r="H87" s="3"/>
      <c r="I87" s="3"/>
      <c r="J87" s="3"/>
      <c r="K87" s="3"/>
      <c r="L87" s="3"/>
      <c r="M87" s="5">
        <f t="shared" si="8"/>
        <v>0</v>
      </c>
      <c r="N87" s="28" t="e">
        <f t="shared" si="9"/>
        <v>#DIV/0!</v>
      </c>
      <c r="O87" s="7"/>
      <c r="P87" s="7"/>
      <c r="Q87" s="7"/>
      <c r="R87" s="7"/>
      <c r="S87" s="3"/>
      <c r="T87" s="37">
        <f t="shared" si="6"/>
        <v>0</v>
      </c>
      <c r="U87" s="28" t="e">
        <f t="shared" si="10"/>
        <v>#DIV/0!</v>
      </c>
      <c r="V87" s="61">
        <f t="shared" si="11"/>
        <v>0</v>
      </c>
    </row>
    <row r="88" spans="1:22" ht="21.75" customHeight="1">
      <c r="A88" s="87">
        <v>27</v>
      </c>
      <c r="B88" s="7" t="s">
        <v>12</v>
      </c>
      <c r="C88" s="3"/>
      <c r="D88" s="3"/>
      <c r="E88" s="4">
        <f t="shared" si="7"/>
        <v>0</v>
      </c>
      <c r="F88" s="3"/>
      <c r="G88" s="3"/>
      <c r="H88" s="3"/>
      <c r="I88" s="3"/>
      <c r="J88" s="3"/>
      <c r="K88" s="3"/>
      <c r="L88" s="3"/>
      <c r="M88" s="5">
        <f t="shared" si="8"/>
        <v>0</v>
      </c>
      <c r="N88" s="28" t="e">
        <f t="shared" si="9"/>
        <v>#DIV/0!</v>
      </c>
      <c r="O88" s="7"/>
      <c r="P88" s="7"/>
      <c r="Q88" s="7"/>
      <c r="R88" s="7"/>
      <c r="S88" s="3"/>
      <c r="T88" s="37">
        <f t="shared" si="6"/>
        <v>0</v>
      </c>
      <c r="U88" s="28" t="e">
        <f t="shared" si="10"/>
        <v>#DIV/0!</v>
      </c>
      <c r="V88" s="61">
        <f t="shared" si="11"/>
        <v>0</v>
      </c>
    </row>
    <row r="89" spans="1:22" ht="21.75" customHeight="1">
      <c r="A89" s="87"/>
      <c r="B89" s="7" t="s">
        <v>13</v>
      </c>
      <c r="C89" s="3"/>
      <c r="D89" s="3"/>
      <c r="E89" s="4">
        <f t="shared" si="7"/>
        <v>0</v>
      </c>
      <c r="F89" s="3"/>
      <c r="G89" s="3"/>
      <c r="H89" s="3"/>
      <c r="I89" s="3"/>
      <c r="J89" s="3"/>
      <c r="K89" s="3"/>
      <c r="L89" s="3"/>
      <c r="M89" s="5">
        <f t="shared" si="8"/>
        <v>0</v>
      </c>
      <c r="N89" s="28" t="e">
        <f t="shared" si="9"/>
        <v>#DIV/0!</v>
      </c>
      <c r="O89" s="7"/>
      <c r="P89" s="7"/>
      <c r="Q89" s="7"/>
      <c r="R89" s="7"/>
      <c r="S89" s="3"/>
      <c r="T89" s="37">
        <f t="shared" si="6"/>
        <v>0</v>
      </c>
      <c r="U89" s="28" t="e">
        <f t="shared" si="10"/>
        <v>#DIV/0!</v>
      </c>
      <c r="V89" s="61">
        <f t="shared" si="11"/>
        <v>0</v>
      </c>
    </row>
    <row r="90" spans="1:22" ht="21.75" customHeight="1">
      <c r="A90" s="87"/>
      <c r="B90" s="7" t="s">
        <v>14</v>
      </c>
      <c r="C90" s="3"/>
      <c r="D90" s="3"/>
      <c r="E90" s="4">
        <f t="shared" si="7"/>
        <v>0</v>
      </c>
      <c r="F90" s="3"/>
      <c r="G90" s="3"/>
      <c r="H90" s="3"/>
      <c r="I90" s="3"/>
      <c r="J90" s="3"/>
      <c r="K90" s="3"/>
      <c r="L90" s="3"/>
      <c r="M90" s="5">
        <f t="shared" si="8"/>
        <v>0</v>
      </c>
      <c r="N90" s="28" t="e">
        <f t="shared" si="9"/>
        <v>#DIV/0!</v>
      </c>
      <c r="O90" s="7"/>
      <c r="P90" s="7"/>
      <c r="Q90" s="7"/>
      <c r="R90" s="7"/>
      <c r="S90" s="3"/>
      <c r="T90" s="37">
        <f t="shared" si="6"/>
        <v>0</v>
      </c>
      <c r="U90" s="28" t="e">
        <f t="shared" si="10"/>
        <v>#DIV/0!</v>
      </c>
      <c r="V90" s="61">
        <f t="shared" si="11"/>
        <v>0</v>
      </c>
    </row>
    <row r="91" spans="1:22" ht="21.75" customHeight="1">
      <c r="A91" s="87">
        <v>28</v>
      </c>
      <c r="B91" s="7" t="s">
        <v>12</v>
      </c>
      <c r="C91" s="3"/>
      <c r="D91" s="3"/>
      <c r="E91" s="4">
        <f t="shared" si="7"/>
        <v>0</v>
      </c>
      <c r="F91" s="3"/>
      <c r="G91" s="3"/>
      <c r="H91" s="3"/>
      <c r="I91" s="3"/>
      <c r="J91" s="3"/>
      <c r="K91" s="3"/>
      <c r="L91" s="3"/>
      <c r="M91" s="5">
        <f t="shared" si="8"/>
        <v>0</v>
      </c>
      <c r="N91" s="28" t="e">
        <f t="shared" si="9"/>
        <v>#DIV/0!</v>
      </c>
      <c r="O91" s="7"/>
      <c r="P91" s="7"/>
      <c r="Q91" s="7"/>
      <c r="R91" s="7"/>
      <c r="S91" s="3"/>
      <c r="T91" s="37">
        <f t="shared" si="6"/>
        <v>0</v>
      </c>
      <c r="U91" s="28" t="e">
        <f t="shared" si="10"/>
        <v>#DIV/0!</v>
      </c>
      <c r="V91" s="61">
        <f t="shared" si="11"/>
        <v>0</v>
      </c>
    </row>
    <row r="92" spans="1:22" ht="21.75" customHeight="1">
      <c r="A92" s="87"/>
      <c r="B92" s="7" t="s">
        <v>13</v>
      </c>
      <c r="C92" s="3"/>
      <c r="D92" s="3"/>
      <c r="E92" s="4">
        <f t="shared" si="7"/>
        <v>0</v>
      </c>
      <c r="F92" s="3"/>
      <c r="G92" s="3"/>
      <c r="H92" s="3"/>
      <c r="I92" s="3"/>
      <c r="J92" s="3"/>
      <c r="K92" s="3"/>
      <c r="L92" s="3"/>
      <c r="M92" s="5">
        <f t="shared" si="8"/>
        <v>0</v>
      </c>
      <c r="N92" s="28" t="e">
        <f t="shared" si="9"/>
        <v>#DIV/0!</v>
      </c>
      <c r="O92" s="7"/>
      <c r="P92" s="7"/>
      <c r="Q92" s="7"/>
      <c r="R92" s="7"/>
      <c r="S92" s="3"/>
      <c r="T92" s="37">
        <f t="shared" si="6"/>
        <v>0</v>
      </c>
      <c r="U92" s="28" t="e">
        <f t="shared" si="10"/>
        <v>#DIV/0!</v>
      </c>
      <c r="V92" s="61">
        <f t="shared" si="11"/>
        <v>0</v>
      </c>
    </row>
    <row r="93" spans="1:22" ht="21.75" customHeight="1">
      <c r="A93" s="87"/>
      <c r="B93" s="7" t="s">
        <v>14</v>
      </c>
      <c r="C93" s="3"/>
      <c r="D93" s="3"/>
      <c r="E93" s="4">
        <f t="shared" si="7"/>
        <v>0</v>
      </c>
      <c r="F93" s="3"/>
      <c r="G93" s="3"/>
      <c r="H93" s="3"/>
      <c r="I93" s="3"/>
      <c r="J93" s="3"/>
      <c r="K93" s="3"/>
      <c r="L93" s="3"/>
      <c r="M93" s="5">
        <f t="shared" si="8"/>
        <v>0</v>
      </c>
      <c r="N93" s="28" t="e">
        <f t="shared" si="9"/>
        <v>#DIV/0!</v>
      </c>
      <c r="O93" s="7"/>
      <c r="P93" s="7"/>
      <c r="Q93" s="7"/>
      <c r="R93" s="7"/>
      <c r="S93" s="3"/>
      <c r="T93" s="37">
        <f t="shared" si="6"/>
        <v>0</v>
      </c>
      <c r="U93" s="28" t="e">
        <f t="shared" si="10"/>
        <v>#DIV/0!</v>
      </c>
      <c r="V93" s="61">
        <f t="shared" si="11"/>
        <v>0</v>
      </c>
    </row>
    <row r="94" spans="1:22" ht="21.75" customHeight="1">
      <c r="A94" s="87">
        <v>29</v>
      </c>
      <c r="B94" s="7" t="s">
        <v>12</v>
      </c>
      <c r="C94" s="3"/>
      <c r="D94" s="3"/>
      <c r="E94" s="4">
        <f t="shared" si="7"/>
        <v>0</v>
      </c>
      <c r="F94" s="3"/>
      <c r="G94" s="3"/>
      <c r="H94" s="3"/>
      <c r="I94" s="3"/>
      <c r="J94" s="3"/>
      <c r="K94" s="3"/>
      <c r="L94" s="3"/>
      <c r="M94" s="5">
        <f t="shared" si="8"/>
        <v>0</v>
      </c>
      <c r="N94" s="28" t="e">
        <f t="shared" si="9"/>
        <v>#DIV/0!</v>
      </c>
      <c r="O94" s="7"/>
      <c r="P94" s="7"/>
      <c r="Q94" s="7"/>
      <c r="R94" s="7"/>
      <c r="S94" s="3"/>
      <c r="T94" s="37">
        <f t="shared" si="6"/>
        <v>0</v>
      </c>
      <c r="U94" s="28" t="e">
        <f t="shared" si="10"/>
        <v>#DIV/0!</v>
      </c>
      <c r="V94" s="61">
        <f t="shared" si="11"/>
        <v>0</v>
      </c>
    </row>
    <row r="95" spans="1:22" ht="21.75" customHeight="1">
      <c r="A95" s="87"/>
      <c r="B95" s="7" t="s">
        <v>13</v>
      </c>
      <c r="C95" s="3"/>
      <c r="D95" s="3"/>
      <c r="E95" s="4">
        <f t="shared" si="7"/>
        <v>0</v>
      </c>
      <c r="F95" s="3"/>
      <c r="G95" s="3"/>
      <c r="H95" s="3"/>
      <c r="I95" s="3"/>
      <c r="J95" s="3"/>
      <c r="K95" s="3"/>
      <c r="L95" s="3"/>
      <c r="M95" s="5">
        <f t="shared" si="8"/>
        <v>0</v>
      </c>
      <c r="N95" s="28" t="e">
        <f t="shared" si="9"/>
        <v>#DIV/0!</v>
      </c>
      <c r="O95" s="7"/>
      <c r="P95" s="7"/>
      <c r="Q95" s="7"/>
      <c r="R95" s="7"/>
      <c r="S95" s="3"/>
      <c r="T95" s="37">
        <f t="shared" si="6"/>
        <v>0</v>
      </c>
      <c r="U95" s="28" t="e">
        <f t="shared" si="10"/>
        <v>#DIV/0!</v>
      </c>
      <c r="V95" s="61">
        <f t="shared" si="11"/>
        <v>0</v>
      </c>
    </row>
    <row r="96" spans="1:22" ht="21.75" customHeight="1">
      <c r="A96" s="87"/>
      <c r="B96" s="7" t="s">
        <v>14</v>
      </c>
      <c r="C96" s="3"/>
      <c r="D96" s="3"/>
      <c r="E96" s="4">
        <f t="shared" si="7"/>
        <v>0</v>
      </c>
      <c r="F96" s="3"/>
      <c r="G96" s="3"/>
      <c r="H96" s="3"/>
      <c r="I96" s="3"/>
      <c r="J96" s="3"/>
      <c r="K96" s="3"/>
      <c r="L96" s="3"/>
      <c r="M96" s="5">
        <f t="shared" si="8"/>
        <v>0</v>
      </c>
      <c r="N96" s="28" t="e">
        <f t="shared" si="9"/>
        <v>#DIV/0!</v>
      </c>
      <c r="O96" s="7"/>
      <c r="P96" s="7"/>
      <c r="Q96" s="7"/>
      <c r="R96" s="7"/>
      <c r="S96" s="3"/>
      <c r="T96" s="37">
        <f t="shared" si="6"/>
        <v>0</v>
      </c>
      <c r="U96" s="28" t="e">
        <f t="shared" si="10"/>
        <v>#DIV/0!</v>
      </c>
      <c r="V96" s="61">
        <f t="shared" si="11"/>
        <v>0</v>
      </c>
    </row>
    <row r="97" spans="1:22" ht="21.75" customHeight="1">
      <c r="A97" s="87">
        <v>30</v>
      </c>
      <c r="B97" s="7" t="s">
        <v>12</v>
      </c>
      <c r="C97" s="3"/>
      <c r="D97" s="3"/>
      <c r="E97" s="4">
        <f t="shared" si="7"/>
        <v>0</v>
      </c>
      <c r="F97" s="3"/>
      <c r="G97" s="3"/>
      <c r="H97" s="3"/>
      <c r="I97" s="3"/>
      <c r="J97" s="3"/>
      <c r="K97" s="3"/>
      <c r="L97" s="3"/>
      <c r="M97" s="5">
        <f t="shared" si="8"/>
        <v>0</v>
      </c>
      <c r="N97" s="28" t="e">
        <f t="shared" si="9"/>
        <v>#DIV/0!</v>
      </c>
      <c r="O97" s="7"/>
      <c r="P97" s="7"/>
      <c r="Q97" s="7"/>
      <c r="R97" s="7"/>
      <c r="S97" s="3"/>
      <c r="T97" s="37">
        <f t="shared" si="6"/>
        <v>0</v>
      </c>
      <c r="U97" s="28" t="e">
        <f t="shared" si="10"/>
        <v>#DIV/0!</v>
      </c>
      <c r="V97" s="61">
        <f t="shared" si="11"/>
        <v>0</v>
      </c>
    </row>
    <row r="98" spans="1:22" ht="21.75" customHeight="1">
      <c r="A98" s="87"/>
      <c r="B98" s="7" t="s">
        <v>13</v>
      </c>
      <c r="C98" s="3"/>
      <c r="D98" s="3"/>
      <c r="E98" s="4">
        <f t="shared" si="7"/>
        <v>0</v>
      </c>
      <c r="F98" s="3"/>
      <c r="G98" s="3"/>
      <c r="H98" s="3"/>
      <c r="I98" s="3"/>
      <c r="J98" s="3"/>
      <c r="K98" s="3"/>
      <c r="L98" s="3"/>
      <c r="M98" s="5">
        <f t="shared" si="8"/>
        <v>0</v>
      </c>
      <c r="N98" s="28" t="e">
        <f t="shared" si="9"/>
        <v>#DIV/0!</v>
      </c>
      <c r="O98" s="7"/>
      <c r="P98" s="7"/>
      <c r="Q98" s="7"/>
      <c r="R98" s="7"/>
      <c r="S98" s="3"/>
      <c r="T98" s="37">
        <f t="shared" si="6"/>
        <v>0</v>
      </c>
      <c r="U98" s="28" t="e">
        <f t="shared" si="10"/>
        <v>#DIV/0!</v>
      </c>
      <c r="V98" s="61">
        <f t="shared" si="11"/>
        <v>0</v>
      </c>
    </row>
    <row r="99" spans="1:22" ht="21.75" customHeight="1">
      <c r="A99" s="87"/>
      <c r="B99" s="7" t="s">
        <v>14</v>
      </c>
      <c r="C99" s="3"/>
      <c r="D99" s="3"/>
      <c r="E99" s="4">
        <f t="shared" si="7"/>
        <v>0</v>
      </c>
      <c r="F99" s="3"/>
      <c r="G99" s="3"/>
      <c r="H99" s="3"/>
      <c r="I99" s="3"/>
      <c r="J99" s="3"/>
      <c r="K99" s="3"/>
      <c r="L99" s="3"/>
      <c r="M99" s="5">
        <f t="shared" si="8"/>
        <v>0</v>
      </c>
      <c r="N99" s="28" t="e">
        <f t="shared" si="9"/>
        <v>#DIV/0!</v>
      </c>
      <c r="O99" s="7"/>
      <c r="P99" s="7"/>
      <c r="Q99" s="7"/>
      <c r="R99" s="7"/>
      <c r="S99" s="3"/>
      <c r="T99" s="37">
        <f t="shared" si="6"/>
        <v>0</v>
      </c>
      <c r="U99" s="28" t="e">
        <f t="shared" si="10"/>
        <v>#DIV/0!</v>
      </c>
      <c r="V99" s="61">
        <f t="shared" si="11"/>
        <v>0</v>
      </c>
    </row>
    <row r="100" spans="1:22" ht="21.75" customHeight="1">
      <c r="A100" s="87">
        <v>31</v>
      </c>
      <c r="B100" s="7" t="s">
        <v>12</v>
      </c>
      <c r="C100" s="3"/>
      <c r="D100" s="3"/>
      <c r="E100" s="4">
        <f t="shared" si="7"/>
        <v>0</v>
      </c>
      <c r="F100" s="3"/>
      <c r="G100" s="3"/>
      <c r="H100" s="3"/>
      <c r="I100" s="3"/>
      <c r="J100" s="3"/>
      <c r="K100" s="3"/>
      <c r="L100" s="3"/>
      <c r="M100" s="5">
        <f t="shared" si="8"/>
        <v>0</v>
      </c>
      <c r="N100" s="28" t="e">
        <f t="shared" si="9"/>
        <v>#DIV/0!</v>
      </c>
      <c r="O100" s="7"/>
      <c r="P100" s="7"/>
      <c r="Q100" s="7"/>
      <c r="R100" s="7"/>
      <c r="S100" s="3"/>
      <c r="T100" s="37">
        <f t="shared" si="6"/>
        <v>0</v>
      </c>
      <c r="U100" s="28" t="e">
        <f t="shared" si="10"/>
        <v>#DIV/0!</v>
      </c>
      <c r="V100" s="61">
        <f t="shared" si="11"/>
        <v>0</v>
      </c>
    </row>
    <row r="101" spans="1:22" ht="21.75" customHeight="1">
      <c r="A101" s="87"/>
      <c r="B101" s="7" t="s">
        <v>13</v>
      </c>
      <c r="C101" s="3"/>
      <c r="D101" s="3"/>
      <c r="E101" s="4">
        <f t="shared" si="7"/>
        <v>0</v>
      </c>
      <c r="F101" s="3"/>
      <c r="G101" s="3"/>
      <c r="H101" s="3"/>
      <c r="I101" s="3"/>
      <c r="J101" s="3"/>
      <c r="K101" s="3"/>
      <c r="L101" s="3"/>
      <c r="M101" s="5">
        <f t="shared" si="8"/>
        <v>0</v>
      </c>
      <c r="N101" s="28" t="e">
        <f t="shared" si="9"/>
        <v>#DIV/0!</v>
      </c>
      <c r="O101" s="7"/>
      <c r="P101" s="7"/>
      <c r="Q101" s="7"/>
      <c r="R101" s="7"/>
      <c r="S101" s="3"/>
      <c r="T101" s="37">
        <f t="shared" si="6"/>
        <v>0</v>
      </c>
      <c r="U101" s="28" t="e">
        <f t="shared" si="10"/>
        <v>#DIV/0!</v>
      </c>
      <c r="V101" s="61">
        <f t="shared" si="11"/>
        <v>0</v>
      </c>
    </row>
    <row r="102" spans="1:22" ht="21.75" customHeight="1">
      <c r="A102" s="87"/>
      <c r="B102" s="7" t="s">
        <v>14</v>
      </c>
      <c r="C102" s="3"/>
      <c r="D102" s="3"/>
      <c r="E102" s="4">
        <f t="shared" si="7"/>
        <v>0</v>
      </c>
      <c r="F102" s="3"/>
      <c r="G102" s="3"/>
      <c r="H102" s="3"/>
      <c r="I102" s="3"/>
      <c r="J102" s="3"/>
      <c r="K102" s="3"/>
      <c r="L102" s="3"/>
      <c r="M102" s="5">
        <f t="shared" si="8"/>
        <v>0</v>
      </c>
      <c r="N102" s="28" t="e">
        <f t="shared" si="9"/>
        <v>#DIV/0!</v>
      </c>
      <c r="O102" s="7"/>
      <c r="P102" s="7"/>
      <c r="Q102" s="7"/>
      <c r="R102" s="7"/>
      <c r="S102" s="3"/>
      <c r="T102" s="37">
        <f t="shared" si="6"/>
        <v>0</v>
      </c>
      <c r="U102" s="28" t="e">
        <f t="shared" si="10"/>
        <v>#DIV/0!</v>
      </c>
      <c r="V102" s="61">
        <f t="shared" si="11"/>
        <v>0</v>
      </c>
    </row>
    <row r="103" spans="1:22" ht="21.75" customHeight="1">
      <c r="A103" s="87" t="s">
        <v>41</v>
      </c>
      <c r="B103" s="1" t="s">
        <v>12</v>
      </c>
      <c r="C103" s="37">
        <f>C10+C13+C16+C19+C22+C25+C28+C31+C34+C37+C40+C43+C46+C49+C52+C55+C58+C61+C64+C67+C70+C73+C76+C79+C82+C85+C88+C91+C94+C97+C100</f>
        <v>0</v>
      </c>
      <c r="D103" s="37">
        <f>D10+D13+D16+D19+D22+D25+D28+D31+D34+D37+D40+D43+D46+D49+D52+D55+D58+D61+D64+D67+D70+D73+D76+D79+D82+D85+D88+D91+D94+D97+D100</f>
        <v>0</v>
      </c>
      <c r="E103" s="4">
        <f>((($B$3*C103)+(12*D103))*$M$4)/7</f>
        <v>0</v>
      </c>
      <c r="F103" s="1">
        <f t="shared" ref="F103:L105" si="12">F10+F13+F16+F19+F22+F25+F28+F31+F34+F37+F40+F43+F46+F49+F52+F55+F58+F61+F64+F67+F70+F73+F76+F79+F82+F85+F88+F91+F94+F97+F100</f>
        <v>0</v>
      </c>
      <c r="G103" s="1">
        <f t="shared" si="12"/>
        <v>0</v>
      </c>
      <c r="H103" s="1">
        <f t="shared" si="12"/>
        <v>0</v>
      </c>
      <c r="I103" s="1">
        <f t="shared" si="12"/>
        <v>0</v>
      </c>
      <c r="J103" s="1">
        <f t="shared" si="12"/>
        <v>0</v>
      </c>
      <c r="K103" s="1">
        <f t="shared" si="12"/>
        <v>0</v>
      </c>
      <c r="L103" s="1">
        <f t="shared" si="12"/>
        <v>0</v>
      </c>
      <c r="M103" s="5">
        <f t="shared" si="8"/>
        <v>0</v>
      </c>
      <c r="N103" s="28" t="e">
        <f t="shared" si="9"/>
        <v>#DIV/0!</v>
      </c>
      <c r="O103" s="1">
        <f t="shared" ref="O103:S105" si="13">O10+O13+O16+O19+O22+O25+O28+O31+O34+O37+O40+O43+O46+O49+O52+O55+O58+O61+O64+O67+O70+O73+O76+O79+O82+O85+O88+O91+O94+O97+O100</f>
        <v>0</v>
      </c>
      <c r="P103" s="1">
        <f t="shared" si="13"/>
        <v>0</v>
      </c>
      <c r="Q103" s="1">
        <f t="shared" si="13"/>
        <v>0</v>
      </c>
      <c r="R103" s="1">
        <f t="shared" si="13"/>
        <v>0</v>
      </c>
      <c r="S103" s="1">
        <f t="shared" si="13"/>
        <v>0</v>
      </c>
      <c r="T103" s="37">
        <f t="shared" si="6"/>
        <v>0</v>
      </c>
      <c r="U103" s="28" t="e">
        <f t="shared" si="10"/>
        <v>#DIV/0!</v>
      </c>
      <c r="V103" s="61">
        <f t="shared" si="11"/>
        <v>0</v>
      </c>
    </row>
    <row r="104" spans="1:22" ht="21.75" customHeight="1">
      <c r="A104" s="87"/>
      <c r="B104" s="1" t="s">
        <v>13</v>
      </c>
      <c r="C104" s="37">
        <f t="shared" ref="C104:C105" si="14">C11+C14+C17+C20+C23+C26+C29+C32+C35+C38+C41+C44+C47+C50+C53+C56+C59+C62+C65+C68+C71+C74+C77+C80+C83+C86+C89+C92+C95+C98+C101</f>
        <v>0</v>
      </c>
      <c r="D104" s="37">
        <f t="shared" ref="D104:D105" si="15">D11+D14+D17+D20+D23+D26+D29+D32+D35+D38+D41+D44+D47+D50+D53+D56+D59+D62+D65+D68+D71+D74+D77+D80+D83+D86+D89+D92+D95+D98+D101</f>
        <v>0</v>
      </c>
      <c r="E104" s="4">
        <f t="shared" ref="E104:E105" si="16">((($B$3*C104)+(12*D104))*$M$4)/7</f>
        <v>0</v>
      </c>
      <c r="F104" s="1">
        <f t="shared" si="12"/>
        <v>0</v>
      </c>
      <c r="G104" s="1">
        <f t="shared" si="12"/>
        <v>0</v>
      </c>
      <c r="H104" s="1">
        <f t="shared" ref="H104" si="17">H11+H14+H17+H20+H23+H26+H29+H32+H35+H38+H41+H44+H47+H50+H53+H56+H59+H62+H65+H68+H71+H74+H77+H80+H83+H86+H89+H92+H95+H98+H101</f>
        <v>0</v>
      </c>
      <c r="I104" s="1">
        <f t="shared" si="12"/>
        <v>0</v>
      </c>
      <c r="J104" s="1">
        <f t="shared" si="12"/>
        <v>0</v>
      </c>
      <c r="K104" s="1">
        <f t="shared" ref="K104" si="18">K11+K14+K17+K20+K23+K26+K29+K32+K35+K38+K41+K44+K47+K50+K53+K56+K59+K62+K65+K68+K71+K74+K77+K80+K83+K86+K89+K92+K95+K98+K101</f>
        <v>0</v>
      </c>
      <c r="L104" s="1">
        <f t="shared" si="12"/>
        <v>0</v>
      </c>
      <c r="M104" s="5">
        <f t="shared" si="8"/>
        <v>0</v>
      </c>
      <c r="N104" s="28" t="e">
        <f t="shared" si="9"/>
        <v>#DIV/0!</v>
      </c>
      <c r="O104" s="1">
        <f t="shared" si="13"/>
        <v>0</v>
      </c>
      <c r="P104" s="1">
        <f t="shared" si="13"/>
        <v>0</v>
      </c>
      <c r="Q104" s="1">
        <f t="shared" si="13"/>
        <v>0</v>
      </c>
      <c r="R104" s="1">
        <f t="shared" si="13"/>
        <v>0</v>
      </c>
      <c r="S104" s="1">
        <f t="shared" si="13"/>
        <v>0</v>
      </c>
      <c r="T104" s="37">
        <f t="shared" si="6"/>
        <v>0</v>
      </c>
      <c r="U104" s="28" t="e">
        <f t="shared" si="10"/>
        <v>#DIV/0!</v>
      </c>
      <c r="V104" s="61">
        <f t="shared" si="11"/>
        <v>0</v>
      </c>
    </row>
    <row r="105" spans="1:22" ht="21.75" customHeight="1">
      <c r="A105" s="87"/>
      <c r="B105" s="1" t="s">
        <v>14</v>
      </c>
      <c r="C105" s="37">
        <f t="shared" si="14"/>
        <v>0</v>
      </c>
      <c r="D105" s="37">
        <f t="shared" si="15"/>
        <v>0</v>
      </c>
      <c r="E105" s="4">
        <f t="shared" si="16"/>
        <v>0</v>
      </c>
      <c r="F105" s="1">
        <f t="shared" si="12"/>
        <v>0</v>
      </c>
      <c r="G105" s="1">
        <f t="shared" si="12"/>
        <v>0</v>
      </c>
      <c r="H105" s="1">
        <f t="shared" ref="H105" si="19">H12+H15+H18+H21+H24+H27+H30+H33+H36+H39+H42+H45+H48+H51+H54+H57+H60+H63+H66+H69+H72+H75+H78+H81+H84+H87+H90+H93+H96+H99+H102</f>
        <v>0</v>
      </c>
      <c r="I105" s="1">
        <f t="shared" si="12"/>
        <v>0</v>
      </c>
      <c r="J105" s="1">
        <f t="shared" si="12"/>
        <v>0</v>
      </c>
      <c r="K105" s="1">
        <f t="shared" ref="K105" si="20">K12+K15+K18+K21+K24+K27+K30+K33+K36+K39+K42+K45+K48+K51+K54+K57+K60+K63+K66+K69+K72+K75+K78+K81+K84+K87+K90+K93+K96+K99+K102</f>
        <v>0</v>
      </c>
      <c r="L105" s="1">
        <f t="shared" si="12"/>
        <v>0</v>
      </c>
      <c r="M105" s="5">
        <f t="shared" si="8"/>
        <v>0</v>
      </c>
      <c r="N105" s="28" t="e">
        <f t="shared" si="9"/>
        <v>#DIV/0!</v>
      </c>
      <c r="O105" s="1">
        <f t="shared" si="13"/>
        <v>0</v>
      </c>
      <c r="P105" s="1">
        <f t="shared" si="13"/>
        <v>0</v>
      </c>
      <c r="Q105" s="1">
        <f t="shared" si="13"/>
        <v>0</v>
      </c>
      <c r="R105" s="1">
        <f t="shared" si="13"/>
        <v>0</v>
      </c>
      <c r="S105" s="1">
        <f t="shared" si="13"/>
        <v>0</v>
      </c>
      <c r="T105" s="37">
        <f t="shared" si="6"/>
        <v>0</v>
      </c>
      <c r="U105" s="28" t="e">
        <f t="shared" si="10"/>
        <v>#DIV/0!</v>
      </c>
      <c r="V105" s="61">
        <f t="shared" si="11"/>
        <v>0</v>
      </c>
    </row>
    <row r="106" spans="1:22" ht="21.75" customHeight="1">
      <c r="A106" s="7" t="s">
        <v>42</v>
      </c>
      <c r="B106" s="7"/>
      <c r="C106" s="42">
        <f>SUM(C103:C105)/3</f>
        <v>0</v>
      </c>
      <c r="D106" s="42">
        <f>SUM(D103:D105)/3</f>
        <v>0</v>
      </c>
      <c r="E106" s="25"/>
      <c r="F106" s="42">
        <f>SUM(F103:F105)</f>
        <v>0</v>
      </c>
      <c r="G106" s="42">
        <f t="shared" ref="G106:L106" si="21">SUM(G103:G105)</f>
        <v>0</v>
      </c>
      <c r="H106" s="42">
        <f t="shared" si="21"/>
        <v>0</v>
      </c>
      <c r="I106" s="42">
        <f t="shared" si="21"/>
        <v>0</v>
      </c>
      <c r="J106" s="42">
        <f t="shared" si="21"/>
        <v>0</v>
      </c>
      <c r="K106" s="42">
        <f t="shared" si="21"/>
        <v>0</v>
      </c>
      <c r="L106" s="42">
        <f t="shared" si="21"/>
        <v>0</v>
      </c>
      <c r="M106" s="5">
        <f t="shared" si="8"/>
        <v>0</v>
      </c>
      <c r="N106" s="25"/>
      <c r="O106" s="25">
        <f>SUM(O103:O105)/3</f>
        <v>0</v>
      </c>
      <c r="P106" s="25">
        <f>SUM(P103:P105)/3</f>
        <v>0</v>
      </c>
      <c r="Q106" s="25">
        <f t="shared" ref="Q106:S106" si="22">SUM(Q103:Q105)/3</f>
        <v>0</v>
      </c>
      <c r="R106" s="25">
        <f t="shared" si="22"/>
        <v>0</v>
      </c>
      <c r="S106" s="25">
        <f t="shared" si="22"/>
        <v>0</v>
      </c>
      <c r="T106" s="37">
        <f t="shared" si="6"/>
        <v>0</v>
      </c>
      <c r="U106" s="28" t="e">
        <f t="shared" si="10"/>
        <v>#DIV/0!</v>
      </c>
      <c r="V106" s="61">
        <f t="shared" si="11"/>
        <v>0</v>
      </c>
    </row>
  </sheetData>
  <mergeCells count="77">
    <mergeCell ref="E4:H4"/>
    <mergeCell ref="F7:K7"/>
    <mergeCell ref="O7:S7"/>
    <mergeCell ref="T7:T9"/>
    <mergeCell ref="O8:O9"/>
    <mergeCell ref="Q4:R4"/>
    <mergeCell ref="F5:L5"/>
    <mergeCell ref="O5:P5"/>
    <mergeCell ref="Q5:R5"/>
    <mergeCell ref="O6:Q6"/>
    <mergeCell ref="R6:S6"/>
    <mergeCell ref="P8:P9"/>
    <mergeCell ref="I4:L4"/>
    <mergeCell ref="F8:H8"/>
    <mergeCell ref="I8:K8"/>
    <mergeCell ref="A1:N1"/>
    <mergeCell ref="A2:N2"/>
    <mergeCell ref="M3:N3"/>
    <mergeCell ref="O3:P3"/>
    <mergeCell ref="Q3:R3"/>
    <mergeCell ref="I3:L3"/>
    <mergeCell ref="E3:H3"/>
    <mergeCell ref="C5:D5"/>
    <mergeCell ref="C6:D6"/>
    <mergeCell ref="N7:N9"/>
    <mergeCell ref="E7:E9"/>
    <mergeCell ref="F6:H6"/>
    <mergeCell ref="I6:K6"/>
    <mergeCell ref="A97:A99"/>
    <mergeCell ref="A100:A102"/>
    <mergeCell ref="A103:A105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91:A93"/>
    <mergeCell ref="A94:A96"/>
    <mergeCell ref="A49:A51"/>
    <mergeCell ref="A52:A54"/>
    <mergeCell ref="A55:A57"/>
    <mergeCell ref="A58:A60"/>
    <mergeCell ref="A61:A63"/>
    <mergeCell ref="A37:A39"/>
    <mergeCell ref="A40:A42"/>
    <mergeCell ref="A43:A45"/>
    <mergeCell ref="A46:A48"/>
    <mergeCell ref="A7:A9"/>
    <mergeCell ref="A10:A12"/>
    <mergeCell ref="A28:A30"/>
    <mergeCell ref="A31:A33"/>
    <mergeCell ref="A34:A36"/>
    <mergeCell ref="A13:A15"/>
    <mergeCell ref="A16:A18"/>
    <mergeCell ref="A19:A21"/>
    <mergeCell ref="A22:A24"/>
    <mergeCell ref="A25:A27"/>
    <mergeCell ref="U7:U9"/>
    <mergeCell ref="L7:L9"/>
    <mergeCell ref="M7:M9"/>
    <mergeCell ref="A3:A4"/>
    <mergeCell ref="B3:B4"/>
    <mergeCell ref="C3:C4"/>
    <mergeCell ref="Q8:Q9"/>
    <mergeCell ref="R8:R9"/>
    <mergeCell ref="S8:S9"/>
    <mergeCell ref="M4:N4"/>
    <mergeCell ref="O4:P4"/>
    <mergeCell ref="B7:B9"/>
    <mergeCell ref="C7:C9"/>
    <mergeCell ref="D7:D9"/>
    <mergeCell ref="A5:B5"/>
    <mergeCell ref="A6:B6"/>
  </mergeCell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V106"/>
  <sheetViews>
    <sheetView zoomScale="85" zoomScaleNormal="85" workbookViewId="0">
      <pane xSplit="2" ySplit="9" topLeftCell="C97" activePane="bottomRight" state="frozen"/>
      <selection pane="topRight" activeCell="C1" sqref="C1"/>
      <selection pane="bottomLeft" activeCell="A10" sqref="A10"/>
      <selection pane="bottomRight" activeCell="M10" sqref="M10:M106"/>
    </sheetView>
  </sheetViews>
  <sheetFormatPr defaultColWidth="9" defaultRowHeight="24.75" customHeight="1"/>
  <cols>
    <col min="1" max="1" width="13.6640625" style="2" bestFit="1" customWidth="1"/>
    <col min="2" max="2" width="7" style="2" customWidth="1"/>
    <col min="3" max="3" width="11.109375" style="2" customWidth="1"/>
    <col min="4" max="4" width="7.88671875" style="2" customWidth="1"/>
    <col min="5" max="5" width="8.109375" style="2" bestFit="1" customWidth="1"/>
    <col min="6" max="6" width="7.88671875" style="2" bestFit="1" customWidth="1"/>
    <col min="7" max="8" width="7.77734375" style="2" customWidth="1"/>
    <col min="9" max="9" width="7.6640625" style="2" customWidth="1"/>
    <col min="10" max="11" width="5.88671875" style="2" customWidth="1"/>
    <col min="12" max="12" width="7.77734375" style="2" customWidth="1"/>
    <col min="13" max="13" width="10.33203125" style="2" customWidth="1"/>
    <col min="14" max="14" width="10.109375" style="2" bestFit="1" customWidth="1"/>
    <col min="15" max="15" width="8.77734375" style="2" bestFit="1" customWidth="1"/>
    <col min="16" max="16" width="8.109375" style="2" bestFit="1" customWidth="1"/>
    <col min="17" max="17" width="6.88671875" style="2" bestFit="1" customWidth="1"/>
    <col min="18" max="18" width="5" style="2" customWidth="1"/>
    <col min="19" max="19" width="8.33203125" style="2" customWidth="1"/>
    <col min="20" max="20" width="8.109375" style="2" bestFit="1" customWidth="1"/>
    <col min="21" max="21" width="6.77734375" style="2" customWidth="1"/>
    <col min="22" max="16384" width="9" style="2"/>
  </cols>
  <sheetData>
    <row r="1" spans="1:22" ht="24.75" customHeight="1">
      <c r="A1" s="90" t="s">
        <v>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</row>
    <row r="2" spans="1:22" ht="24.75" customHeight="1">
      <c r="A2" s="90" t="s">
        <v>65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</row>
    <row r="3" spans="1:22" ht="24.75" customHeight="1">
      <c r="A3" s="91" t="s">
        <v>10</v>
      </c>
      <c r="B3" s="92">
        <v>4.5</v>
      </c>
      <c r="C3" s="93" t="s">
        <v>11</v>
      </c>
      <c r="D3" s="38"/>
      <c r="E3" s="116" t="s">
        <v>12</v>
      </c>
      <c r="F3" s="95"/>
      <c r="G3" s="95"/>
      <c r="H3" s="96"/>
      <c r="I3" s="93" t="s">
        <v>13</v>
      </c>
      <c r="J3" s="93"/>
      <c r="K3" s="93"/>
      <c r="L3" s="93"/>
      <c r="M3" s="95"/>
      <c r="N3" s="96"/>
      <c r="O3" s="113" t="s">
        <v>15</v>
      </c>
      <c r="P3" s="113"/>
      <c r="Q3" s="115" t="e">
        <f>((F103+F105)*240)+((G103+G105)*180)</f>
        <v>#REF!</v>
      </c>
      <c r="R3" s="115"/>
      <c r="S3" s="7" t="s">
        <v>16</v>
      </c>
    </row>
    <row r="4" spans="1:22" ht="24.75" customHeight="1">
      <c r="A4" s="91"/>
      <c r="B4" s="92"/>
      <c r="C4" s="93"/>
      <c r="D4" s="38"/>
      <c r="E4" s="114">
        <v>0.25</v>
      </c>
      <c r="F4" s="97"/>
      <c r="G4" s="97"/>
      <c r="H4" s="98"/>
      <c r="I4" s="94">
        <v>0.4</v>
      </c>
      <c r="J4" s="94"/>
      <c r="K4" s="94"/>
      <c r="L4" s="94"/>
      <c r="M4" s="97">
        <v>0.35</v>
      </c>
      <c r="N4" s="98"/>
      <c r="O4" s="113" t="s">
        <v>17</v>
      </c>
      <c r="P4" s="113"/>
      <c r="Q4" s="115">
        <f>((I103+L103+I104+L104+I105+L105)*660)+((J103+J105+J104)*530)</f>
        <v>34320</v>
      </c>
      <c r="R4" s="115"/>
      <c r="S4" s="7" t="s">
        <v>16</v>
      </c>
    </row>
    <row r="5" spans="1:22" ht="24.75" customHeight="1">
      <c r="A5" s="99" t="s">
        <v>18</v>
      </c>
      <c r="B5" s="99"/>
      <c r="C5" s="41">
        <f>(ต.ค!C5+พย!C5+ธค!C5+มค!C5+กพ!C5+มีค!C5)/6</f>
        <v>5</v>
      </c>
      <c r="D5" s="30"/>
      <c r="E5" s="35" t="s">
        <v>19</v>
      </c>
      <c r="F5" s="114" t="s">
        <v>20</v>
      </c>
      <c r="G5" s="97"/>
      <c r="H5" s="97"/>
      <c r="I5" s="97"/>
      <c r="J5" s="97"/>
      <c r="K5" s="97"/>
      <c r="L5" s="97"/>
      <c r="M5" s="26">
        <f>ต.ค!M5+พย!M5+ธค!M5+มค!M5+กพ!M5+มีค!M5</f>
        <v>39</v>
      </c>
      <c r="N5" s="34" t="s">
        <v>21</v>
      </c>
      <c r="O5" s="113"/>
      <c r="P5" s="113"/>
      <c r="Q5" s="115"/>
      <c r="R5" s="115"/>
      <c r="S5" s="7"/>
    </row>
    <row r="6" spans="1:22" ht="24.75" customHeight="1">
      <c r="A6" s="99" t="s">
        <v>23</v>
      </c>
      <c r="B6" s="99"/>
      <c r="C6" s="105">
        <f>((C106*12)/(M5*7)+((D106*12)/(M5*7)))</f>
        <v>32.673992673992672</v>
      </c>
      <c r="D6" s="106"/>
      <c r="E6" s="35" t="s">
        <v>19</v>
      </c>
      <c r="F6" s="80" t="s">
        <v>24</v>
      </c>
      <c r="G6" s="81"/>
      <c r="H6" s="82"/>
      <c r="I6" s="77">
        <f>C5-C6</f>
        <v>-27.673992673992672</v>
      </c>
      <c r="J6" s="78"/>
      <c r="K6" s="79"/>
      <c r="L6" s="39" t="s">
        <v>19</v>
      </c>
      <c r="M6" s="36" t="s">
        <v>25</v>
      </c>
      <c r="N6" s="27" t="e">
        <f>((((C106*4.5)+(D106*12))/((F106+G106+H106+I106+J106+K106+L106)*7)))*100</f>
        <v>#REF!</v>
      </c>
      <c r="O6" s="71" t="s">
        <v>26</v>
      </c>
      <c r="P6" s="71"/>
      <c r="Q6" s="71"/>
      <c r="R6" s="72" t="e">
        <f>U106</f>
        <v>#REF!</v>
      </c>
      <c r="S6" s="73"/>
    </row>
    <row r="7" spans="1:22" ht="24.75" customHeight="1">
      <c r="A7" s="65" t="s">
        <v>27</v>
      </c>
      <c r="B7" s="65" t="s">
        <v>28</v>
      </c>
      <c r="C7" s="100" t="s">
        <v>77</v>
      </c>
      <c r="D7" s="100" t="s">
        <v>78</v>
      </c>
      <c r="E7" s="65" t="s">
        <v>30</v>
      </c>
      <c r="F7" s="91" t="s">
        <v>31</v>
      </c>
      <c r="G7" s="91"/>
      <c r="H7" s="91"/>
      <c r="I7" s="91"/>
      <c r="J7" s="91"/>
      <c r="K7" s="91"/>
      <c r="L7" s="65" t="s">
        <v>32</v>
      </c>
      <c r="M7" s="65" t="s">
        <v>33</v>
      </c>
      <c r="N7" s="65" t="s">
        <v>25</v>
      </c>
      <c r="O7" s="87" t="s">
        <v>34</v>
      </c>
      <c r="P7" s="87"/>
      <c r="Q7" s="87"/>
      <c r="R7" s="87"/>
      <c r="S7" s="87"/>
      <c r="T7" s="124" t="s">
        <v>35</v>
      </c>
      <c r="U7" s="125" t="s">
        <v>26</v>
      </c>
    </row>
    <row r="8" spans="1:22" ht="24.75" customHeight="1">
      <c r="A8" s="66"/>
      <c r="B8" s="66"/>
      <c r="C8" s="101"/>
      <c r="D8" s="101"/>
      <c r="E8" s="66"/>
      <c r="F8" s="120" t="s">
        <v>37</v>
      </c>
      <c r="G8" s="121"/>
      <c r="H8" s="122"/>
      <c r="I8" s="123" t="s">
        <v>38</v>
      </c>
      <c r="J8" s="123"/>
      <c r="K8" s="123"/>
      <c r="L8" s="66"/>
      <c r="M8" s="66"/>
      <c r="N8" s="66"/>
      <c r="O8" s="88">
        <v>1</v>
      </c>
      <c r="P8" s="88">
        <v>2</v>
      </c>
      <c r="Q8" s="88">
        <v>3</v>
      </c>
      <c r="R8" s="88">
        <v>4</v>
      </c>
      <c r="S8" s="88">
        <v>5</v>
      </c>
      <c r="T8" s="124"/>
      <c r="U8" s="125"/>
    </row>
    <row r="9" spans="1:22" ht="24.75" customHeight="1">
      <c r="A9" s="67"/>
      <c r="B9" s="67"/>
      <c r="C9" s="102"/>
      <c r="D9" s="102"/>
      <c r="E9" s="67"/>
      <c r="F9" s="24" t="s">
        <v>39</v>
      </c>
      <c r="G9" s="24" t="s">
        <v>40</v>
      </c>
      <c r="H9" s="24" t="s">
        <v>76</v>
      </c>
      <c r="I9" s="57" t="s">
        <v>39</v>
      </c>
      <c r="J9" s="57" t="s">
        <v>40</v>
      </c>
      <c r="K9" s="57" t="s">
        <v>76</v>
      </c>
      <c r="L9" s="67"/>
      <c r="M9" s="67"/>
      <c r="N9" s="67"/>
      <c r="O9" s="89"/>
      <c r="P9" s="89"/>
      <c r="Q9" s="89"/>
      <c r="R9" s="89"/>
      <c r="S9" s="89"/>
      <c r="T9" s="124"/>
      <c r="U9" s="125"/>
    </row>
    <row r="10" spans="1:22" ht="24.75" customHeight="1">
      <c r="A10" s="87">
        <v>1</v>
      </c>
      <c r="B10" s="7" t="s">
        <v>12</v>
      </c>
      <c r="C10" s="26">
        <f>ต.ค!C10+พย!C10+ธค!C10+มค!C10+กพ!C10+มีค!C10</f>
        <v>24</v>
      </c>
      <c r="D10" s="26">
        <f>ต.ค!D10+พย!D10+ธค!D10+มค!D10+กพ!D10+มีค!D10</f>
        <v>13</v>
      </c>
      <c r="E10" s="4">
        <f>((($B$3*C10)+(12*D10))*$E$4)/7</f>
        <v>9.4285714285714288</v>
      </c>
      <c r="F10" s="26">
        <f>ต.ค!F10+พย!F10+ธค!F10+มค!F10+กพ!F10+มีค!F10</f>
        <v>8</v>
      </c>
      <c r="G10" s="26">
        <f>ต.ค!G10+พย!G10+ธค!G10+มค!G10+กพ!G10+มีค!G10</f>
        <v>0</v>
      </c>
      <c r="H10" s="26">
        <f>ต.ค!H10+พย!H10+ธค!H10+มค!H10+กพ!H10+มีค!H10</f>
        <v>0</v>
      </c>
      <c r="I10" s="26">
        <f>ต.ค!I10+พย!I10+ธค!I10+มค!I10+กพ!I10+มีค!I10</f>
        <v>1</v>
      </c>
      <c r="J10" s="26">
        <f>ต.ค!J10+พย!J10+ธค!J10+มค!J10+กพ!J10+มีค!J10</f>
        <v>0</v>
      </c>
      <c r="K10" s="26">
        <f>ต.ค!K10+พย!K10+ธค!K10+มค!K10+กพ!K10+มีค!K10</f>
        <v>0</v>
      </c>
      <c r="L10" s="26">
        <f>ต.ค!L10+พย!L10+ธค!L10+มค!L10+กพ!L10+มีค!L10</f>
        <v>0</v>
      </c>
      <c r="M10" s="5">
        <f>(F10+G10+H10+L10)-E10</f>
        <v>-1.4285714285714288</v>
      </c>
      <c r="N10" s="28">
        <f>(((C10*4.5)+(12*D10))*$E$4)/((F10+G10+H10+I10+J10+K10+L10)*7)*100</f>
        <v>104.76190476190477</v>
      </c>
      <c r="O10" s="26">
        <f>ต.ค!O10+พย!O10+ธค!O10+มค!O10+กพ!O10+มีค!O10</f>
        <v>0</v>
      </c>
      <c r="P10" s="26">
        <f>ต.ค!P10+พย!P10+ธค!P10+มค!P10+กพ!P10+มีค!P10</f>
        <v>0</v>
      </c>
      <c r="Q10" s="26">
        <f>ต.ค!Q10+พย!Q10+ธค!Q10+มค!Q10+กพ!Q10+มีค!Q10</f>
        <v>28</v>
      </c>
      <c r="R10" s="26">
        <f>ต.ค!R10+พย!R10+ธค!R10+มค!R10+กพ!R10+มีค!R10</f>
        <v>3</v>
      </c>
      <c r="S10" s="26">
        <f>ต.ค!S10+พย!S10+ธค!S10+มค!S10+กพ!S10+มีค!S10</f>
        <v>6</v>
      </c>
      <c r="T10" s="37">
        <f t="shared" ref="T10:T73" si="0">SUM(O10:S10)</f>
        <v>37</v>
      </c>
      <c r="U10" s="28">
        <f>((((O10*1.5+(P10*3.5)+(Q10*5.5)+(R10*7.5)+(S10*12)))/3)/((F10+G10+H10+I10+J10+K10+L10)*7))*100</f>
        <v>131.48148148148147</v>
      </c>
      <c r="V10" s="59">
        <f t="shared" ref="V10:V73" si="1">C10+D10-T10</f>
        <v>0</v>
      </c>
    </row>
    <row r="11" spans="1:22" ht="24.75" customHeight="1">
      <c r="A11" s="87"/>
      <c r="B11" s="7" t="s">
        <v>13</v>
      </c>
      <c r="C11" s="26">
        <f>ต.ค!C11+พย!C11+ธค!C11+มค!C11+กพ!C11+มีค!C11</f>
        <v>28</v>
      </c>
      <c r="D11" s="26">
        <f>ต.ค!D11+พย!D11+ธค!D11+มค!D11+กพ!D11+มีค!D11</f>
        <v>13</v>
      </c>
      <c r="E11" s="4">
        <f t="shared" ref="E11:E74" si="2">((($B$3*C11)+(12*D11))*$E$4)/7</f>
        <v>10.071428571428571</v>
      </c>
      <c r="F11" s="26">
        <f>ต.ค!F11+พย!F11+ธค!F11+มค!F11+กพ!F11+มีค!F11</f>
        <v>9</v>
      </c>
      <c r="G11" s="26">
        <f>ต.ค!G11+พย!G11+ธค!G11+มค!G11+กพ!G11+มีค!G11</f>
        <v>0</v>
      </c>
      <c r="H11" s="26">
        <f>ต.ค!H11+พย!H11+ธค!H11+มค!H11+กพ!H11+มีค!H11</f>
        <v>0</v>
      </c>
      <c r="I11" s="26">
        <f>ต.ค!I11+พย!I11+ธค!I11+มค!I11+กพ!I11+มีค!I11</f>
        <v>0</v>
      </c>
      <c r="J11" s="26">
        <f>ต.ค!J11+พย!J11+ธค!J11+มค!J11+กพ!J11+มีค!J11</f>
        <v>0</v>
      </c>
      <c r="K11" s="26">
        <f>ต.ค!K11+พย!K11+ธค!K11+มค!K11+กพ!K11+มีค!K11</f>
        <v>2</v>
      </c>
      <c r="L11" s="26">
        <f>ต.ค!L11+พย!L11+ธค!L11+มค!L11+กพ!L11+มีค!L11</f>
        <v>0</v>
      </c>
      <c r="M11" s="5">
        <f t="shared" ref="M11:M74" si="3">(F11+G11+H11+L11)-E11</f>
        <v>-1.0714285714285712</v>
      </c>
      <c r="N11" s="28">
        <f t="shared" ref="N11:N74" si="4">(((C11*4.5)+(12*D11))*$E$4)/((F11+G11+H11+I11+J11+K11+L11)*7)*100</f>
        <v>91.558441558441558</v>
      </c>
      <c r="O11" s="26">
        <f>ต.ค!O11+พย!O11+ธค!O11+มค!O11+กพ!O11+มีค!O11</f>
        <v>0</v>
      </c>
      <c r="P11" s="26">
        <f>ต.ค!P11+พย!P11+ธค!P11+มค!P11+กพ!P11+มีค!P11</f>
        <v>2</v>
      </c>
      <c r="Q11" s="26">
        <f>ต.ค!Q11+พย!Q11+ธค!Q11+มค!Q11+กพ!Q11+มีค!Q11</f>
        <v>27</v>
      </c>
      <c r="R11" s="26">
        <f>ต.ค!R11+พย!R11+ธค!R11+มค!R11+กพ!R11+มีค!R11</f>
        <v>3</v>
      </c>
      <c r="S11" s="26">
        <f>ต.ค!S11+พย!S11+ธค!S11+มค!S11+กพ!S11+มีค!S11</f>
        <v>7</v>
      </c>
      <c r="T11" s="37">
        <f t="shared" si="0"/>
        <v>39</v>
      </c>
      <c r="U11" s="28">
        <f t="shared" ref="U11:U74" si="5">((((O11*1.5+(P11*3.5)+(Q11*5.5)+(R11*7.5)+(S11*12)))/3)/((F11+G11+H11+I11+J11+K11+L11)*7))*100</f>
        <v>113.41991341991343</v>
      </c>
      <c r="V11" s="59">
        <f t="shared" si="1"/>
        <v>2</v>
      </c>
    </row>
    <row r="12" spans="1:22" ht="24.75" customHeight="1">
      <c r="A12" s="87"/>
      <c r="B12" s="7" t="s">
        <v>14</v>
      </c>
      <c r="C12" s="26">
        <f>ต.ค!C12+พย!C12+ธค!C12+มค!C12+กพ!C12+มีค!C12</f>
        <v>26</v>
      </c>
      <c r="D12" s="26">
        <f>ต.ค!D12+พย!D12+ธค!D12+มค!D12+กพ!D12+มีค!D12</f>
        <v>12</v>
      </c>
      <c r="E12" s="4">
        <f t="shared" si="2"/>
        <v>9.3214285714285712</v>
      </c>
      <c r="F12" s="26">
        <f>ต.ค!F12+พย!F12+ธค!F12+มค!F12+กพ!F12+มีค!F12</f>
        <v>8</v>
      </c>
      <c r="G12" s="26">
        <f>ต.ค!G12+พย!G12+ธค!G12+มค!G12+กพ!G12+มีค!G12</f>
        <v>0</v>
      </c>
      <c r="H12" s="26">
        <f>ต.ค!H12+พย!H12+ธค!H12+มค!H12+กพ!H12+มีค!H12</f>
        <v>0</v>
      </c>
      <c r="I12" s="26">
        <f>ต.ค!I12+พย!I12+ธค!I12+มค!I12+กพ!I12+มีค!I12</f>
        <v>1</v>
      </c>
      <c r="J12" s="26">
        <f>ต.ค!J12+พย!J12+ธค!J12+มค!J12+กพ!J12+มีค!J12</f>
        <v>0</v>
      </c>
      <c r="K12" s="26">
        <f>ต.ค!K12+พย!K12+ธค!K12+มค!K12+กพ!K12+มีค!K12</f>
        <v>0</v>
      </c>
      <c r="L12" s="26">
        <f>ต.ค!L12+พย!L12+ธค!L12+มค!L12+กพ!L12+มีค!L12</f>
        <v>0</v>
      </c>
      <c r="M12" s="5">
        <f t="shared" si="3"/>
        <v>-1.3214285714285712</v>
      </c>
      <c r="N12" s="28">
        <f t="shared" si="4"/>
        <v>103.57142857142858</v>
      </c>
      <c r="O12" s="26">
        <f>ต.ค!O12+พย!O12+ธค!O12+มค!O12+กพ!O12+มีค!O12</f>
        <v>0</v>
      </c>
      <c r="P12" s="26">
        <f>ต.ค!P12+พย!P12+ธค!P12+มค!P12+กพ!P12+มีค!P12</f>
        <v>0</v>
      </c>
      <c r="Q12" s="26">
        <f>ต.ค!Q12+พย!Q12+ธค!Q12+มค!Q12+กพ!Q12+มีค!Q12</f>
        <v>28</v>
      </c>
      <c r="R12" s="26">
        <f>ต.ค!R12+พย!R12+ธค!R12+มค!R12+กพ!R12+มีค!R12</f>
        <v>3</v>
      </c>
      <c r="S12" s="26">
        <f>ต.ค!S12+พย!S12+ธค!S12+มค!S12+กพ!S12+มีค!S12</f>
        <v>7</v>
      </c>
      <c r="T12" s="37">
        <f t="shared" si="0"/>
        <v>38</v>
      </c>
      <c r="U12" s="28">
        <f t="shared" si="5"/>
        <v>137.83068783068782</v>
      </c>
      <c r="V12" s="59">
        <f t="shared" si="1"/>
        <v>0</v>
      </c>
    </row>
    <row r="13" spans="1:22" ht="24.75" customHeight="1">
      <c r="A13" s="87">
        <v>2</v>
      </c>
      <c r="B13" s="7" t="s">
        <v>12</v>
      </c>
      <c r="C13" s="26">
        <f>ต.ค!C13+พย!C13+ธค!C13+มค!C13+กพ!C13+มีค!C13</f>
        <v>28</v>
      </c>
      <c r="D13" s="26">
        <f>ต.ค!D13+พย!D13+ธค!D13+มค!D13+กพ!D13+มีค!D13</f>
        <v>12</v>
      </c>
      <c r="E13" s="4">
        <f t="shared" si="2"/>
        <v>9.6428571428571423</v>
      </c>
      <c r="F13" s="26">
        <f>ต.ค!F13+พย!F13+ธค!F13+มค!F13+กพ!F13+มีค!F13</f>
        <v>8</v>
      </c>
      <c r="G13" s="26">
        <f>ต.ค!G13+พย!G13+ธค!G13+มค!G13+กพ!G13+มีค!G13</f>
        <v>0</v>
      </c>
      <c r="H13" s="26">
        <f>ต.ค!H13+พย!H13+ธค!H13+มค!H13+กพ!H13+มีค!H13</f>
        <v>0</v>
      </c>
      <c r="I13" s="26">
        <f>ต.ค!I13+พย!I13+ธค!I13+มค!I13+กพ!I13+มีค!I13</f>
        <v>1</v>
      </c>
      <c r="J13" s="26">
        <f>ต.ค!J13+พย!J13+ธค!J13+มค!J13+กพ!J13+มีค!J13</f>
        <v>0</v>
      </c>
      <c r="K13" s="26">
        <f>ต.ค!K13+พย!K13+ธค!K13+มค!K13+กพ!K13+มีค!K13</f>
        <v>0</v>
      </c>
      <c r="L13" s="26">
        <f>ต.ค!L13+พย!L13+ธค!L13+มค!L13+กพ!L13+มีค!L13</f>
        <v>0</v>
      </c>
      <c r="M13" s="5">
        <f t="shared" si="3"/>
        <v>-1.6428571428571423</v>
      </c>
      <c r="N13" s="28">
        <f t="shared" si="4"/>
        <v>107.14285714285714</v>
      </c>
      <c r="O13" s="26">
        <f>ต.ค!O13+พย!O13+ธค!O13+มค!O13+กพ!O13+มีค!O13</f>
        <v>0</v>
      </c>
      <c r="P13" s="26">
        <f>ต.ค!P13+พย!P13+ธค!P13+มค!P13+กพ!P13+มีค!P13</f>
        <v>0</v>
      </c>
      <c r="Q13" s="26">
        <f>ต.ค!Q13+พย!Q13+ธค!Q13+มค!Q13+กพ!Q13+มีค!Q13</f>
        <v>30</v>
      </c>
      <c r="R13" s="26">
        <f>ต.ค!R13+พย!R13+ธค!R13+มค!R13+กพ!R13+มีค!R13</f>
        <v>3</v>
      </c>
      <c r="S13" s="26">
        <f>ต.ค!S13+พย!S13+ธค!S13+มค!S13+กพ!S13+มีค!S13</f>
        <v>7</v>
      </c>
      <c r="T13" s="37">
        <f t="shared" si="0"/>
        <v>40</v>
      </c>
      <c r="U13" s="28">
        <f t="shared" si="5"/>
        <v>143.65079365079364</v>
      </c>
      <c r="V13" s="59">
        <f t="shared" si="1"/>
        <v>0</v>
      </c>
    </row>
    <row r="14" spans="1:22" ht="24.75" customHeight="1">
      <c r="A14" s="87"/>
      <c r="B14" s="7" t="s">
        <v>13</v>
      </c>
      <c r="C14" s="26">
        <f>ต.ค!C14+พย!C14+ธค!C14+มค!C14+กพ!C14+มีค!C14</f>
        <v>26</v>
      </c>
      <c r="D14" s="26">
        <f>ต.ค!D14+พย!D14+ธค!D14+มค!D14+กพ!D14+มีค!D14</f>
        <v>12</v>
      </c>
      <c r="E14" s="4">
        <f t="shared" si="2"/>
        <v>9.3214285714285712</v>
      </c>
      <c r="F14" s="26">
        <f>ต.ค!F14+พย!F14+ธค!F14+มค!F14+กพ!F14+มีค!F14</f>
        <v>6</v>
      </c>
      <c r="G14" s="26">
        <f>ต.ค!G14+พย!G14+ธค!G14+มค!G14+กพ!G14+มีค!G14</f>
        <v>0</v>
      </c>
      <c r="H14" s="26">
        <f>ต.ค!H14+พย!H14+ธค!H14+มค!H14+กพ!H14+มีค!H14</f>
        <v>1</v>
      </c>
      <c r="I14" s="26">
        <f>ต.ค!I14+พย!I14+ธค!I14+มค!I14+กพ!I14+มีค!I14</f>
        <v>3</v>
      </c>
      <c r="J14" s="26">
        <f>ต.ค!J14+พย!J14+ธค!J14+มค!J14+กพ!J14+มีค!J14</f>
        <v>0</v>
      </c>
      <c r="K14" s="26">
        <f>ต.ค!K14+พย!K14+ธค!K14+มค!K14+กพ!K14+มีค!K14</f>
        <v>1</v>
      </c>
      <c r="L14" s="26">
        <f>ต.ค!L14+พย!L14+ธค!L14+มค!L14+กพ!L14+มีค!L14</f>
        <v>0</v>
      </c>
      <c r="M14" s="5">
        <f t="shared" si="3"/>
        <v>-2.3214285714285712</v>
      </c>
      <c r="N14" s="28">
        <f t="shared" si="4"/>
        <v>84.740259740259745</v>
      </c>
      <c r="O14" s="26">
        <f>ต.ค!O14+พย!O14+ธค!O14+มค!O14+กพ!O14+มีค!O14</f>
        <v>0</v>
      </c>
      <c r="P14" s="26">
        <f>ต.ค!P14+พย!P14+ธค!P14+มค!P14+กพ!P14+มีค!P14</f>
        <v>3</v>
      </c>
      <c r="Q14" s="26">
        <f>ต.ค!Q14+พย!Q14+ธค!Q14+มค!Q14+กพ!Q14+มีค!Q14</f>
        <v>25</v>
      </c>
      <c r="R14" s="26">
        <f>ต.ค!R14+พย!R14+ธค!R14+มค!R14+กพ!R14+มีค!R14</f>
        <v>2</v>
      </c>
      <c r="S14" s="26">
        <f>ต.ค!S14+พย!S14+ธค!S14+มค!S14+กพ!S14+มีค!S14</f>
        <v>8</v>
      </c>
      <c r="T14" s="37">
        <f t="shared" si="0"/>
        <v>38</v>
      </c>
      <c r="U14" s="28">
        <f t="shared" si="5"/>
        <v>112.12121212121211</v>
      </c>
      <c r="V14" s="59">
        <f t="shared" si="1"/>
        <v>0</v>
      </c>
    </row>
    <row r="15" spans="1:22" ht="24.75" customHeight="1">
      <c r="A15" s="87"/>
      <c r="B15" s="7" t="s">
        <v>14</v>
      </c>
      <c r="C15" s="26">
        <f>ต.ค!C15+พย!C15+ธค!C15+มค!C15+กพ!C15+มีค!C15</f>
        <v>18</v>
      </c>
      <c r="D15" s="26">
        <f>ต.ค!D15+พย!D15+ธค!D15+มค!D15+กพ!D15+มีค!D15</f>
        <v>8</v>
      </c>
      <c r="E15" s="4">
        <f t="shared" si="2"/>
        <v>6.3214285714285712</v>
      </c>
      <c r="F15" s="26">
        <f>ต.ค!F15+พย!F15+ธค!F15+มค!F15+กพ!F15+มีค!F15</f>
        <v>6</v>
      </c>
      <c r="G15" s="26">
        <f>ต.ค!G15+พย!G15+ธค!G15+มค!G15+กพ!G15+มีค!G15</f>
        <v>0</v>
      </c>
      <c r="H15" s="26">
        <f>ต.ค!H15+พย!H15+ธค!H15+มค!H15+กพ!H15+มีค!H15</f>
        <v>0</v>
      </c>
      <c r="I15" s="26">
        <f>ต.ค!I15+พย!I15+ธค!I15+มค!I15+กพ!I15+มีค!I15</f>
        <v>0</v>
      </c>
      <c r="J15" s="26">
        <f>ต.ค!J15+พย!J15+ธค!J15+มค!J15+กพ!J15+มีค!J15</f>
        <v>0</v>
      </c>
      <c r="K15" s="26">
        <f>ต.ค!K15+พย!K15+ธค!K15+มค!K15+กพ!K15+มีค!K15</f>
        <v>0</v>
      </c>
      <c r="L15" s="26">
        <f>ต.ค!L15+พย!L15+ธค!L15+มค!L15+กพ!L15+มีค!L15</f>
        <v>0</v>
      </c>
      <c r="M15" s="5">
        <f t="shared" si="3"/>
        <v>-0.32142857142857117</v>
      </c>
      <c r="N15" s="28">
        <f t="shared" si="4"/>
        <v>105.35714285714286</v>
      </c>
      <c r="O15" s="26">
        <f>ต.ค!O15+พย!O15+ธค!O15+มค!O15+กพ!O15+มีค!O15</f>
        <v>0</v>
      </c>
      <c r="P15" s="26">
        <f>ต.ค!P15+พย!P15+ธค!P15+มค!P15+กพ!P15+มีค!P15</f>
        <v>0</v>
      </c>
      <c r="Q15" s="26">
        <f>ต.ค!Q15+พย!Q15+ธค!Q15+มค!Q15+กพ!Q15+มีค!Q15</f>
        <v>19</v>
      </c>
      <c r="R15" s="26">
        <f>ต.ค!R15+พย!R15+ธค!R15+มค!R15+กพ!R15+มีค!R15</f>
        <v>1</v>
      </c>
      <c r="S15" s="26">
        <f>ต.ค!S15+พย!S15+ธค!S15+มค!S15+กพ!S15+มีค!S15</f>
        <v>6</v>
      </c>
      <c r="T15" s="37">
        <f t="shared" si="0"/>
        <v>26</v>
      </c>
      <c r="U15" s="28">
        <f t="shared" si="5"/>
        <v>146.03174603174605</v>
      </c>
      <c r="V15" s="59">
        <f t="shared" si="1"/>
        <v>0</v>
      </c>
    </row>
    <row r="16" spans="1:22" ht="24.75" customHeight="1">
      <c r="A16" s="87">
        <v>3</v>
      </c>
      <c r="B16" s="7" t="s">
        <v>12</v>
      </c>
      <c r="C16" s="26">
        <f>ต.ค!C16+พย!C16+ธค!C16+มค!C16+กพ!C16+มีค!C16</f>
        <v>18</v>
      </c>
      <c r="D16" s="26">
        <f>ต.ค!D16+พย!D16+ธค!D16+มค!D16+กพ!D16+มีค!D16</f>
        <v>8</v>
      </c>
      <c r="E16" s="4">
        <f t="shared" si="2"/>
        <v>6.3214285714285712</v>
      </c>
      <c r="F16" s="26">
        <f>ต.ค!F16+พย!F16+ธค!F16+มค!F16+กพ!F16+มีค!F16</f>
        <v>5</v>
      </c>
      <c r="G16" s="26">
        <f>ต.ค!G16+พย!G16+ธค!G16+มค!G16+กพ!G16+มีค!G16</f>
        <v>0</v>
      </c>
      <c r="H16" s="26">
        <f>ต.ค!H16+พย!H16+ธค!H16+มค!H16+กพ!H16+มีค!H16</f>
        <v>0</v>
      </c>
      <c r="I16" s="26">
        <f>ต.ค!I16+พย!I16+ธค!I16+มค!I16+กพ!I16+มีค!I16</f>
        <v>1</v>
      </c>
      <c r="J16" s="26">
        <f>ต.ค!J16+พย!J16+ธค!J16+มค!J16+กพ!J16+มีค!J16</f>
        <v>0</v>
      </c>
      <c r="K16" s="26">
        <f>ต.ค!K16+พย!K16+ธค!K16+มค!K16+กพ!K16+มีค!K16</f>
        <v>0</v>
      </c>
      <c r="L16" s="26">
        <f>ต.ค!L16+พย!L16+ธค!L16+มค!L16+กพ!L16+มีค!L16</f>
        <v>0</v>
      </c>
      <c r="M16" s="5">
        <f t="shared" si="3"/>
        <v>-1.3214285714285712</v>
      </c>
      <c r="N16" s="28">
        <f t="shared" si="4"/>
        <v>105.35714285714286</v>
      </c>
      <c r="O16" s="26">
        <f>ต.ค!O16+พย!O16+ธค!O16+มค!O16+กพ!O16+มีค!O16</f>
        <v>0</v>
      </c>
      <c r="P16" s="26">
        <f>ต.ค!P16+พย!P16+ธค!P16+มค!P16+กพ!P16+มีค!P16</f>
        <v>0</v>
      </c>
      <c r="Q16" s="26">
        <f>ต.ค!Q16+พย!Q16+ธค!Q16+มค!Q16+กพ!Q16+มีค!Q16</f>
        <v>20</v>
      </c>
      <c r="R16" s="26">
        <f>ต.ค!R16+พย!R16+ธค!R16+มค!R16+กพ!R16+มีค!R16</f>
        <v>1</v>
      </c>
      <c r="S16" s="26">
        <f>ต.ค!S16+พย!S16+ธค!S16+มค!S16+กพ!S16+มีค!S16</f>
        <v>5</v>
      </c>
      <c r="T16" s="37">
        <f t="shared" si="0"/>
        <v>26</v>
      </c>
      <c r="U16" s="28">
        <f t="shared" si="5"/>
        <v>140.87301587301587</v>
      </c>
      <c r="V16" s="59">
        <f t="shared" si="1"/>
        <v>0</v>
      </c>
    </row>
    <row r="17" spans="1:22" ht="24.75" customHeight="1">
      <c r="A17" s="87"/>
      <c r="B17" s="7" t="s">
        <v>13</v>
      </c>
      <c r="C17" s="26">
        <f>ต.ค!C17+พย!C17+ธค!C17+มค!C17+กพ!C17+มีค!C17</f>
        <v>20</v>
      </c>
      <c r="D17" s="26">
        <f>ต.ค!D17+พย!D17+ธค!D17+มค!D17+กพ!D17+มีค!D17</f>
        <v>10</v>
      </c>
      <c r="E17" s="4">
        <f t="shared" si="2"/>
        <v>7.5</v>
      </c>
      <c r="F17" s="26">
        <f>ต.ค!F17+พย!F17+ธค!F17+มค!F17+กพ!F17+มีค!F17</f>
        <v>6</v>
      </c>
      <c r="G17" s="26">
        <f>ต.ค!G17+พย!G17+ธค!G17+มค!G17+กพ!G17+มีค!G17</f>
        <v>0</v>
      </c>
      <c r="H17" s="26">
        <f>ต.ค!H17+พย!H17+ธค!H17+มค!H17+กพ!H17+มีค!H17</f>
        <v>0</v>
      </c>
      <c r="I17" s="26">
        <f>ต.ค!I17+พย!I17+ธค!I17+มค!I17+กพ!I17+มีค!I17</f>
        <v>1</v>
      </c>
      <c r="J17" s="26">
        <f>ต.ค!J17+พย!J17+ธค!J17+มค!J17+กพ!J17+มีค!J17</f>
        <v>0</v>
      </c>
      <c r="K17" s="26">
        <f>ต.ค!K17+พย!K17+ธค!K17+มค!K17+กพ!K17+มีค!K17</f>
        <v>1</v>
      </c>
      <c r="L17" s="26">
        <f>ต.ค!L17+พย!L17+ธค!L17+มค!L17+กพ!L17+มีค!L17</f>
        <v>0</v>
      </c>
      <c r="M17" s="5">
        <f t="shared" si="3"/>
        <v>-1.5</v>
      </c>
      <c r="N17" s="28">
        <f t="shared" si="4"/>
        <v>93.75</v>
      </c>
      <c r="O17" s="26">
        <f>ต.ค!O17+พย!O17+ธค!O17+มค!O17+กพ!O17+มีค!O17</f>
        <v>0</v>
      </c>
      <c r="P17" s="26">
        <f>ต.ค!P17+พย!P17+ธค!P17+มค!P17+กพ!P17+มีค!P17</f>
        <v>5</v>
      </c>
      <c r="Q17" s="26">
        <f>ต.ค!Q17+พย!Q17+ธค!Q17+มค!Q17+กพ!Q17+มีค!Q17</f>
        <v>17</v>
      </c>
      <c r="R17" s="26">
        <f>ต.ค!R17+พย!R17+ธค!R17+มค!R17+กพ!R17+มีค!R17</f>
        <v>2</v>
      </c>
      <c r="S17" s="26">
        <f>ต.ค!S17+พย!S17+ธค!S17+มค!S17+กพ!S17+มีค!S17</f>
        <v>6</v>
      </c>
      <c r="T17" s="37">
        <f t="shared" si="0"/>
        <v>30</v>
      </c>
      <c r="U17" s="28">
        <f t="shared" si="5"/>
        <v>117.85714285714286</v>
      </c>
      <c r="V17" s="59">
        <f t="shared" si="1"/>
        <v>0</v>
      </c>
    </row>
    <row r="18" spans="1:22" ht="24.75" customHeight="1">
      <c r="A18" s="87"/>
      <c r="B18" s="7" t="s">
        <v>14</v>
      </c>
      <c r="C18" s="26">
        <f>ต.ค!C18+พย!C18+ธค!C18+มค!C18+กพ!C18+มีค!C18</f>
        <v>14</v>
      </c>
      <c r="D18" s="26">
        <f>ต.ค!D18+พย!D18+ธค!D18+มค!D18+กพ!D18+มีค!D18</f>
        <v>10</v>
      </c>
      <c r="E18" s="4">
        <f t="shared" si="2"/>
        <v>6.5357142857142856</v>
      </c>
      <c r="F18" s="26">
        <f>ต.ค!F18+พย!F18+ธค!F18+มค!F18+กพ!F18+มีค!F18</f>
        <v>5</v>
      </c>
      <c r="G18" s="26">
        <f>ต.ค!G18+พย!G18+ธค!G18+มค!G18+กพ!G18+มีค!G18</f>
        <v>0</v>
      </c>
      <c r="H18" s="26">
        <f>ต.ค!H18+พย!H18+ธค!H18+มค!H18+กพ!H18+มีค!H18</f>
        <v>1</v>
      </c>
      <c r="I18" s="26">
        <f>ต.ค!I18+พย!I18+ธค!I18+มค!I18+กพ!I18+มีค!I18</f>
        <v>1</v>
      </c>
      <c r="J18" s="26">
        <f>ต.ค!J18+พย!J18+ธค!J18+มค!J18+กพ!J18+มีค!J18</f>
        <v>0</v>
      </c>
      <c r="K18" s="26">
        <f>ต.ค!K18+พย!K18+ธค!K18+มค!K18+กพ!K18+มีค!K18</f>
        <v>0</v>
      </c>
      <c r="L18" s="26">
        <f>ต.ค!L18+พย!L18+ธค!L18+มค!L18+กพ!L18+มีค!L18</f>
        <v>0</v>
      </c>
      <c r="M18" s="5">
        <f t="shared" si="3"/>
        <v>-0.53571428571428559</v>
      </c>
      <c r="N18" s="28">
        <f t="shared" si="4"/>
        <v>93.367346938775512</v>
      </c>
      <c r="O18" s="26">
        <f>ต.ค!O18+พย!O18+ธค!O18+มค!O18+กพ!O18+มีค!O18</f>
        <v>0</v>
      </c>
      <c r="P18" s="26">
        <f>ต.ค!P18+พย!P18+ธค!P18+มค!P18+กพ!P18+มีค!P18</f>
        <v>0</v>
      </c>
      <c r="Q18" s="26">
        <f>ต.ค!Q18+พย!Q18+ธค!Q18+มค!Q18+กพ!Q18+มีค!Q18</f>
        <v>16</v>
      </c>
      <c r="R18" s="26">
        <f>ต.ค!R18+พย!R18+ธค!R18+มค!R18+กพ!R18+มีค!R18</f>
        <v>1</v>
      </c>
      <c r="S18" s="26">
        <f>ต.ค!S18+พย!S18+ธค!S18+มค!S18+กพ!S18+มีค!S18</f>
        <v>7</v>
      </c>
      <c r="T18" s="37">
        <f t="shared" si="0"/>
        <v>24</v>
      </c>
      <c r="U18" s="28">
        <f t="shared" si="5"/>
        <v>122.10884353741498</v>
      </c>
      <c r="V18" s="59">
        <f t="shared" si="1"/>
        <v>0</v>
      </c>
    </row>
    <row r="19" spans="1:22" ht="24.75" customHeight="1">
      <c r="A19" s="87">
        <v>4</v>
      </c>
      <c r="B19" s="7" t="s">
        <v>12</v>
      </c>
      <c r="C19" s="26">
        <f>ต.ค!C19+พย!C19+ธค!C19+มค!C19+กพ!C19+มีค!C19</f>
        <v>14</v>
      </c>
      <c r="D19" s="26">
        <f>ต.ค!D19+พย!D19+ธค!D19+มค!D19+กพ!D19+มีค!D19</f>
        <v>10</v>
      </c>
      <c r="E19" s="4">
        <f t="shared" si="2"/>
        <v>6.5357142857142856</v>
      </c>
      <c r="F19" s="26">
        <f>ต.ค!F19+พย!F19+ธค!F19+มค!F19+กพ!F19+มีค!F19</f>
        <v>6</v>
      </c>
      <c r="G19" s="26">
        <f>ต.ค!G19+พย!G19+ธค!G19+มค!G19+กพ!G19+มีค!G19</f>
        <v>0</v>
      </c>
      <c r="H19" s="26">
        <f>ต.ค!H19+พย!H19+ธค!H19+มค!H19+กพ!H19+มีค!H19</f>
        <v>0</v>
      </c>
      <c r="I19" s="26">
        <f>ต.ค!I19+พย!I19+ธค!I19+มค!I19+กพ!I19+มีค!I19</f>
        <v>0</v>
      </c>
      <c r="J19" s="26">
        <f>ต.ค!J19+พย!J19+ธค!J19+มค!J19+กพ!J19+มีค!J19</f>
        <v>0</v>
      </c>
      <c r="K19" s="26">
        <f>ต.ค!K19+พย!K19+ธค!K19+มค!K19+กพ!K19+มีค!K19</f>
        <v>0</v>
      </c>
      <c r="L19" s="26">
        <f>ต.ค!L19+พย!L19+ธค!L19+มค!L19+กพ!L19+มีค!L19</f>
        <v>0</v>
      </c>
      <c r="M19" s="5">
        <f t="shared" si="3"/>
        <v>-0.53571428571428559</v>
      </c>
      <c r="N19" s="28">
        <f t="shared" si="4"/>
        <v>108.92857142857142</v>
      </c>
      <c r="O19" s="26">
        <f>ต.ค!O19+พย!O19+ธค!O19+มค!O19+กพ!O19+มีค!O19</f>
        <v>0</v>
      </c>
      <c r="P19" s="26">
        <f>ต.ค!P19+พย!P19+ธค!P19+มค!P19+กพ!P19+มีค!P19</f>
        <v>0</v>
      </c>
      <c r="Q19" s="26">
        <f>ต.ค!Q19+พย!Q19+ธค!Q19+มค!Q19+กพ!Q19+มีค!Q19</f>
        <v>16</v>
      </c>
      <c r="R19" s="26">
        <f>ต.ค!R19+พย!R19+ธค!R19+มค!R19+กพ!R19+มีค!R19</f>
        <v>1</v>
      </c>
      <c r="S19" s="26">
        <f>ต.ค!S19+พย!S19+ธค!S19+มค!S19+กพ!S19+มีค!S19</f>
        <v>7</v>
      </c>
      <c r="T19" s="37">
        <f t="shared" si="0"/>
        <v>24</v>
      </c>
      <c r="U19" s="28">
        <f t="shared" si="5"/>
        <v>142.46031746031747</v>
      </c>
      <c r="V19" s="59">
        <f t="shared" si="1"/>
        <v>0</v>
      </c>
    </row>
    <row r="20" spans="1:22" ht="24.75" customHeight="1">
      <c r="A20" s="87"/>
      <c r="B20" s="7" t="s">
        <v>13</v>
      </c>
      <c r="C20" s="26">
        <f>ต.ค!C20+พย!C20+ธค!C20+มค!C20+กพ!C20+มีค!C20</f>
        <v>17</v>
      </c>
      <c r="D20" s="26">
        <f>ต.ค!D20+พย!D20+ธค!D20+มค!D20+กพ!D20+มีค!D20</f>
        <v>11</v>
      </c>
      <c r="E20" s="4">
        <f t="shared" si="2"/>
        <v>7.4464285714285712</v>
      </c>
      <c r="F20" s="26">
        <f>ต.ค!F20+พย!F20+ธค!F20+มค!F20+กพ!F20+มีค!F20</f>
        <v>3</v>
      </c>
      <c r="G20" s="26">
        <f>ต.ค!G20+พย!G20+ธค!G20+มค!G20+กพ!G20+มีค!G20</f>
        <v>0</v>
      </c>
      <c r="H20" s="26">
        <f>ต.ค!H20+พย!H20+ธค!H20+มค!H20+กพ!H20+มีค!H20</f>
        <v>0</v>
      </c>
      <c r="I20" s="26">
        <f>ต.ค!I20+พย!I20+ธค!I20+มค!I20+กพ!I20+มีค!I20</f>
        <v>3</v>
      </c>
      <c r="J20" s="26">
        <f>ต.ค!J20+พย!J20+ธค!J20+มค!J20+กพ!J20+มีค!J20</f>
        <v>0</v>
      </c>
      <c r="K20" s="26">
        <f>ต.ค!K20+พย!K20+ธค!K20+มค!K20+กพ!K20+มีค!K20</f>
        <v>2</v>
      </c>
      <c r="L20" s="26">
        <f>ต.ค!L20+พย!L20+ธค!L20+มค!L20+กพ!L20+มีค!L20</f>
        <v>0</v>
      </c>
      <c r="M20" s="5">
        <f t="shared" si="3"/>
        <v>-4.4464285714285712</v>
      </c>
      <c r="N20" s="28">
        <f t="shared" si="4"/>
        <v>93.080357142857139</v>
      </c>
      <c r="O20" s="26">
        <f>ต.ค!O20+พย!O20+ธค!O20+มค!O20+กพ!O20+มีค!O20</f>
        <v>0</v>
      </c>
      <c r="P20" s="26">
        <f>ต.ค!P20+พย!P20+ธค!P20+มค!P20+กพ!P20+มีค!P20</f>
        <v>4</v>
      </c>
      <c r="Q20" s="26">
        <f>ต.ค!Q20+พย!Q20+ธค!Q20+มค!Q20+กพ!Q20+มีค!Q20</f>
        <v>15</v>
      </c>
      <c r="R20" s="26">
        <f>ต.ค!R20+พย!R20+ธค!R20+มค!R20+กพ!R20+มีค!R20</f>
        <v>1</v>
      </c>
      <c r="S20" s="26">
        <f>ต.ค!S20+พย!S20+ธค!S20+มค!S20+กพ!S20+มีค!S20</f>
        <v>9</v>
      </c>
      <c r="T20" s="37">
        <f t="shared" si="0"/>
        <v>29</v>
      </c>
      <c r="U20" s="28">
        <f t="shared" si="5"/>
        <v>126.1904761904762</v>
      </c>
      <c r="V20" s="59">
        <f t="shared" si="1"/>
        <v>-1</v>
      </c>
    </row>
    <row r="21" spans="1:22" ht="24.75" customHeight="1">
      <c r="A21" s="87"/>
      <c r="B21" s="7" t="s">
        <v>14</v>
      </c>
      <c r="C21" s="26">
        <f>ต.ค!C21+พย!C21+ธค!C21+มค!C21+กพ!C21+มีค!C21</f>
        <v>12</v>
      </c>
      <c r="D21" s="26">
        <f>ต.ค!D21+พย!D21+ธค!D21+มค!D21+กพ!D21+มีค!D21</f>
        <v>11</v>
      </c>
      <c r="E21" s="4">
        <f t="shared" si="2"/>
        <v>6.6428571428571432</v>
      </c>
      <c r="F21" s="26">
        <f>ต.ค!F21+พย!F21+ธค!F21+มค!F21+กพ!F21+มีค!F21</f>
        <v>6</v>
      </c>
      <c r="G21" s="26">
        <f>ต.ค!G21+พย!G21+ธค!G21+มค!G21+กพ!G21+มีค!G21</f>
        <v>0</v>
      </c>
      <c r="H21" s="26">
        <f>ต.ค!H21+พย!H21+ธค!H21+มค!H21+กพ!H21+มีค!H21</f>
        <v>1</v>
      </c>
      <c r="I21" s="26">
        <f>ต.ค!I21+พย!I21+ธค!I21+มค!I21+กพ!I21+มีค!I21</f>
        <v>0</v>
      </c>
      <c r="J21" s="26">
        <f>ต.ค!J21+พย!J21+ธค!J21+มค!J21+กพ!J21+มีค!J21</f>
        <v>0</v>
      </c>
      <c r="K21" s="26">
        <f>ต.ค!K21+พย!K21+ธค!K21+มค!K21+กพ!K21+มีค!K21</f>
        <v>0</v>
      </c>
      <c r="L21" s="26">
        <f>ต.ค!L21+พย!L21+ธค!L21+มค!L21+กพ!L21+มีค!L21</f>
        <v>0</v>
      </c>
      <c r="M21" s="5">
        <f t="shared" si="3"/>
        <v>0.35714285714285676</v>
      </c>
      <c r="N21" s="28">
        <f t="shared" si="4"/>
        <v>94.897959183673478</v>
      </c>
      <c r="O21" s="26">
        <f>ต.ค!O21+พย!O21+ธค!O21+มค!O21+กพ!O21+มีค!O21</f>
        <v>0</v>
      </c>
      <c r="P21" s="26">
        <f>ต.ค!P21+พย!P21+ธค!P21+มค!P21+กพ!P21+มีค!P21</f>
        <v>0</v>
      </c>
      <c r="Q21" s="26">
        <f>ต.ค!Q21+พย!Q21+ธค!Q21+มค!Q21+กพ!Q21+มีค!Q21</f>
        <v>13</v>
      </c>
      <c r="R21" s="26">
        <f>ต.ค!R21+พย!R21+ธค!R21+มค!R21+กพ!R21+มีค!R21</f>
        <v>2</v>
      </c>
      <c r="S21" s="26">
        <f>ต.ค!S21+พย!S21+ธค!S21+มค!S21+กพ!S21+มีค!S21</f>
        <v>8</v>
      </c>
      <c r="T21" s="37">
        <f t="shared" si="0"/>
        <v>23</v>
      </c>
      <c r="U21" s="28">
        <f t="shared" si="5"/>
        <v>124.1496598639456</v>
      </c>
      <c r="V21" s="59">
        <f t="shared" si="1"/>
        <v>0</v>
      </c>
    </row>
    <row r="22" spans="1:22" ht="24.75" customHeight="1">
      <c r="A22" s="87">
        <v>5</v>
      </c>
      <c r="B22" s="7" t="s">
        <v>12</v>
      </c>
      <c r="C22" s="26">
        <f>ต.ค!C22+พย!C22+ธค!C22+มค!C22+กพ!C22+มีค!C22</f>
        <v>12</v>
      </c>
      <c r="D22" s="26">
        <f>ต.ค!D22+พย!D22+ธค!D22+มค!D22+กพ!D22+มีค!D22</f>
        <v>11</v>
      </c>
      <c r="E22" s="4">
        <f t="shared" si="2"/>
        <v>6.6428571428571432</v>
      </c>
      <c r="F22" s="26">
        <f>ต.ค!F22+พย!F22+ธค!F22+มค!F22+กพ!F22+มีค!F22</f>
        <v>6</v>
      </c>
      <c r="G22" s="26">
        <f>ต.ค!G22+พย!G22+ธค!G22+มค!G22+กพ!G22+มีค!G22</f>
        <v>0</v>
      </c>
      <c r="H22" s="26">
        <f>ต.ค!H22+พย!H22+ธค!H22+มค!H22+กพ!H22+มีค!H22</f>
        <v>0</v>
      </c>
      <c r="I22" s="26">
        <f>ต.ค!I22+พย!I22+ธค!I22+มค!I22+กพ!I22+มีค!I22</f>
        <v>0</v>
      </c>
      <c r="J22" s="26">
        <f>ต.ค!J22+พย!J22+ธค!J22+มค!J22+กพ!J22+มีค!J22</f>
        <v>0</v>
      </c>
      <c r="K22" s="26">
        <f>ต.ค!K22+พย!K22+ธค!K22+มค!K22+กพ!K22+มีค!K22</f>
        <v>0</v>
      </c>
      <c r="L22" s="26">
        <f>ต.ค!L22+พย!L22+ธค!L22+มค!L22+กพ!L22+มีค!L22</f>
        <v>0</v>
      </c>
      <c r="M22" s="5">
        <f t="shared" si="3"/>
        <v>-0.64285714285714324</v>
      </c>
      <c r="N22" s="28">
        <f t="shared" si="4"/>
        <v>110.71428571428572</v>
      </c>
      <c r="O22" s="26">
        <f>ต.ค!O22+พย!O22+ธค!O22+มค!O22+กพ!O22+มีค!O22</f>
        <v>0</v>
      </c>
      <c r="P22" s="26">
        <f>ต.ค!P22+พย!P22+ธค!P22+มค!P22+กพ!P22+มีค!P22</f>
        <v>0</v>
      </c>
      <c r="Q22" s="26">
        <f>ต.ค!Q22+พย!Q22+ธค!Q22+มค!Q22+กพ!Q22+มีค!Q22</f>
        <v>13</v>
      </c>
      <c r="R22" s="26">
        <f>ต.ค!R22+พย!R22+ธค!R22+มค!R22+กพ!R22+มีค!R22</f>
        <v>2</v>
      </c>
      <c r="S22" s="26">
        <f>ต.ค!S22+พย!S22+ธค!S22+มค!S22+กพ!S22+มีค!S22</f>
        <v>8</v>
      </c>
      <c r="T22" s="37">
        <f t="shared" si="0"/>
        <v>23</v>
      </c>
      <c r="U22" s="28">
        <f t="shared" si="5"/>
        <v>144.84126984126985</v>
      </c>
      <c r="V22" s="59">
        <f t="shared" si="1"/>
        <v>0</v>
      </c>
    </row>
    <row r="23" spans="1:22" ht="24.75" customHeight="1">
      <c r="A23" s="87"/>
      <c r="B23" s="7" t="s">
        <v>13</v>
      </c>
      <c r="C23" s="26">
        <f>ต.ค!C23+พย!C23+ธค!C23+มค!C23+กพ!C23+มีค!C23</f>
        <v>10</v>
      </c>
      <c r="D23" s="26">
        <f>ต.ค!D23+พย!D23+ธค!D23+มค!D23+กพ!D23+มีค!D23</f>
        <v>11</v>
      </c>
      <c r="E23" s="4">
        <f t="shared" si="2"/>
        <v>6.3214285714285712</v>
      </c>
      <c r="F23" s="26">
        <f>ต.ค!F23+พย!F23+ธค!F23+มค!F23+กพ!F23+มีค!F23</f>
        <v>6</v>
      </c>
      <c r="G23" s="26">
        <f>ต.ค!G23+พย!G23+ธค!G23+มค!G23+กพ!G23+มีค!G23</f>
        <v>0</v>
      </c>
      <c r="H23" s="26">
        <f>ต.ค!H23+พย!H23+ธค!H23+มค!H23+กพ!H23+มีค!H23</f>
        <v>2</v>
      </c>
      <c r="I23" s="26">
        <f>ต.ค!I23+พย!I23+ธค!I23+มค!I23+กพ!I23+มีค!I23</f>
        <v>0</v>
      </c>
      <c r="J23" s="26">
        <f>ต.ค!J23+พย!J23+ธค!J23+มค!J23+กพ!J23+มีค!J23</f>
        <v>0</v>
      </c>
      <c r="K23" s="26">
        <f>ต.ค!K23+พย!K23+ธค!K23+มค!K23+กพ!K23+มีค!K23</f>
        <v>0</v>
      </c>
      <c r="L23" s="26">
        <f>ต.ค!L23+พย!L23+ธค!L23+มค!L23+กพ!L23+มีค!L23</f>
        <v>0</v>
      </c>
      <c r="M23" s="5">
        <f t="shared" si="3"/>
        <v>1.6785714285714288</v>
      </c>
      <c r="N23" s="28">
        <f t="shared" si="4"/>
        <v>79.017857142857139</v>
      </c>
      <c r="O23" s="26">
        <f>ต.ค!O23+พย!O23+ธค!O23+มค!O23+กพ!O23+มีค!O23</f>
        <v>0</v>
      </c>
      <c r="P23" s="26">
        <f>ต.ค!P23+พย!P23+ธค!P23+มค!P23+กพ!P23+มีค!P23</f>
        <v>5</v>
      </c>
      <c r="Q23" s="26">
        <f>ต.ค!Q23+พย!Q23+ธค!Q23+มค!Q23+กพ!Q23+มีค!Q23</f>
        <v>6</v>
      </c>
      <c r="R23" s="26">
        <f>ต.ค!R23+พย!R23+ธค!R23+มค!R23+กพ!R23+มีค!R23</f>
        <v>2</v>
      </c>
      <c r="S23" s="26">
        <f>ต.ค!S23+พย!S23+ธค!S23+มค!S23+กพ!S23+มีค!S23</f>
        <v>8</v>
      </c>
      <c r="T23" s="37">
        <f t="shared" si="0"/>
        <v>21</v>
      </c>
      <c r="U23" s="28">
        <f t="shared" si="5"/>
        <v>96.13095238095238</v>
      </c>
      <c r="V23" s="59">
        <f t="shared" si="1"/>
        <v>0</v>
      </c>
    </row>
    <row r="24" spans="1:22" ht="24.75" customHeight="1">
      <c r="A24" s="87"/>
      <c r="B24" s="7" t="s">
        <v>14</v>
      </c>
      <c r="C24" s="26">
        <f>ต.ค!C24+พย!C24+ธค!C24+มค!C24+กพ!C24+มีค!C24</f>
        <v>8</v>
      </c>
      <c r="D24" s="26">
        <f>ต.ค!D24+พย!D24+ธค!D24+มค!D24+กพ!D24+มีค!D24</f>
        <v>11</v>
      </c>
      <c r="E24" s="4">
        <f t="shared" si="2"/>
        <v>6</v>
      </c>
      <c r="F24" s="26">
        <f>ต.ค!F24+พย!F24+ธค!F24+มค!F24+กพ!F24+มีค!F24</f>
        <v>6</v>
      </c>
      <c r="G24" s="26">
        <f>ต.ค!G24+พย!G24+ธค!G24+มค!G24+กพ!G24+มีค!G24</f>
        <v>0</v>
      </c>
      <c r="H24" s="26">
        <f>ต.ค!H24+พย!H24+ธค!H24+มค!H24+กพ!H24+มีค!H24</f>
        <v>0</v>
      </c>
      <c r="I24" s="26">
        <f>ต.ค!I24+พย!I24+ธค!I24+มค!I24+กพ!I24+มีค!I24</f>
        <v>0</v>
      </c>
      <c r="J24" s="26">
        <f>ต.ค!J24+พย!J24+ธค!J24+มค!J24+กพ!J24+มีค!J24</f>
        <v>0</v>
      </c>
      <c r="K24" s="26">
        <f>ต.ค!K24+พย!K24+ธค!K24+มค!K24+กพ!K24+มีค!K24</f>
        <v>0</v>
      </c>
      <c r="L24" s="26">
        <f>ต.ค!L24+พย!L24+ธค!L24+มค!L24+กพ!L24+มีค!L24</f>
        <v>0</v>
      </c>
      <c r="M24" s="5">
        <f t="shared" si="3"/>
        <v>0</v>
      </c>
      <c r="N24" s="28">
        <f t="shared" si="4"/>
        <v>100</v>
      </c>
      <c r="O24" s="26">
        <f>ต.ค!O24+พย!O24+ธค!O24+มค!O24+กพ!O24+มีค!O24</f>
        <v>0</v>
      </c>
      <c r="P24" s="26">
        <f>ต.ค!P24+พย!P24+ธค!P24+มค!P24+กพ!P24+มีค!P24</f>
        <v>0</v>
      </c>
      <c r="Q24" s="26">
        <f>ต.ค!Q24+พย!Q24+ธค!Q24+มค!Q24+กพ!Q24+มีค!Q24</f>
        <v>9</v>
      </c>
      <c r="R24" s="26">
        <f>ต.ค!R24+พย!R24+ธค!R24+มค!R24+กพ!R24+มีค!R24</f>
        <v>3</v>
      </c>
      <c r="S24" s="26">
        <f>ต.ค!S24+พย!S24+ธค!S24+มค!S24+กพ!S24+มีค!S24</f>
        <v>7</v>
      </c>
      <c r="T24" s="37">
        <f t="shared" si="0"/>
        <v>19</v>
      </c>
      <c r="U24" s="28">
        <f t="shared" si="5"/>
        <v>123.80952380952381</v>
      </c>
      <c r="V24" s="59">
        <f t="shared" si="1"/>
        <v>0</v>
      </c>
    </row>
    <row r="25" spans="1:22" ht="24.75" customHeight="1">
      <c r="A25" s="87">
        <v>6</v>
      </c>
      <c r="B25" s="7" t="s">
        <v>12</v>
      </c>
      <c r="C25" s="26">
        <f>ต.ค!C25+พย!C25+ธค!C25+มค!C25+กพ!C25+มีค!C25</f>
        <v>8</v>
      </c>
      <c r="D25" s="26">
        <f>ต.ค!D25+พย!D25+ธค!D25+มค!D25+กพ!D25+มีค!D25</f>
        <v>11</v>
      </c>
      <c r="E25" s="4">
        <f t="shared" si="2"/>
        <v>6</v>
      </c>
      <c r="F25" s="26">
        <f>ต.ค!F25+พย!F25+ธค!F25+มค!F25+กพ!F25+มีค!F25</f>
        <v>6</v>
      </c>
      <c r="G25" s="26">
        <f>ต.ค!G25+พย!G25+ธค!G25+มค!G25+กพ!G25+มีค!G25</f>
        <v>0</v>
      </c>
      <c r="H25" s="26">
        <f>ต.ค!H25+พย!H25+ธค!H25+มค!H25+กพ!H25+มีค!H25</f>
        <v>0</v>
      </c>
      <c r="I25" s="26">
        <f>ต.ค!I25+พย!I25+ธค!I25+มค!I25+กพ!I25+มีค!I25</f>
        <v>0</v>
      </c>
      <c r="J25" s="26">
        <f>ต.ค!J25+พย!J25+ธค!J25+มค!J25+กพ!J25+มีค!J25</f>
        <v>0</v>
      </c>
      <c r="K25" s="26">
        <f>ต.ค!K25+พย!K25+ธค!K25+มค!K25+กพ!K25+มีค!K25</f>
        <v>0</v>
      </c>
      <c r="L25" s="26">
        <f>ต.ค!L25+พย!L25+ธค!L25+มค!L25+กพ!L25+มีค!L25</f>
        <v>0</v>
      </c>
      <c r="M25" s="5">
        <f t="shared" si="3"/>
        <v>0</v>
      </c>
      <c r="N25" s="28">
        <f t="shared" si="4"/>
        <v>100</v>
      </c>
      <c r="O25" s="26">
        <f>ต.ค!O25+พย!O25+ธค!O25+มค!O25+กพ!O25+มีค!O25</f>
        <v>0</v>
      </c>
      <c r="P25" s="26">
        <f>ต.ค!P25+พย!P25+ธค!P25+มค!P25+กพ!P25+มีค!P25</f>
        <v>0</v>
      </c>
      <c r="Q25" s="26">
        <f>ต.ค!Q25+พย!Q25+ธค!Q25+มค!Q25+กพ!Q25+มีค!Q25</f>
        <v>9</v>
      </c>
      <c r="R25" s="26">
        <f>ต.ค!R25+พย!R25+ธค!R25+มค!R25+กพ!R25+มีค!R25</f>
        <v>3</v>
      </c>
      <c r="S25" s="26">
        <f>ต.ค!S25+พย!S25+ธค!S25+มค!S25+กพ!S25+มีค!S25</f>
        <v>7</v>
      </c>
      <c r="T25" s="37">
        <f t="shared" si="0"/>
        <v>19</v>
      </c>
      <c r="U25" s="28">
        <f t="shared" si="5"/>
        <v>123.80952380952381</v>
      </c>
      <c r="V25" s="59">
        <f t="shared" si="1"/>
        <v>0</v>
      </c>
    </row>
    <row r="26" spans="1:22" ht="24.75" customHeight="1">
      <c r="A26" s="87"/>
      <c r="B26" s="7" t="s">
        <v>13</v>
      </c>
      <c r="C26" s="26">
        <f>ต.ค!C26+พย!C26+ธค!C26+มค!C26+กพ!C26+มีค!C26</f>
        <v>12</v>
      </c>
      <c r="D26" s="26">
        <f>ต.ค!D26+พย!D26+ธค!D26+มค!D26+กพ!D26+มีค!D26</f>
        <v>11</v>
      </c>
      <c r="E26" s="4">
        <f t="shared" si="2"/>
        <v>6.6428571428571432</v>
      </c>
      <c r="F26" s="26">
        <f>ต.ค!F26+พย!F26+ธค!F26+มค!F26+กพ!F26+มีค!F26</f>
        <v>7</v>
      </c>
      <c r="G26" s="26">
        <f>ต.ค!G26+พย!G26+ธค!G26+มค!G26+กพ!G26+มีค!G26</f>
        <v>0</v>
      </c>
      <c r="H26" s="26">
        <f>ต.ค!H26+พย!H26+ธค!H26+มค!H26+กพ!H26+มีค!H26</f>
        <v>2</v>
      </c>
      <c r="I26" s="26">
        <f>ต.ค!I26+พย!I26+ธค!I26+มค!I26+กพ!I26+มีค!I26</f>
        <v>0</v>
      </c>
      <c r="J26" s="26">
        <f>ต.ค!J26+พย!J26+ธค!J26+มค!J26+กพ!J26+มีค!J26</f>
        <v>0</v>
      </c>
      <c r="K26" s="26">
        <f>ต.ค!K26+พย!K26+ธค!K26+มค!K26+กพ!K26+มีค!K26</f>
        <v>0</v>
      </c>
      <c r="L26" s="26">
        <f>ต.ค!L26+พย!L26+ธค!L26+มค!L26+กพ!L26+มีค!L26</f>
        <v>0</v>
      </c>
      <c r="M26" s="5">
        <f t="shared" si="3"/>
        <v>2.3571428571428568</v>
      </c>
      <c r="N26" s="28">
        <f t="shared" si="4"/>
        <v>73.80952380952381</v>
      </c>
      <c r="O26" s="26">
        <f>ต.ค!O26+พย!O26+ธค!O26+มค!O26+กพ!O26+มีค!O26</f>
        <v>0</v>
      </c>
      <c r="P26" s="26">
        <f>ต.ค!P26+พย!P26+ธค!P26+มค!P26+กพ!P26+มีค!P26</f>
        <v>3</v>
      </c>
      <c r="Q26" s="26">
        <f>ต.ค!Q26+พย!Q26+ธค!Q26+มค!Q26+กพ!Q26+มีค!Q26</f>
        <v>9</v>
      </c>
      <c r="R26" s="26">
        <f>ต.ค!R26+พย!R26+ธค!R26+มค!R26+กพ!R26+มีค!R26</f>
        <v>5</v>
      </c>
      <c r="S26" s="26">
        <f>ต.ค!S26+พย!S26+ธค!S26+มค!S26+กพ!S26+มีค!S26</f>
        <v>6</v>
      </c>
      <c r="T26" s="37">
        <f t="shared" si="0"/>
        <v>23</v>
      </c>
      <c r="U26" s="28">
        <f t="shared" si="5"/>
        <v>89.682539682539684</v>
      </c>
      <c r="V26" s="59">
        <f t="shared" si="1"/>
        <v>0</v>
      </c>
    </row>
    <row r="27" spans="1:22" ht="24.75" customHeight="1">
      <c r="A27" s="87"/>
      <c r="B27" s="7" t="s">
        <v>14</v>
      </c>
      <c r="C27" s="26">
        <f>ต.ค!C27+พย!C27+ธค!C27+มค!C27+กพ!C27+มีค!C27</f>
        <v>9</v>
      </c>
      <c r="D27" s="26">
        <f>ต.ค!D27+พย!D27+ธค!D27+มค!D27+กพ!D27+มีค!D27</f>
        <v>10</v>
      </c>
      <c r="E27" s="4">
        <f t="shared" si="2"/>
        <v>5.7321428571428568</v>
      </c>
      <c r="F27" s="26">
        <f>ต.ค!F27+พย!F27+ธค!F27+มค!F27+กพ!F27+มีค!F27</f>
        <v>6</v>
      </c>
      <c r="G27" s="26">
        <f>ต.ค!G27+พย!G27+ธค!G27+มค!G27+กพ!G27+มีค!G27</f>
        <v>0</v>
      </c>
      <c r="H27" s="26">
        <f>ต.ค!H27+พย!H27+ธค!H27+มค!H27+กพ!H27+มีค!H27</f>
        <v>0</v>
      </c>
      <c r="I27" s="26">
        <f>ต.ค!I27+พย!I27+ธค!I27+มค!I27+กพ!I27+มีค!I27</f>
        <v>0</v>
      </c>
      <c r="J27" s="26">
        <f>ต.ค!J27+พย!J27+ธค!J27+มค!J27+กพ!J27+มีค!J27</f>
        <v>0</v>
      </c>
      <c r="K27" s="26">
        <f>ต.ค!K27+พย!K27+ธค!K27+มค!K27+กพ!K27+มีค!K27</f>
        <v>1</v>
      </c>
      <c r="L27" s="26">
        <f>ต.ค!L27+พย!L27+ธค!L27+มค!L27+กพ!L27+มีค!L27</f>
        <v>0</v>
      </c>
      <c r="M27" s="5">
        <f t="shared" si="3"/>
        <v>0.26785714285714324</v>
      </c>
      <c r="N27" s="28">
        <f t="shared" si="4"/>
        <v>81.887755102040813</v>
      </c>
      <c r="O27" s="26">
        <f>ต.ค!O27+พย!O27+ธค!O27+มค!O27+กพ!O27+มีค!O27</f>
        <v>0</v>
      </c>
      <c r="P27" s="26">
        <f>ต.ค!P27+พย!P27+ธค!P27+มค!P27+กพ!P27+มีค!P27</f>
        <v>0</v>
      </c>
      <c r="Q27" s="26">
        <f>ต.ค!Q27+พย!Q27+ธค!Q27+มค!Q27+กพ!Q27+มีค!Q27</f>
        <v>10</v>
      </c>
      <c r="R27" s="26">
        <f>ต.ค!R27+พย!R27+ธค!R27+มค!R27+กพ!R27+มีค!R27</f>
        <v>3</v>
      </c>
      <c r="S27" s="26">
        <f>ต.ค!S27+พย!S27+ธค!S27+มค!S27+กพ!S27+มีค!S27</f>
        <v>6</v>
      </c>
      <c r="T27" s="37">
        <f t="shared" si="0"/>
        <v>19</v>
      </c>
      <c r="U27" s="28">
        <f t="shared" si="5"/>
        <v>101.70068027210885</v>
      </c>
      <c r="V27" s="59">
        <f t="shared" si="1"/>
        <v>0</v>
      </c>
    </row>
    <row r="28" spans="1:22" ht="24.75" customHeight="1">
      <c r="A28" s="87">
        <v>7</v>
      </c>
      <c r="B28" s="7" t="s">
        <v>12</v>
      </c>
      <c r="C28" s="26">
        <f>ต.ค!C28+พย!C28+ธค!C28+มค!C28+กพ!C28+มีค!C28</f>
        <v>12</v>
      </c>
      <c r="D28" s="26">
        <f>ต.ค!D28+พย!D28+ธค!D28+มค!D28+กพ!D28+มีค!D28</f>
        <v>11</v>
      </c>
      <c r="E28" s="4">
        <f t="shared" si="2"/>
        <v>6.6428571428571432</v>
      </c>
      <c r="F28" s="26">
        <f>ต.ค!F28+พย!F28+ธค!F28+มค!F28+กพ!F28+มีค!F28</f>
        <v>4</v>
      </c>
      <c r="G28" s="26">
        <f>ต.ค!G28+พย!G28+ธค!G28+มค!G28+กพ!G28+มีค!G28</f>
        <v>0</v>
      </c>
      <c r="H28" s="26">
        <f>ต.ค!H28+พย!H28+ธค!H28+มค!H28+กพ!H28+มีค!H28</f>
        <v>0</v>
      </c>
      <c r="I28" s="26">
        <f>ต.ค!I28+พย!I28+ธค!I28+มค!I28+กพ!I28+มีค!I28</f>
        <v>2</v>
      </c>
      <c r="J28" s="26">
        <f>ต.ค!J28+พย!J28+ธค!J28+มค!J28+กพ!J28+มีค!J28</f>
        <v>0</v>
      </c>
      <c r="K28" s="26">
        <f>ต.ค!K28+พย!K28+ธค!K28+มค!K28+กพ!K28+มีค!K28</f>
        <v>0</v>
      </c>
      <c r="L28" s="26">
        <f>ต.ค!L28+พย!L28+ธค!L28+มค!L28+กพ!L28+มีค!L28</f>
        <v>0</v>
      </c>
      <c r="M28" s="5">
        <f t="shared" si="3"/>
        <v>-2.6428571428571432</v>
      </c>
      <c r="N28" s="28">
        <f t="shared" si="4"/>
        <v>110.71428571428572</v>
      </c>
      <c r="O28" s="26">
        <f>ต.ค!O28+พย!O28+ธค!O28+มค!O28+กพ!O28+มีค!O28</f>
        <v>0</v>
      </c>
      <c r="P28" s="26">
        <f>ต.ค!P28+พย!P28+ธค!P28+มค!P28+กพ!P28+มีค!P28</f>
        <v>0</v>
      </c>
      <c r="Q28" s="26">
        <f>ต.ค!Q28+พย!Q28+ธค!Q28+มค!Q28+กพ!Q28+มีค!Q28</f>
        <v>12</v>
      </c>
      <c r="R28" s="26">
        <f>ต.ค!R28+พย!R28+ธค!R28+มค!R28+กพ!R28+มีค!R28</f>
        <v>4</v>
      </c>
      <c r="S28" s="26">
        <f>ต.ค!S28+พย!S28+ธค!S28+มค!S28+กพ!S28+มีค!S28</f>
        <v>7</v>
      </c>
      <c r="T28" s="37">
        <f t="shared" si="0"/>
        <v>23</v>
      </c>
      <c r="U28" s="28">
        <f t="shared" si="5"/>
        <v>142.85714285714286</v>
      </c>
      <c r="V28" s="59">
        <f t="shared" si="1"/>
        <v>0</v>
      </c>
    </row>
    <row r="29" spans="1:22" ht="24.75" customHeight="1">
      <c r="A29" s="87"/>
      <c r="B29" s="7" t="s">
        <v>13</v>
      </c>
      <c r="C29" s="26">
        <f>ต.ค!C29+พย!C29+ธค!C29+มค!C29+กพ!C29+มีค!C29</f>
        <v>12</v>
      </c>
      <c r="D29" s="26">
        <f>ต.ค!D29+พย!D29+ธค!D29+มค!D29+กพ!D29+มีค!D29</f>
        <v>11</v>
      </c>
      <c r="E29" s="4">
        <f t="shared" si="2"/>
        <v>6.6428571428571432</v>
      </c>
      <c r="F29" s="26">
        <f>ต.ค!F29+พย!F29+ธค!F29+มค!F29+กพ!F29+มีค!F29</f>
        <v>6</v>
      </c>
      <c r="G29" s="26">
        <f>ต.ค!G29+พย!G29+ธค!G29+มค!G29+กพ!G29+มีค!G29</f>
        <v>0</v>
      </c>
      <c r="H29" s="26">
        <f>ต.ค!H29+พย!H29+ธค!H29+มค!H29+กพ!H29+มีค!H29</f>
        <v>1</v>
      </c>
      <c r="I29" s="26">
        <f>ต.ค!I29+พย!I29+ธค!I29+มค!I29+กพ!I29+มีค!I29</f>
        <v>1</v>
      </c>
      <c r="J29" s="26">
        <f>ต.ค!J29+พย!J29+ธค!J29+มค!J29+กพ!J29+มีค!J29</f>
        <v>0</v>
      </c>
      <c r="K29" s="26">
        <f>ต.ค!K29+พย!K29+ธค!K29+มค!K29+กพ!K29+มีค!K29</f>
        <v>0</v>
      </c>
      <c r="L29" s="26">
        <f>ต.ค!L29+พย!L29+ธค!L29+มค!L29+กพ!L29+มีค!L29</f>
        <v>0</v>
      </c>
      <c r="M29" s="5">
        <f t="shared" si="3"/>
        <v>0.35714285714285676</v>
      </c>
      <c r="N29" s="28">
        <f t="shared" si="4"/>
        <v>83.035714285714292</v>
      </c>
      <c r="O29" s="26">
        <f>ต.ค!O29+พย!O29+ธค!O29+มค!O29+กพ!O29+มีค!O29</f>
        <v>0</v>
      </c>
      <c r="P29" s="26">
        <f>ต.ค!P29+พย!P29+ธค!P29+มค!P29+กพ!P29+มีค!P29</f>
        <v>2</v>
      </c>
      <c r="Q29" s="26">
        <f>ต.ค!Q29+พย!Q29+ธค!Q29+มค!Q29+กพ!Q29+มีค!Q29</f>
        <v>8</v>
      </c>
      <c r="R29" s="26">
        <f>ต.ค!R29+พย!R29+ธค!R29+มค!R29+กพ!R29+มีค!R29</f>
        <v>6</v>
      </c>
      <c r="S29" s="26">
        <f>ต.ค!S29+พย!S29+ธค!S29+มค!S29+กพ!S29+มีค!S29</f>
        <v>7</v>
      </c>
      <c r="T29" s="37">
        <f t="shared" si="0"/>
        <v>23</v>
      </c>
      <c r="U29" s="28">
        <f t="shared" si="5"/>
        <v>107.14285714285714</v>
      </c>
      <c r="V29" s="59">
        <f t="shared" si="1"/>
        <v>0</v>
      </c>
    </row>
    <row r="30" spans="1:22" ht="24.75" customHeight="1">
      <c r="A30" s="87"/>
      <c r="B30" s="7" t="s">
        <v>14</v>
      </c>
      <c r="C30" s="26">
        <f>ต.ค!C30+พย!C30+ธค!C30+มค!C30+กพ!C30+มีค!C30</f>
        <v>14</v>
      </c>
      <c r="D30" s="26">
        <f>ต.ค!D30+พย!D30+ธค!D30+มค!D30+กพ!D30+มีค!D30</f>
        <v>12</v>
      </c>
      <c r="E30" s="4">
        <f t="shared" si="2"/>
        <v>7.3928571428571432</v>
      </c>
      <c r="F30" s="26">
        <f>ต.ค!F30+พย!F30+ธค!F30+มค!F30+กพ!F30+มีค!F30</f>
        <v>5</v>
      </c>
      <c r="G30" s="26">
        <f>ต.ค!G30+พย!G30+ธค!G30+มค!G30+กพ!G30+มีค!G30</f>
        <v>0</v>
      </c>
      <c r="H30" s="26">
        <f>ต.ค!H30+พย!H30+ธค!H30+มค!H30+กพ!H30+มีค!H30</f>
        <v>0</v>
      </c>
      <c r="I30" s="26">
        <f>ต.ค!I30+พย!I30+ธค!I30+มค!I30+กพ!I30+มีค!I30</f>
        <v>1</v>
      </c>
      <c r="J30" s="26">
        <f>ต.ค!J30+พย!J30+ธค!J30+มค!J30+กพ!J30+มีค!J30</f>
        <v>0</v>
      </c>
      <c r="K30" s="26">
        <f>ต.ค!K30+พย!K30+ธค!K30+มค!K30+กพ!K30+มีค!K30</f>
        <v>0</v>
      </c>
      <c r="L30" s="26">
        <f>ต.ค!L30+พย!L30+ธค!L30+มค!L30+กพ!L30+มีค!L30</f>
        <v>0</v>
      </c>
      <c r="M30" s="5">
        <f t="shared" si="3"/>
        <v>-2.3928571428571432</v>
      </c>
      <c r="N30" s="28">
        <f t="shared" si="4"/>
        <v>123.21428571428572</v>
      </c>
      <c r="O30" s="26">
        <f>ต.ค!O30+พย!O30+ธค!O30+มค!O30+กพ!O30+มีค!O30</f>
        <v>0</v>
      </c>
      <c r="P30" s="26">
        <f>ต.ค!P30+พย!P30+ธค!P30+มค!P30+กพ!P30+มีค!P30</f>
        <v>0</v>
      </c>
      <c r="Q30" s="26">
        <f>ต.ค!Q30+พย!Q30+ธค!Q30+มค!Q30+กพ!Q30+มีค!Q30</f>
        <v>12</v>
      </c>
      <c r="R30" s="26">
        <f>ต.ค!R30+พย!R30+ธค!R30+มค!R30+กพ!R30+มีค!R30</f>
        <v>7</v>
      </c>
      <c r="S30" s="26">
        <f>ต.ค!S30+พย!S30+ธค!S30+มค!S30+กพ!S30+มีค!S30</f>
        <v>7</v>
      </c>
      <c r="T30" s="37">
        <f t="shared" si="0"/>
        <v>26</v>
      </c>
      <c r="U30" s="28">
        <f t="shared" si="5"/>
        <v>160.71428571428572</v>
      </c>
      <c r="V30" s="59">
        <f t="shared" si="1"/>
        <v>0</v>
      </c>
    </row>
    <row r="31" spans="1:22" ht="24.75" customHeight="1">
      <c r="A31" s="87">
        <v>8</v>
      </c>
      <c r="B31" s="7" t="s">
        <v>12</v>
      </c>
      <c r="C31" s="26">
        <f>ต.ค!C31+พย!C31+ธค!C31+มค!C31+กพ!C31+มีค!C31</f>
        <v>14</v>
      </c>
      <c r="D31" s="26">
        <f>ต.ค!D31+พย!D31+ธค!D31+มค!D31+กพ!D31+มีค!D31</f>
        <v>13</v>
      </c>
      <c r="E31" s="4">
        <f t="shared" si="2"/>
        <v>7.8214285714285712</v>
      </c>
      <c r="F31" s="26">
        <f>ต.ค!F31+พย!F31+ธค!F31+มค!F31+กพ!F31+มีค!F31</f>
        <v>6</v>
      </c>
      <c r="G31" s="26">
        <f>ต.ค!G31+พย!G31+ธค!G31+มค!G31+กพ!G31+มีค!G31</f>
        <v>0</v>
      </c>
      <c r="H31" s="26">
        <f>ต.ค!H31+พย!H31+ธค!H31+มค!H31+กพ!H31+มีค!H31</f>
        <v>0</v>
      </c>
      <c r="I31" s="26">
        <f>ต.ค!I31+พย!I31+ธค!I31+มค!I31+กพ!I31+มีค!I31</f>
        <v>0</v>
      </c>
      <c r="J31" s="26">
        <f>ต.ค!J31+พย!J31+ธค!J31+มค!J31+กพ!J31+มีค!J31</f>
        <v>0</v>
      </c>
      <c r="K31" s="26">
        <f>ต.ค!K31+พย!K31+ธค!K31+มค!K31+กพ!K31+มีค!K31</f>
        <v>0</v>
      </c>
      <c r="L31" s="26">
        <f>ต.ค!L31+พย!L31+ธค!L31+มค!L31+กพ!L31+มีค!L31</f>
        <v>0</v>
      </c>
      <c r="M31" s="5">
        <f t="shared" si="3"/>
        <v>-1.8214285714285712</v>
      </c>
      <c r="N31" s="28">
        <f t="shared" si="4"/>
        <v>130.35714285714286</v>
      </c>
      <c r="O31" s="26">
        <f>ต.ค!O31+พย!O31+ธค!O31+มค!O31+กพ!O31+มีค!O31</f>
        <v>0</v>
      </c>
      <c r="P31" s="26">
        <f>ต.ค!P31+พย!P31+ธค!P31+มค!P31+กพ!P31+มีค!P31</f>
        <v>0</v>
      </c>
      <c r="Q31" s="26">
        <f>ต.ค!Q31+พย!Q31+ธค!Q31+มค!Q31+กพ!Q31+มีค!Q31</f>
        <v>11</v>
      </c>
      <c r="R31" s="26">
        <f>ต.ค!R31+พย!R31+ธค!R31+มค!R31+กพ!R31+มีค!R31</f>
        <v>8</v>
      </c>
      <c r="S31" s="26">
        <f>ต.ค!S31+พย!S31+ธค!S31+มค!S31+กพ!S31+มีค!S31</f>
        <v>8</v>
      </c>
      <c r="T31" s="37">
        <f t="shared" si="0"/>
        <v>27</v>
      </c>
      <c r="U31" s="28">
        <f t="shared" si="5"/>
        <v>171.82539682539684</v>
      </c>
      <c r="V31" s="59">
        <f t="shared" si="1"/>
        <v>0</v>
      </c>
    </row>
    <row r="32" spans="1:22" ht="24.75" customHeight="1">
      <c r="A32" s="87"/>
      <c r="B32" s="7" t="s">
        <v>13</v>
      </c>
      <c r="C32" s="26">
        <f>ต.ค!C32+พย!C32+ธค!C32+มค!C32+กพ!C32+มีค!C32</f>
        <v>16</v>
      </c>
      <c r="D32" s="26">
        <f>ต.ค!D32+พย!D32+ธค!D32+มค!D32+กพ!D32+มีค!D32</f>
        <v>13</v>
      </c>
      <c r="E32" s="4">
        <f t="shared" si="2"/>
        <v>8.1428571428571423</v>
      </c>
      <c r="F32" s="26">
        <f>ต.ค!F32+พย!F32+ธค!F32+มค!F32+กพ!F32+มีค!F32</f>
        <v>7</v>
      </c>
      <c r="G32" s="26">
        <f>ต.ค!G32+พย!G32+ธค!G32+มค!G32+กพ!G32+มีค!G32</f>
        <v>0</v>
      </c>
      <c r="H32" s="26">
        <f>ต.ค!H32+พย!H32+ธค!H32+มค!H32+กพ!H32+มีค!H32</f>
        <v>1</v>
      </c>
      <c r="I32" s="26">
        <f>ต.ค!I32+พย!I32+ธค!I32+มค!I32+กพ!I32+มีค!I32</f>
        <v>0</v>
      </c>
      <c r="J32" s="26">
        <f>ต.ค!J32+พย!J32+ธค!J32+มค!J32+กพ!J32+มีค!J32</f>
        <v>0</v>
      </c>
      <c r="K32" s="26">
        <f>ต.ค!K32+พย!K32+ธค!K32+มค!K32+กพ!K32+มีค!K32</f>
        <v>0</v>
      </c>
      <c r="L32" s="26">
        <f>ต.ค!L32+พย!L32+ธค!L32+มค!L32+กพ!L32+มีค!L32</f>
        <v>0</v>
      </c>
      <c r="M32" s="5">
        <f t="shared" si="3"/>
        <v>-0.14285714285714235</v>
      </c>
      <c r="N32" s="28">
        <f t="shared" si="4"/>
        <v>101.78571428571428</v>
      </c>
      <c r="O32" s="26">
        <f>ต.ค!O32+พย!O32+ธค!O32+มค!O32+กพ!O32+มีค!O32</f>
        <v>0</v>
      </c>
      <c r="P32" s="26">
        <f>ต.ค!P32+พย!P32+ธค!P32+มค!P32+กพ!P32+มีค!P32</f>
        <v>2</v>
      </c>
      <c r="Q32" s="26">
        <f>ต.ค!Q32+พย!Q32+ธค!Q32+มค!Q32+กพ!Q32+มีค!Q32</f>
        <v>14</v>
      </c>
      <c r="R32" s="26">
        <f>ต.ค!R32+พย!R32+ธค!R32+มค!R32+กพ!R32+มีค!R32</f>
        <v>5</v>
      </c>
      <c r="S32" s="26">
        <f>ต.ค!S32+พย!S32+ธค!S32+มค!S32+กพ!S32+มีค!S32</f>
        <v>8</v>
      </c>
      <c r="T32" s="37">
        <f t="shared" si="0"/>
        <v>29</v>
      </c>
      <c r="U32" s="28">
        <f t="shared" si="5"/>
        <v>129.46428571428572</v>
      </c>
      <c r="V32" s="59">
        <f t="shared" si="1"/>
        <v>0</v>
      </c>
    </row>
    <row r="33" spans="1:22" ht="24.75" customHeight="1">
      <c r="A33" s="87"/>
      <c r="B33" s="7" t="s">
        <v>14</v>
      </c>
      <c r="C33" s="26">
        <f>ต.ค!C33+พย!C33+ธค!C33+มค!C33+กพ!C33+มีค!C33</f>
        <v>14</v>
      </c>
      <c r="D33" s="26">
        <f>ต.ค!D33+พย!D33+ธค!D33+มค!D33+กพ!D33+มีค!D33</f>
        <v>13</v>
      </c>
      <c r="E33" s="4">
        <f t="shared" si="2"/>
        <v>7.8214285714285712</v>
      </c>
      <c r="F33" s="26">
        <f>ต.ค!F33+พย!F33+ธค!F33+มค!F33+กพ!F33+มีค!F33</f>
        <v>6</v>
      </c>
      <c r="G33" s="26">
        <f>ต.ค!G33+พย!G33+ธค!G33+มค!G33+กพ!G33+มีค!G33</f>
        <v>0</v>
      </c>
      <c r="H33" s="26">
        <f>ต.ค!H33+พย!H33+ธค!H33+มค!H33+กพ!H33+มีค!H33</f>
        <v>1</v>
      </c>
      <c r="I33" s="26">
        <f>ต.ค!I33+พย!I33+ธค!I33+มค!I33+กพ!I33+มีค!I33</f>
        <v>0</v>
      </c>
      <c r="J33" s="26">
        <f>ต.ค!J33+พย!J33+ธค!J33+มค!J33+กพ!J33+มีค!J33</f>
        <v>0</v>
      </c>
      <c r="K33" s="26">
        <f>ต.ค!K33+พย!K33+ธค!K33+มค!K33+กพ!K33+มีค!K33</f>
        <v>0</v>
      </c>
      <c r="L33" s="26">
        <f>ต.ค!L33+พย!L33+ธค!L33+มค!L33+กพ!L33+มีค!L33</f>
        <v>0</v>
      </c>
      <c r="M33" s="5">
        <f t="shared" si="3"/>
        <v>-0.82142857142857117</v>
      </c>
      <c r="N33" s="28">
        <f t="shared" si="4"/>
        <v>111.73469387755102</v>
      </c>
      <c r="O33" s="26">
        <f>ต.ค!O33+พย!O33+ธค!O33+มค!O33+กพ!O33+มีค!O33</f>
        <v>0</v>
      </c>
      <c r="P33" s="26">
        <f>ต.ค!P33+พย!P33+ธค!P33+มค!P33+กพ!P33+มีค!P33</f>
        <v>0</v>
      </c>
      <c r="Q33" s="26">
        <f>ต.ค!Q33+พย!Q33+ธค!Q33+มค!Q33+กพ!Q33+มีค!Q33</f>
        <v>14</v>
      </c>
      <c r="R33" s="26">
        <f>ต.ค!R33+พย!R33+ธค!R33+มค!R33+กพ!R33+มีค!R33</f>
        <v>5</v>
      </c>
      <c r="S33" s="26">
        <f>ต.ค!S33+พย!S33+ธค!S33+มค!S33+กพ!S33+มีค!S33</f>
        <v>8</v>
      </c>
      <c r="T33" s="37">
        <f t="shared" si="0"/>
        <v>27</v>
      </c>
      <c r="U33" s="28">
        <f t="shared" si="5"/>
        <v>143.19727891156464</v>
      </c>
      <c r="V33" s="59">
        <f t="shared" si="1"/>
        <v>0</v>
      </c>
    </row>
    <row r="34" spans="1:22" ht="24.75" customHeight="1">
      <c r="A34" s="87">
        <v>9</v>
      </c>
      <c r="B34" s="7" t="s">
        <v>12</v>
      </c>
      <c r="C34" s="26">
        <f>ต.ค!C34+พย!C34+ธค!C34+มค!C34+กพ!C34+มีค!C34</f>
        <v>15</v>
      </c>
      <c r="D34" s="26">
        <f>ต.ค!D34+พย!D34+ธค!D34+มค!D34+กพ!D34+มีค!D34</f>
        <v>13</v>
      </c>
      <c r="E34" s="4">
        <f t="shared" si="2"/>
        <v>7.9821428571428568</v>
      </c>
      <c r="F34" s="26">
        <f>ต.ค!F34+พย!F34+ธค!F34+มค!F34+กพ!F34+มีค!F34</f>
        <v>6</v>
      </c>
      <c r="G34" s="26">
        <f>ต.ค!G34+พย!G34+ธค!G34+มค!G34+กพ!G34+มีค!G34</f>
        <v>0</v>
      </c>
      <c r="H34" s="26">
        <f>ต.ค!H34+พย!H34+ธค!H34+มค!H34+กพ!H34+มีค!H34</f>
        <v>0</v>
      </c>
      <c r="I34" s="26">
        <f>ต.ค!I34+พย!I34+ธค!I34+มค!I34+กพ!I34+มีค!I34</f>
        <v>0</v>
      </c>
      <c r="J34" s="26">
        <f>ต.ค!J34+พย!J34+ธค!J34+มค!J34+กพ!J34+มีค!J34</f>
        <v>0</v>
      </c>
      <c r="K34" s="26">
        <f>ต.ค!K34+พย!K34+ธค!K34+มค!K34+กพ!K34+มีค!K34</f>
        <v>0</v>
      </c>
      <c r="L34" s="26">
        <f>ต.ค!L34+พย!L34+ธค!L34+มค!L34+กพ!L34+มีค!L34</f>
        <v>0</v>
      </c>
      <c r="M34" s="5">
        <f t="shared" si="3"/>
        <v>-1.9821428571428568</v>
      </c>
      <c r="N34" s="28">
        <f t="shared" si="4"/>
        <v>133.03571428571428</v>
      </c>
      <c r="O34" s="26">
        <f>ต.ค!O34+พย!O34+ธค!O34+มค!O34+กพ!O34+มีค!O34</f>
        <v>0</v>
      </c>
      <c r="P34" s="26">
        <f>ต.ค!P34+พย!P34+ธค!P34+มค!P34+กพ!P34+มีค!P34</f>
        <v>0</v>
      </c>
      <c r="Q34" s="26">
        <f>ต.ค!Q34+พย!Q34+ธค!Q34+มค!Q34+กพ!Q34+มีค!Q34</f>
        <v>15</v>
      </c>
      <c r="R34" s="26">
        <f>ต.ค!R34+พย!R34+ธค!R34+มค!R34+กพ!R34+มีค!R34</f>
        <v>5</v>
      </c>
      <c r="S34" s="26">
        <f>ต.ค!S34+พย!S34+ธค!S34+มค!S34+กพ!S34+มีค!S34</f>
        <v>8</v>
      </c>
      <c r="T34" s="37">
        <f t="shared" si="0"/>
        <v>28</v>
      </c>
      <c r="U34" s="28">
        <f t="shared" si="5"/>
        <v>171.42857142857142</v>
      </c>
      <c r="V34" s="59">
        <f t="shared" si="1"/>
        <v>0</v>
      </c>
    </row>
    <row r="35" spans="1:22" ht="24.75" customHeight="1">
      <c r="A35" s="87"/>
      <c r="B35" s="7" t="s">
        <v>13</v>
      </c>
      <c r="C35" s="26">
        <f>ต.ค!C35+พย!C35+ธค!C35+มค!C35+กพ!C35+มีค!C35</f>
        <v>15</v>
      </c>
      <c r="D35" s="26">
        <f>ต.ค!D35+พย!D35+ธค!D35+มค!D35+กพ!D35+มีค!D35</f>
        <v>14</v>
      </c>
      <c r="E35" s="4">
        <f t="shared" si="2"/>
        <v>8.4107142857142865</v>
      </c>
      <c r="F35" s="26">
        <f>ต.ค!F35+พย!F35+ธค!F35+มค!F35+กพ!F35+มีค!F35</f>
        <v>4</v>
      </c>
      <c r="G35" s="26">
        <f>ต.ค!G35+พย!G35+ธค!G35+มค!G35+กพ!G35+มีค!G35</f>
        <v>0</v>
      </c>
      <c r="H35" s="26">
        <f>ต.ค!H35+พย!H35+ธค!H35+มค!H35+กพ!H35+มีค!H35</f>
        <v>1</v>
      </c>
      <c r="I35" s="26">
        <f>ต.ค!I35+พย!I35+ธค!I35+มค!I35+กพ!I35+มีค!I35</f>
        <v>2</v>
      </c>
      <c r="J35" s="26">
        <f>ต.ค!J35+พย!J35+ธค!J35+มค!J35+กพ!J35+มีค!J35</f>
        <v>0</v>
      </c>
      <c r="K35" s="26">
        <f>ต.ค!K35+พย!K35+ธค!K35+มค!K35+กพ!K35+มีค!K35</f>
        <v>0</v>
      </c>
      <c r="L35" s="26">
        <f>ต.ค!L35+พย!L35+ธค!L35+มค!L35+กพ!L35+มีค!L35</f>
        <v>0</v>
      </c>
      <c r="M35" s="5">
        <f t="shared" si="3"/>
        <v>-3.4107142857142865</v>
      </c>
      <c r="N35" s="28">
        <f t="shared" si="4"/>
        <v>120.15306122448979</v>
      </c>
      <c r="O35" s="26">
        <f>ต.ค!O35+พย!O35+ธค!O35+มค!O35+กพ!O35+มีค!O35</f>
        <v>0</v>
      </c>
      <c r="P35" s="26">
        <f>ต.ค!P35+พย!P35+ธค!P35+มค!P35+กพ!P35+มีค!P35</f>
        <v>0</v>
      </c>
      <c r="Q35" s="26">
        <f>ต.ค!Q35+พย!Q35+ธค!Q35+มค!Q35+กพ!Q35+มีค!Q35</f>
        <v>16</v>
      </c>
      <c r="R35" s="26">
        <f>ต.ค!R35+พย!R35+ธค!R35+มค!R35+กพ!R35+มีค!R35</f>
        <v>4</v>
      </c>
      <c r="S35" s="26">
        <f>ต.ค!S35+พย!S35+ธค!S35+มค!S35+กพ!S35+มีค!S35</f>
        <v>9</v>
      </c>
      <c r="T35" s="37">
        <f t="shared" si="0"/>
        <v>29</v>
      </c>
      <c r="U35" s="28">
        <f t="shared" si="5"/>
        <v>153.74149659863946</v>
      </c>
      <c r="V35" s="59">
        <f t="shared" si="1"/>
        <v>0</v>
      </c>
    </row>
    <row r="36" spans="1:22" ht="24.75" customHeight="1">
      <c r="A36" s="87"/>
      <c r="B36" s="7" t="s">
        <v>14</v>
      </c>
      <c r="C36" s="26">
        <f>ต.ค!C36+พย!C36+ธค!C36+มค!C36+กพ!C36+มีค!C36</f>
        <v>15</v>
      </c>
      <c r="D36" s="26">
        <f>ต.ค!D36+พย!D36+ธค!D36+มค!D36+กพ!D36+มีค!D36</f>
        <v>14</v>
      </c>
      <c r="E36" s="4">
        <f t="shared" si="2"/>
        <v>8.4107142857142865</v>
      </c>
      <c r="F36" s="26">
        <f>ต.ค!F36+พย!F36+ธค!F36+มค!F36+กพ!F36+มีค!F36</f>
        <v>6</v>
      </c>
      <c r="G36" s="26">
        <f>ต.ค!G36+พย!G36+ธค!G36+มค!G36+กพ!G36+มีค!G36</f>
        <v>0</v>
      </c>
      <c r="H36" s="26">
        <f>ต.ค!H36+พย!H36+ธค!H36+มค!H36+กพ!H36+มีค!H36</f>
        <v>0</v>
      </c>
      <c r="I36" s="26">
        <f>ต.ค!I36+พย!I36+ธค!I36+มค!I36+กพ!I36+มีค!I36</f>
        <v>0</v>
      </c>
      <c r="J36" s="26">
        <f>ต.ค!J36+พย!J36+ธค!J36+มค!J36+กพ!J36+มีค!J36</f>
        <v>0</v>
      </c>
      <c r="K36" s="26">
        <f>ต.ค!K36+พย!K36+ธค!K36+มค!K36+กพ!K36+มีค!K36</f>
        <v>0</v>
      </c>
      <c r="L36" s="26">
        <f>ต.ค!L36+พย!L36+ธค!L36+มค!L36+กพ!L36+มีค!L36</f>
        <v>0</v>
      </c>
      <c r="M36" s="5">
        <f t="shared" si="3"/>
        <v>-2.4107142857142865</v>
      </c>
      <c r="N36" s="28">
        <f t="shared" si="4"/>
        <v>140.17857142857142</v>
      </c>
      <c r="O36" s="26">
        <f>ต.ค!O36+พย!O36+ธค!O36+มค!O36+กพ!O36+มีค!O36</f>
        <v>0</v>
      </c>
      <c r="P36" s="26">
        <f>ต.ค!P36+พย!P36+ธค!P36+มค!P36+กพ!P36+มีค!P36</f>
        <v>0</v>
      </c>
      <c r="Q36" s="26">
        <f>ต.ค!Q36+พย!Q36+ธค!Q36+มค!Q36+กพ!Q36+มีค!Q36</f>
        <v>16</v>
      </c>
      <c r="R36" s="26">
        <f>ต.ค!R36+พย!R36+ธค!R36+มค!R36+กพ!R36+มีค!R36</f>
        <v>4</v>
      </c>
      <c r="S36" s="26">
        <f>ต.ค!S36+พย!S36+ธค!S36+มค!S36+กพ!S36+มีค!S36</f>
        <v>9</v>
      </c>
      <c r="T36" s="37">
        <f t="shared" si="0"/>
        <v>29</v>
      </c>
      <c r="U36" s="28">
        <f t="shared" si="5"/>
        <v>179.36507936507934</v>
      </c>
      <c r="V36" s="59">
        <f t="shared" si="1"/>
        <v>0</v>
      </c>
    </row>
    <row r="37" spans="1:22" ht="24.75" customHeight="1">
      <c r="A37" s="87">
        <v>10</v>
      </c>
      <c r="B37" s="7" t="s">
        <v>12</v>
      </c>
      <c r="C37" s="26">
        <f>ต.ค!C37+พย!C37+ธค!C37+มค!C37+กพ!C37+มีค!C37</f>
        <v>15</v>
      </c>
      <c r="D37" s="26">
        <f>ต.ค!D37+พย!D37+ธค!D37+มค!D37+กพ!D37+มีค!D37</f>
        <v>14</v>
      </c>
      <c r="E37" s="4">
        <f t="shared" si="2"/>
        <v>8.4107142857142865</v>
      </c>
      <c r="F37" s="26">
        <f>ต.ค!F37+พย!F37+ธค!F37+มค!F37+กพ!F37+มีค!F37</f>
        <v>6</v>
      </c>
      <c r="G37" s="26">
        <f>ต.ค!G37+พย!G37+ธค!G37+มค!G37+กพ!G37+มีค!G37</f>
        <v>0</v>
      </c>
      <c r="H37" s="26">
        <f>ต.ค!H37+พย!H37+ธค!H37+มค!H37+กพ!H37+มีค!H37</f>
        <v>0</v>
      </c>
      <c r="I37" s="26">
        <f>ต.ค!I37+พย!I37+ธค!I37+มค!I37+กพ!I37+มีค!I37</f>
        <v>0</v>
      </c>
      <c r="J37" s="26">
        <f>ต.ค!J37+พย!J37+ธค!J37+มค!J37+กพ!J37+มีค!J37</f>
        <v>0</v>
      </c>
      <c r="K37" s="26">
        <f>ต.ค!K37+พย!K37+ธค!K37+มค!K37+กพ!K37+มีค!K37</f>
        <v>0</v>
      </c>
      <c r="L37" s="26">
        <f>ต.ค!L37+พย!L37+ธค!L37+มค!L37+กพ!L37+มีค!L37</f>
        <v>0</v>
      </c>
      <c r="M37" s="5">
        <f t="shared" si="3"/>
        <v>-2.4107142857142865</v>
      </c>
      <c r="N37" s="28">
        <f t="shared" si="4"/>
        <v>140.17857142857142</v>
      </c>
      <c r="O37" s="26">
        <f>ต.ค!O37+พย!O37+ธค!O37+มค!O37+กพ!O37+มีค!O37</f>
        <v>0</v>
      </c>
      <c r="P37" s="26">
        <f>ต.ค!P37+พย!P37+ธค!P37+มค!P37+กพ!P37+มีค!P37</f>
        <v>0</v>
      </c>
      <c r="Q37" s="26">
        <f>ต.ค!Q37+พย!Q37+ธค!Q37+มค!Q37+กพ!Q37+มีค!Q37</f>
        <v>16</v>
      </c>
      <c r="R37" s="26">
        <f>ต.ค!R37+พย!R37+ธค!R37+มค!R37+กพ!R37+มีค!R37</f>
        <v>4</v>
      </c>
      <c r="S37" s="26">
        <f>ต.ค!S37+พย!S37+ธค!S37+มค!S37+กพ!S37+มีค!S37</f>
        <v>9</v>
      </c>
      <c r="T37" s="37">
        <f t="shared" si="0"/>
        <v>29</v>
      </c>
      <c r="U37" s="28">
        <f t="shared" si="5"/>
        <v>179.36507936507934</v>
      </c>
      <c r="V37" s="59">
        <f t="shared" si="1"/>
        <v>0</v>
      </c>
    </row>
    <row r="38" spans="1:22" ht="24.75" customHeight="1">
      <c r="A38" s="87"/>
      <c r="B38" s="7" t="s">
        <v>13</v>
      </c>
      <c r="C38" s="26">
        <f>ต.ค!C38+พย!C38+ธค!C38+มค!C38+กพ!C38+มีค!C38</f>
        <v>15</v>
      </c>
      <c r="D38" s="26">
        <f>ต.ค!D38+พย!D38+ธค!D38+มค!D38+กพ!D38+มีค!D38</f>
        <v>14</v>
      </c>
      <c r="E38" s="4">
        <f t="shared" si="2"/>
        <v>8.4107142857142865</v>
      </c>
      <c r="F38" s="26">
        <f>ต.ค!F38+พย!F38+ธค!F38+มค!F38+กพ!F38+มีค!F38</f>
        <v>6</v>
      </c>
      <c r="G38" s="26">
        <f>ต.ค!G38+พย!G38+ธค!G38+มค!G38+กพ!G38+มีค!G38</f>
        <v>0</v>
      </c>
      <c r="H38" s="26">
        <f>ต.ค!H38+พย!H38+ธค!H38+มค!H38+กพ!H38+มีค!H38</f>
        <v>0</v>
      </c>
      <c r="I38" s="26">
        <f>ต.ค!I38+พย!I38+ธค!I38+มค!I38+กพ!I38+มีค!I38</f>
        <v>1</v>
      </c>
      <c r="J38" s="26">
        <f>ต.ค!J38+พย!J38+ธค!J38+มค!J38+กพ!J38+มีค!J38</f>
        <v>0</v>
      </c>
      <c r="K38" s="26">
        <f>ต.ค!K38+พย!K38+ธค!K38+มค!K38+กพ!K38+มีค!K38</f>
        <v>0</v>
      </c>
      <c r="L38" s="26">
        <f>ต.ค!L38+พย!L38+ธค!L38+มค!L38+กพ!L38+มีค!L38</f>
        <v>0</v>
      </c>
      <c r="M38" s="5">
        <f t="shared" si="3"/>
        <v>-2.4107142857142865</v>
      </c>
      <c r="N38" s="28">
        <f t="shared" si="4"/>
        <v>120.15306122448979</v>
      </c>
      <c r="O38" s="26">
        <f>ต.ค!O38+พย!O38+ธค!O38+มค!O38+กพ!O38+มีค!O38</f>
        <v>0</v>
      </c>
      <c r="P38" s="26">
        <f>ต.ค!P38+พย!P38+ธค!P38+มค!P38+กพ!P38+มีค!P38</f>
        <v>4</v>
      </c>
      <c r="Q38" s="26">
        <f>ต.ค!Q38+พย!Q38+ธค!Q38+มค!Q38+กพ!Q38+มีค!Q38</f>
        <v>18</v>
      </c>
      <c r="R38" s="26">
        <f>ต.ค!R38+พย!R38+ธค!R38+มค!R38+กพ!R38+มีค!R38</f>
        <v>2</v>
      </c>
      <c r="S38" s="26">
        <f>ต.ค!S38+พย!S38+ธค!S38+มค!S38+กพ!S38+มีค!S38</f>
        <v>9</v>
      </c>
      <c r="T38" s="37">
        <f t="shared" si="0"/>
        <v>33</v>
      </c>
      <c r="U38" s="28">
        <f t="shared" si="5"/>
        <v>160.54421768707482</v>
      </c>
      <c r="V38" s="59">
        <f t="shared" si="1"/>
        <v>-4</v>
      </c>
    </row>
    <row r="39" spans="1:22" ht="24.75" customHeight="1">
      <c r="A39" s="87"/>
      <c r="B39" s="7" t="s">
        <v>14</v>
      </c>
      <c r="C39" s="26">
        <f>ต.ค!C39+พย!C39+ธค!C39+มค!C39+กพ!C39+มีค!C39</f>
        <v>17</v>
      </c>
      <c r="D39" s="26">
        <f>ต.ค!D39+พย!D39+ธค!D39+มค!D39+กพ!D39+มีค!D39</f>
        <v>12</v>
      </c>
      <c r="E39" s="4">
        <f t="shared" si="2"/>
        <v>7.875</v>
      </c>
      <c r="F39" s="26">
        <f>ต.ค!F39+พย!F39+ธค!F39+มค!F39+กพ!F39+มีค!F39</f>
        <v>5</v>
      </c>
      <c r="G39" s="26">
        <f>ต.ค!G39+พย!G39+ธค!G39+มค!G39+กพ!G39+มีค!G39</f>
        <v>0</v>
      </c>
      <c r="H39" s="26">
        <f>ต.ค!H39+พย!H39+ธค!H39+มค!H39+กพ!H39+มีค!H39</f>
        <v>0</v>
      </c>
      <c r="I39" s="26">
        <f>ต.ค!I39+พย!I39+ธค!I39+มค!I39+กพ!I39+มีค!I39</f>
        <v>1</v>
      </c>
      <c r="J39" s="26">
        <f>ต.ค!J39+พย!J39+ธค!J39+มค!J39+กพ!J39+มีค!J39</f>
        <v>0</v>
      </c>
      <c r="K39" s="26">
        <f>ต.ค!K39+พย!K39+ธค!K39+มค!K39+กพ!K39+มีค!K39</f>
        <v>1</v>
      </c>
      <c r="L39" s="26">
        <f>ต.ค!L39+พย!L39+ธค!L39+มค!L39+กพ!L39+มีค!L39</f>
        <v>0</v>
      </c>
      <c r="M39" s="5">
        <f t="shared" si="3"/>
        <v>-2.875</v>
      </c>
      <c r="N39" s="28">
        <f t="shared" si="4"/>
        <v>112.5</v>
      </c>
      <c r="O39" s="26">
        <f>ต.ค!O39+พย!O39+ธค!O39+มค!O39+กพ!O39+มีค!O39</f>
        <v>0</v>
      </c>
      <c r="P39" s="26">
        <f>ต.ค!P39+พย!P39+ธค!P39+มค!P39+กพ!P39+มีค!P39</f>
        <v>0</v>
      </c>
      <c r="Q39" s="26">
        <f>ต.ค!Q39+พย!Q39+ธค!Q39+มค!Q39+กพ!Q39+มีค!Q39</f>
        <v>18</v>
      </c>
      <c r="R39" s="26">
        <f>ต.ค!R39+พย!R39+ธค!R39+มค!R39+กพ!R39+มีค!R39</f>
        <v>5</v>
      </c>
      <c r="S39" s="26">
        <f>ต.ค!S39+พย!S39+ธค!S39+มค!S39+กพ!S39+มีค!S39</f>
        <v>5</v>
      </c>
      <c r="T39" s="37">
        <f t="shared" si="0"/>
        <v>28</v>
      </c>
      <c r="U39" s="28">
        <f t="shared" si="5"/>
        <v>133.67346938775512</v>
      </c>
      <c r="V39" s="59">
        <f t="shared" si="1"/>
        <v>1</v>
      </c>
    </row>
    <row r="40" spans="1:22" ht="24.75" customHeight="1">
      <c r="A40" s="87">
        <v>11</v>
      </c>
      <c r="B40" s="7" t="s">
        <v>12</v>
      </c>
      <c r="C40" s="26">
        <f>ต.ค!C40+พย!C40+ธค!C40+มค!C40+กพ!C40+มีค!C40</f>
        <v>16</v>
      </c>
      <c r="D40" s="26">
        <f>ต.ค!D40+พย!D40+ธค!D40+มค!D40+กพ!D40+มีค!D40</f>
        <v>13</v>
      </c>
      <c r="E40" s="4">
        <f t="shared" si="2"/>
        <v>8.1428571428571423</v>
      </c>
      <c r="F40" s="26">
        <f>ต.ค!F40+พย!F40+ธค!F40+มค!F40+กพ!F40+มีค!F40</f>
        <v>6</v>
      </c>
      <c r="G40" s="26">
        <f>ต.ค!G40+พย!G40+ธค!G40+มค!G40+กพ!G40+มีค!G40</f>
        <v>0</v>
      </c>
      <c r="H40" s="26">
        <f>ต.ค!H40+พย!H40+ธค!H40+มค!H40+กพ!H40+มีค!H40</f>
        <v>0</v>
      </c>
      <c r="I40" s="26">
        <f>ต.ค!I40+พย!I40+ธค!I40+มค!I40+กพ!I40+มีค!I40</f>
        <v>0</v>
      </c>
      <c r="J40" s="26">
        <f>ต.ค!J40+พย!J40+ธค!J40+มค!J40+กพ!J40+มีค!J40</f>
        <v>0</v>
      </c>
      <c r="K40" s="26">
        <f>ต.ค!K40+พย!K40+ธค!K40+มค!K40+กพ!K40+มีค!K40</f>
        <v>0</v>
      </c>
      <c r="L40" s="26">
        <f>ต.ค!L40+พย!L40+ธค!L40+มค!L40+กพ!L40+มีค!L40</f>
        <v>0</v>
      </c>
      <c r="M40" s="5">
        <f t="shared" si="3"/>
        <v>-2.1428571428571423</v>
      </c>
      <c r="N40" s="28">
        <f t="shared" si="4"/>
        <v>135.71428571428572</v>
      </c>
      <c r="O40" s="26">
        <f>ต.ค!O40+พย!O40+ธค!O40+มค!O40+กพ!O40+มีค!O40</f>
        <v>0</v>
      </c>
      <c r="P40" s="26">
        <f>ต.ค!P40+พย!P40+ธค!P40+มค!P40+กพ!P40+มีค!P40</f>
        <v>0</v>
      </c>
      <c r="Q40" s="26">
        <f>ต.ค!Q40+พย!Q40+ธค!Q40+มค!Q40+กพ!Q40+มีค!Q40</f>
        <v>18</v>
      </c>
      <c r="R40" s="26">
        <f>ต.ค!R40+พย!R40+ธค!R40+มค!R40+กพ!R40+มีค!R40</f>
        <v>5</v>
      </c>
      <c r="S40" s="26">
        <f>ต.ค!S40+พย!S40+ธค!S40+มค!S40+กพ!S40+มีค!S40</f>
        <v>6</v>
      </c>
      <c r="T40" s="37">
        <f t="shared" si="0"/>
        <v>29</v>
      </c>
      <c r="U40" s="28">
        <f t="shared" si="5"/>
        <v>165.47619047619045</v>
      </c>
      <c r="V40" s="59">
        <f t="shared" si="1"/>
        <v>0</v>
      </c>
    </row>
    <row r="41" spans="1:22" ht="24.75" customHeight="1">
      <c r="A41" s="87"/>
      <c r="B41" s="7" t="s">
        <v>13</v>
      </c>
      <c r="C41" s="26">
        <f>ต.ค!C41+พย!C41+ธค!C41+มค!C41+กพ!C41+มีค!C41</f>
        <v>14</v>
      </c>
      <c r="D41" s="26">
        <f>ต.ค!D41+พย!D41+ธค!D41+มค!D41+กพ!D41+มีค!D41</f>
        <v>13</v>
      </c>
      <c r="E41" s="4">
        <f t="shared" si="2"/>
        <v>7.8214285714285712</v>
      </c>
      <c r="F41" s="26">
        <f>ต.ค!F41+พย!F41+ธค!F41+มค!F41+กพ!F41+มีค!F41</f>
        <v>6</v>
      </c>
      <c r="G41" s="26">
        <f>ต.ค!G41+พย!G41+ธค!G41+มค!G41+กพ!G41+มีค!G41</f>
        <v>0</v>
      </c>
      <c r="H41" s="26">
        <f>ต.ค!H41+พย!H41+ธค!H41+มค!H41+กพ!H41+มีค!H41</f>
        <v>0</v>
      </c>
      <c r="I41" s="26">
        <f>ต.ค!I41+พย!I41+ธค!I41+มค!I41+กพ!I41+มีค!I41</f>
        <v>0</v>
      </c>
      <c r="J41" s="26">
        <f>ต.ค!J41+พย!J41+ธค!J41+มค!J41+กพ!J41+มีค!J41</f>
        <v>0</v>
      </c>
      <c r="K41" s="26">
        <f>ต.ค!K41+พย!K41+ธค!K41+มค!K41+กพ!K41+มีค!K41</f>
        <v>1</v>
      </c>
      <c r="L41" s="26">
        <f>ต.ค!L41+พย!L41+ธค!L41+มค!L41+กพ!L41+มีค!L41</f>
        <v>0</v>
      </c>
      <c r="M41" s="5">
        <f t="shared" si="3"/>
        <v>-1.8214285714285712</v>
      </c>
      <c r="N41" s="28">
        <f t="shared" si="4"/>
        <v>111.73469387755102</v>
      </c>
      <c r="O41" s="26">
        <f>ต.ค!O41+พย!O41+ธค!O41+มค!O41+กพ!O41+มีค!O41</f>
        <v>0</v>
      </c>
      <c r="P41" s="26">
        <f>ต.ค!P41+พย!P41+ธค!P41+มค!P41+กพ!P41+มีค!P41</f>
        <v>3</v>
      </c>
      <c r="Q41" s="26">
        <f>ต.ค!Q41+พย!Q41+ธค!Q41+มค!Q41+กพ!Q41+มีค!Q41</f>
        <v>13</v>
      </c>
      <c r="R41" s="26">
        <f>ต.ค!R41+พย!R41+ธค!R41+มค!R41+กพ!R41+มีค!R41</f>
        <v>5</v>
      </c>
      <c r="S41" s="26">
        <f>ต.ค!S41+พย!S41+ธค!S41+มค!S41+กพ!S41+มีค!S41</f>
        <v>6</v>
      </c>
      <c r="T41" s="37">
        <f t="shared" si="0"/>
        <v>27</v>
      </c>
      <c r="U41" s="28">
        <f t="shared" si="5"/>
        <v>130.27210884353741</v>
      </c>
      <c r="V41" s="59">
        <f t="shared" si="1"/>
        <v>0</v>
      </c>
    </row>
    <row r="42" spans="1:22" ht="24.75" customHeight="1">
      <c r="A42" s="87"/>
      <c r="B42" s="7" t="s">
        <v>14</v>
      </c>
      <c r="C42" s="26">
        <f>ต.ค!C42+พย!C42+ธค!C42+มค!C42+กพ!C42+มีค!C42</f>
        <v>15</v>
      </c>
      <c r="D42" s="26">
        <f>ต.ค!D42+พย!D42+ธค!D42+มค!D42+กพ!D42+มีค!D42</f>
        <v>13</v>
      </c>
      <c r="E42" s="4">
        <f t="shared" si="2"/>
        <v>7.9821428571428568</v>
      </c>
      <c r="F42" s="26" t="e">
        <f>ต.ค!F42+พย!#REF!+ธค!F42+มค!F42+กพ!F42+มีค!F42</f>
        <v>#REF!</v>
      </c>
      <c r="G42" s="26">
        <f>ต.ค!G42+พย!G42+ธค!G42+มค!G42+กพ!G42+มีค!G42</f>
        <v>0</v>
      </c>
      <c r="H42" s="26">
        <f>ต.ค!H42+พย!H42+ธค!H42+มค!H42+กพ!H42+มีค!H42</f>
        <v>0</v>
      </c>
      <c r="I42" s="26">
        <f>ต.ค!I42+พย!I42+ธค!I42+มค!I42+กพ!I42+มีค!I42</f>
        <v>2</v>
      </c>
      <c r="J42" s="26">
        <f>ต.ค!J42+พย!J42+ธค!J42+มค!J42+กพ!J42+มีค!J42</f>
        <v>0</v>
      </c>
      <c r="K42" s="26">
        <f>ต.ค!K42+พย!K42+ธค!K42+มค!K42+กพ!K42+มีค!K42</f>
        <v>0</v>
      </c>
      <c r="L42" s="26">
        <f>ต.ค!L42+พย!L42+ธค!L42+มค!L42+กพ!L42+มีค!L42</f>
        <v>0</v>
      </c>
      <c r="M42" s="5" t="e">
        <f t="shared" si="3"/>
        <v>#REF!</v>
      </c>
      <c r="N42" s="28" t="e">
        <f t="shared" si="4"/>
        <v>#REF!</v>
      </c>
      <c r="O42" s="26">
        <f>ต.ค!O42+พย!O42+ธค!O42+มค!O42+กพ!O42+มีค!O42</f>
        <v>0</v>
      </c>
      <c r="P42" s="26">
        <f>ต.ค!P42+พย!P42+ธค!P42+มค!P42+กพ!P42+มีค!P42</f>
        <v>0</v>
      </c>
      <c r="Q42" s="26">
        <f>ต.ค!Q42+พย!Q42+ธค!Q42+มค!Q42+กพ!Q42+มีค!Q42</f>
        <v>15</v>
      </c>
      <c r="R42" s="26">
        <f>ต.ค!R42+พย!R42+ธค!R42+มค!R42+กพ!R42+มีค!R42</f>
        <v>6</v>
      </c>
      <c r="S42" s="26">
        <f>ต.ค!S42+พย!S42+ธค!S42+มค!S42+กพ!S42+มีค!S42</f>
        <v>6</v>
      </c>
      <c r="T42" s="37">
        <f t="shared" si="0"/>
        <v>27</v>
      </c>
      <c r="U42" s="28" t="e">
        <f t="shared" si="5"/>
        <v>#REF!</v>
      </c>
      <c r="V42" s="59">
        <f t="shared" si="1"/>
        <v>1</v>
      </c>
    </row>
    <row r="43" spans="1:22" ht="24.75" customHeight="1">
      <c r="A43" s="87">
        <v>12</v>
      </c>
      <c r="B43" s="7" t="s">
        <v>12</v>
      </c>
      <c r="C43" s="26">
        <f>ต.ค!C43+พย!C43+ธค!C43+มค!C43+กพ!C43+มีค!C43</f>
        <v>14</v>
      </c>
      <c r="D43" s="26">
        <f>ต.ค!D43+พย!D43+ธค!D43+มค!D43+กพ!D43+มีค!D43</f>
        <v>13</v>
      </c>
      <c r="E43" s="4">
        <f t="shared" si="2"/>
        <v>7.8214285714285712</v>
      </c>
      <c r="F43" s="26">
        <f>ต.ค!F43+พย!F42+ธค!F43+มค!F43+กพ!F43+มีค!F43</f>
        <v>6</v>
      </c>
      <c r="G43" s="26">
        <f>ต.ค!G43+พย!G43+ธค!G43+มค!G43+กพ!G43+มีค!G43</f>
        <v>0</v>
      </c>
      <c r="H43" s="26">
        <f>ต.ค!H43+พย!H43+ธค!H43+มค!H43+กพ!H43+มีค!H43</f>
        <v>0</v>
      </c>
      <c r="I43" s="26">
        <f>ต.ค!I43+พย!I43+ธค!I43+มค!I43+กพ!I43+มีค!I43</f>
        <v>0</v>
      </c>
      <c r="J43" s="26">
        <f>ต.ค!J43+พย!J43+ธค!J43+มค!J43+กพ!J43+มีค!J43</f>
        <v>0</v>
      </c>
      <c r="K43" s="26">
        <f>ต.ค!K43+พย!K43+ธค!K43+มค!K43+กพ!K43+มีค!K43</f>
        <v>0</v>
      </c>
      <c r="L43" s="26">
        <f>ต.ค!L43+พย!L43+ธค!L43+มค!L43+กพ!L43+มีค!L43</f>
        <v>0</v>
      </c>
      <c r="M43" s="5">
        <f t="shared" si="3"/>
        <v>-1.8214285714285712</v>
      </c>
      <c r="N43" s="28">
        <f t="shared" si="4"/>
        <v>130.35714285714286</v>
      </c>
      <c r="O43" s="26">
        <f>ต.ค!O43+พย!O43+ธค!O43+มค!O43+กพ!O43+มีค!O43</f>
        <v>0</v>
      </c>
      <c r="P43" s="26">
        <f>ต.ค!P43+พย!P43+ธค!P43+มค!P43+กพ!P43+มีค!P43</f>
        <v>0</v>
      </c>
      <c r="Q43" s="26">
        <f>ต.ค!Q43+พย!Q43+ธค!Q43+มค!Q43+กพ!Q43+มีค!Q43</f>
        <v>16</v>
      </c>
      <c r="R43" s="26">
        <f>ต.ค!R43+พย!R43+ธค!R43+มค!R43+กพ!R43+มีค!R43</f>
        <v>4</v>
      </c>
      <c r="S43" s="26">
        <f>ต.ค!S43+พย!S43+ธค!S43+มค!S43+กพ!S43+มีค!S43</f>
        <v>7</v>
      </c>
      <c r="T43" s="37">
        <f t="shared" si="0"/>
        <v>27</v>
      </c>
      <c r="U43" s="28">
        <f t="shared" si="5"/>
        <v>160.3174603174603</v>
      </c>
      <c r="V43" s="59">
        <f t="shared" si="1"/>
        <v>0</v>
      </c>
    </row>
    <row r="44" spans="1:22" ht="24.75" customHeight="1">
      <c r="A44" s="87"/>
      <c r="B44" s="7" t="s">
        <v>13</v>
      </c>
      <c r="C44" s="26">
        <f>ต.ค!C44+พย!C44+ธค!C44+มค!C44+กพ!C44+มีค!C44</f>
        <v>14</v>
      </c>
      <c r="D44" s="26">
        <f>ต.ค!D44+พย!D44+ธค!D44+มค!D44+กพ!D44+มีค!D44</f>
        <v>13</v>
      </c>
      <c r="E44" s="4">
        <f t="shared" si="2"/>
        <v>7.8214285714285712</v>
      </c>
      <c r="F44" s="26">
        <f>ต.ค!F44+พย!F44+ธค!F44+มค!F44+กพ!F44+มีค!F44</f>
        <v>6</v>
      </c>
      <c r="G44" s="26">
        <f>ต.ค!G44+พย!G44+ธค!G44+มค!G44+กพ!G44+มีค!G44</f>
        <v>0</v>
      </c>
      <c r="H44" s="26">
        <f>ต.ค!H44+พย!H44+ธค!H44+มค!H44+กพ!H44+มีค!H44</f>
        <v>0</v>
      </c>
      <c r="I44" s="26">
        <f>ต.ค!I44+พย!I44+ธค!I44+มค!I44+กพ!I44+มีค!I44</f>
        <v>1</v>
      </c>
      <c r="J44" s="26">
        <f>ต.ค!J44+พย!J44+ธค!J44+มค!J44+กพ!J44+มีค!J44</f>
        <v>0</v>
      </c>
      <c r="K44" s="26">
        <f>ต.ค!K44+พย!K44+ธค!K44+มค!K44+กพ!K44+มีค!K44</f>
        <v>1</v>
      </c>
      <c r="L44" s="26">
        <f>ต.ค!L44+พย!L44+ธค!L44+มค!L44+กพ!L44+มีค!L44</f>
        <v>0</v>
      </c>
      <c r="M44" s="5">
        <f t="shared" si="3"/>
        <v>-1.8214285714285712</v>
      </c>
      <c r="N44" s="28">
        <f t="shared" si="4"/>
        <v>97.767857142857139</v>
      </c>
      <c r="O44" s="26">
        <f>ต.ค!O44+พย!O44+ธค!O44+มค!O44+กพ!O44+มีค!O44</f>
        <v>0</v>
      </c>
      <c r="P44" s="26">
        <f>ต.ค!P44+พย!P44+ธค!P44+มค!P44+กพ!P44+มีค!P44</f>
        <v>4</v>
      </c>
      <c r="Q44" s="26">
        <f>ต.ค!Q44+พย!Q44+ธค!Q44+มค!Q44+กพ!Q44+มีค!Q44</f>
        <v>10</v>
      </c>
      <c r="R44" s="26">
        <f>ต.ค!R44+พย!R44+ธค!R44+มค!R44+กพ!R44+มีค!R44</f>
        <v>4</v>
      </c>
      <c r="S44" s="26">
        <f>ต.ค!S44+พย!S44+ธค!S44+มค!S44+กพ!S44+มีค!S44</f>
        <v>7</v>
      </c>
      <c r="T44" s="37">
        <f t="shared" si="0"/>
        <v>25</v>
      </c>
      <c r="U44" s="28">
        <f t="shared" si="5"/>
        <v>108.92857142857142</v>
      </c>
      <c r="V44" s="59">
        <f t="shared" si="1"/>
        <v>2</v>
      </c>
    </row>
    <row r="45" spans="1:22" ht="24.75" customHeight="1">
      <c r="A45" s="87"/>
      <c r="B45" s="7" t="s">
        <v>14</v>
      </c>
      <c r="C45" s="26">
        <f>ต.ค!C45+พย!C45+ธค!C45+มค!C45+กพ!C45+มีค!C45</f>
        <v>13</v>
      </c>
      <c r="D45" s="26">
        <f>ต.ค!D45+พย!D45+ธค!D45+มค!D45+กพ!D45+มีค!D45</f>
        <v>12</v>
      </c>
      <c r="E45" s="4">
        <f t="shared" si="2"/>
        <v>7.2321428571428568</v>
      </c>
      <c r="F45" s="26">
        <f>ต.ค!F45+พย!F45+ธค!F45+มค!F45+กพ!F45+มีค!F45</f>
        <v>5</v>
      </c>
      <c r="G45" s="26">
        <f>ต.ค!G45+พย!G45+ธค!G45+มค!G45+กพ!G45+มีค!G45</f>
        <v>0</v>
      </c>
      <c r="H45" s="26">
        <f>ต.ค!H45+พย!H45+ธค!H45+มค!H45+กพ!H45+มีค!H45</f>
        <v>0</v>
      </c>
      <c r="I45" s="26">
        <f>ต.ค!I45+พย!I45+ธค!I45+มค!I45+กพ!I45+มีค!I45</f>
        <v>1</v>
      </c>
      <c r="J45" s="26">
        <f>ต.ค!J45+พย!J45+ธค!J45+มค!J45+กพ!J45+มีค!J45</f>
        <v>0</v>
      </c>
      <c r="K45" s="26">
        <f>ต.ค!K45+พย!K45+ธค!K45+มค!K45+กพ!K45+มีค!K45</f>
        <v>1</v>
      </c>
      <c r="L45" s="26">
        <f>ต.ค!L45+พย!L45+ธค!L45+มค!L45+กพ!L45+มีค!L45</f>
        <v>0</v>
      </c>
      <c r="M45" s="5">
        <f t="shared" si="3"/>
        <v>-2.2321428571428568</v>
      </c>
      <c r="N45" s="28">
        <f t="shared" si="4"/>
        <v>103.31632653061224</v>
      </c>
      <c r="O45" s="26">
        <f>ต.ค!O45+พย!O45+ธค!O45+มค!O45+กพ!O45+มีค!O45</f>
        <v>0</v>
      </c>
      <c r="P45" s="26">
        <f>ต.ค!P45+พย!P45+ธค!P45+มค!P45+กพ!P45+มีค!P45</f>
        <v>0</v>
      </c>
      <c r="Q45" s="26">
        <f>ต.ค!Q45+พย!Q45+ธค!Q45+มค!Q45+กพ!Q45+มีค!Q45</f>
        <v>15</v>
      </c>
      <c r="R45" s="26">
        <f>ต.ค!R45+พย!R45+ธค!R45+มค!R45+กพ!R45+มีค!R45</f>
        <v>3</v>
      </c>
      <c r="S45" s="26">
        <f>ต.ค!S45+พย!S45+ธค!S45+มค!S45+กพ!S45+มีค!S45</f>
        <v>7</v>
      </c>
      <c r="T45" s="37">
        <f t="shared" si="0"/>
        <v>25</v>
      </c>
      <c r="U45" s="28">
        <f t="shared" si="5"/>
        <v>128.57142857142858</v>
      </c>
      <c r="V45" s="59">
        <f t="shared" si="1"/>
        <v>0</v>
      </c>
    </row>
    <row r="46" spans="1:22" ht="24.75" customHeight="1">
      <c r="A46" s="87">
        <v>13</v>
      </c>
      <c r="B46" s="7" t="s">
        <v>12</v>
      </c>
      <c r="C46" s="26">
        <f>ต.ค!C46+พย!C46+ธค!C46+มค!C46+กพ!C46+มีค!C46</f>
        <v>13</v>
      </c>
      <c r="D46" s="26">
        <f>ต.ค!D46+พย!D46+ธค!D46+มค!D46+กพ!D46+มีค!D46</f>
        <v>12</v>
      </c>
      <c r="E46" s="4">
        <f t="shared" si="2"/>
        <v>7.2321428571428568</v>
      </c>
      <c r="F46" s="26">
        <f>ต.ค!F46+พย!F46+ธค!F46+มค!F46+กพ!F46+มีค!F46</f>
        <v>5</v>
      </c>
      <c r="G46" s="26">
        <f>ต.ค!G46+พย!G46+ธค!G46+มค!G46+กพ!G46+มีค!G46</f>
        <v>0</v>
      </c>
      <c r="H46" s="26">
        <f>ต.ค!H46+พย!H46+ธค!H46+มค!H46+กพ!H46+มีค!H46</f>
        <v>0</v>
      </c>
      <c r="I46" s="26">
        <f>ต.ค!I46+พย!I46+ธค!I46+มค!I46+กพ!I46+มีค!I46</f>
        <v>1</v>
      </c>
      <c r="J46" s="26">
        <f>ต.ค!J46+พย!J46+ธค!J46+มค!J46+กพ!J46+มีค!J46</f>
        <v>0</v>
      </c>
      <c r="K46" s="26">
        <f>ต.ค!K46+พย!K46+ธค!K46+มค!K46+กพ!K46+มีค!K46</f>
        <v>0</v>
      </c>
      <c r="L46" s="26">
        <f>ต.ค!L46+พย!L46+ธค!L46+มค!L46+กพ!L46+มีค!L46</f>
        <v>0</v>
      </c>
      <c r="M46" s="5">
        <f t="shared" si="3"/>
        <v>-2.2321428571428568</v>
      </c>
      <c r="N46" s="28">
        <f t="shared" si="4"/>
        <v>120.53571428571428</v>
      </c>
      <c r="O46" s="26">
        <f>ต.ค!O46+พย!O46+ธค!O46+มค!O46+กพ!O46+มีค!O46</f>
        <v>0</v>
      </c>
      <c r="P46" s="26">
        <f>ต.ค!P46+พย!P46+ธค!P46+มค!P46+กพ!P46+มีค!P46</f>
        <v>0</v>
      </c>
      <c r="Q46" s="26">
        <f>ต.ค!Q46+พย!Q46+ธค!Q46+มค!Q46+กพ!Q46+มีค!Q46</f>
        <v>16</v>
      </c>
      <c r="R46" s="26">
        <f>ต.ค!R46+พย!R46+ธค!R46+มค!R46+กพ!R46+มีค!R46</f>
        <v>2</v>
      </c>
      <c r="S46" s="26">
        <f>ต.ค!S46+พย!S46+ธค!S46+มค!S46+กพ!S46+มีค!S46</f>
        <v>7</v>
      </c>
      <c r="T46" s="37">
        <f t="shared" si="0"/>
        <v>25</v>
      </c>
      <c r="U46" s="28">
        <f t="shared" si="5"/>
        <v>148.41269841269843</v>
      </c>
      <c r="V46" s="59">
        <f t="shared" si="1"/>
        <v>0</v>
      </c>
    </row>
    <row r="47" spans="1:22" ht="24.75" customHeight="1">
      <c r="A47" s="87"/>
      <c r="B47" s="7" t="s">
        <v>13</v>
      </c>
      <c r="C47" s="26">
        <f>ต.ค!C47+พย!C47+ธค!C47+มค!C47+กพ!C47+มีค!C47</f>
        <v>13</v>
      </c>
      <c r="D47" s="26">
        <f>ต.ค!D47+พย!D47+ธค!D47+มค!D47+กพ!D47+มีค!D47</f>
        <v>10</v>
      </c>
      <c r="E47" s="4">
        <f t="shared" si="2"/>
        <v>6.375</v>
      </c>
      <c r="F47" s="26">
        <f>ต.ค!F47+พย!F47+ธค!F47+มค!F47+กพ!F47+มีค!F47</f>
        <v>5</v>
      </c>
      <c r="G47" s="26">
        <f>ต.ค!G47+พย!G47+ธค!G47+มค!G47+กพ!G47+มีค!G47</f>
        <v>0</v>
      </c>
      <c r="H47" s="26">
        <f>ต.ค!H47+พย!H47+ธค!H47+มค!H47+กพ!H47+มีค!H47</f>
        <v>0</v>
      </c>
      <c r="I47" s="26">
        <f>ต.ค!I47+พย!I47+ธค!I47+มค!I47+กพ!I47+มีค!I47</f>
        <v>0</v>
      </c>
      <c r="J47" s="26">
        <f>ต.ค!J47+พย!J47+ธค!J47+มค!J47+กพ!J47+มีค!J47</f>
        <v>0</v>
      </c>
      <c r="K47" s="26">
        <f>ต.ค!K47+พย!K47+ธค!K47+มค!K47+กพ!K47+มีค!K47</f>
        <v>1</v>
      </c>
      <c r="L47" s="26">
        <f>ต.ค!L47+พย!L47+ธค!L47+มค!L47+กพ!L47+มีค!L47</f>
        <v>0</v>
      </c>
      <c r="M47" s="5">
        <f t="shared" si="3"/>
        <v>-1.375</v>
      </c>
      <c r="N47" s="28">
        <f t="shared" si="4"/>
        <v>106.25</v>
      </c>
      <c r="O47" s="26">
        <f>ต.ค!O47+พย!O47+ธค!O47+มค!O47+กพ!O47+มีค!O47</f>
        <v>0</v>
      </c>
      <c r="P47" s="26">
        <f>ต.ค!P47+พย!P47+ธค!P47+มค!P47+กพ!P47+มีค!P47</f>
        <v>1</v>
      </c>
      <c r="Q47" s="26">
        <f>ต.ค!Q47+พย!Q47+ธค!Q47+มค!Q47+กพ!Q47+มีค!Q47</f>
        <v>13</v>
      </c>
      <c r="R47" s="26">
        <f>ต.ค!R47+พย!R47+ธค!R47+มค!R47+กพ!R47+มีค!R47</f>
        <v>2</v>
      </c>
      <c r="S47" s="26">
        <f>ต.ค!S47+พย!S47+ธค!S47+มค!S47+กพ!S47+มีค!S47</f>
        <v>7</v>
      </c>
      <c r="T47" s="37">
        <f t="shared" si="0"/>
        <v>23</v>
      </c>
      <c r="U47" s="28">
        <f t="shared" si="5"/>
        <v>138.0952380952381</v>
      </c>
      <c r="V47" s="59">
        <f t="shared" si="1"/>
        <v>0</v>
      </c>
    </row>
    <row r="48" spans="1:22" ht="24.75" customHeight="1">
      <c r="A48" s="87"/>
      <c r="B48" s="7" t="s">
        <v>14</v>
      </c>
      <c r="C48" s="26">
        <f>ต.ค!C48+พย!C48+ธค!C48+มค!C48+กพ!C48+มีค!C48</f>
        <v>15</v>
      </c>
      <c r="D48" s="26">
        <f>ต.ค!D48+พย!D48+ธค!D48+มค!D48+กพ!D48+มีค!D48</f>
        <v>10</v>
      </c>
      <c r="E48" s="4">
        <f t="shared" si="2"/>
        <v>6.6964285714285712</v>
      </c>
      <c r="F48" s="26">
        <f>ต.ค!F48+พย!F48+ธค!F48+มค!F48+กพ!F48+มีค!F48</f>
        <v>6</v>
      </c>
      <c r="G48" s="26">
        <f>ต.ค!G48+พย!G48+ธค!G48+มค!G48+กพ!G48+มีค!G48</f>
        <v>0</v>
      </c>
      <c r="H48" s="26">
        <f>ต.ค!H48+พย!H48+ธค!H48+มค!H48+กพ!H48+มีค!H48</f>
        <v>1</v>
      </c>
      <c r="I48" s="26">
        <f>ต.ค!I48+พย!I48+ธค!I48+มค!I48+กพ!I48+มีค!I48</f>
        <v>0</v>
      </c>
      <c r="J48" s="26">
        <f>ต.ค!J48+พย!J48+ธค!J48+มค!J48+กพ!J48+มีค!J48</f>
        <v>0</v>
      </c>
      <c r="K48" s="26">
        <f>ต.ค!K48+พย!K48+ธค!K48+มค!K48+กพ!K48+มีค!K48</f>
        <v>0</v>
      </c>
      <c r="L48" s="26">
        <f>ต.ค!L48+พย!L48+ธค!L48+มค!L48+กพ!L48+มีค!L48</f>
        <v>0</v>
      </c>
      <c r="M48" s="5">
        <f t="shared" si="3"/>
        <v>0.30357142857142883</v>
      </c>
      <c r="N48" s="28">
        <f t="shared" si="4"/>
        <v>95.66326530612244</v>
      </c>
      <c r="O48" s="26">
        <f>ต.ค!O48+พย!O48+ธค!O48+มค!O48+กพ!O48+มีค!O48</f>
        <v>0</v>
      </c>
      <c r="P48" s="26">
        <f>ต.ค!P48+พย!P48+ธค!P48+มค!P48+กพ!P48+มีค!P48</f>
        <v>0</v>
      </c>
      <c r="Q48" s="26">
        <f>ต.ค!Q48+พย!Q48+ธค!Q48+มค!Q48+กพ!Q48+มีค!Q48</f>
        <v>17</v>
      </c>
      <c r="R48" s="26">
        <f>ต.ค!R48+พย!R48+ธค!R48+มค!R48+กพ!R48+มีค!R48</f>
        <v>3</v>
      </c>
      <c r="S48" s="26">
        <f>ต.ค!S48+พย!S48+ธค!S48+มค!S48+กพ!S48+มีค!S48</f>
        <v>5</v>
      </c>
      <c r="T48" s="37">
        <f t="shared" si="0"/>
        <v>25</v>
      </c>
      <c r="U48" s="28">
        <f t="shared" si="5"/>
        <v>119.72789115646259</v>
      </c>
      <c r="V48" s="59">
        <f t="shared" si="1"/>
        <v>0</v>
      </c>
    </row>
    <row r="49" spans="1:22" ht="24.75" customHeight="1">
      <c r="A49" s="87">
        <v>14</v>
      </c>
      <c r="B49" s="7" t="s">
        <v>12</v>
      </c>
      <c r="C49" s="26">
        <f>ต.ค!C49+พย!C49+ธค!C49+มค!C49+กพ!C49+มีค!C49</f>
        <v>15</v>
      </c>
      <c r="D49" s="26">
        <f>ต.ค!D49+พย!D49+ธค!D49+มค!D49+กพ!D49+มีค!D49</f>
        <v>10</v>
      </c>
      <c r="E49" s="4">
        <f t="shared" si="2"/>
        <v>6.6964285714285712</v>
      </c>
      <c r="F49" s="26">
        <f>ต.ค!F49+พย!F49+ธค!F49+มค!F49+กพ!F49+มีค!F49</f>
        <v>6</v>
      </c>
      <c r="G49" s="26">
        <f>ต.ค!G49+พย!G49+ธค!G49+มค!G49+กพ!G49+มีค!G49</f>
        <v>0</v>
      </c>
      <c r="H49" s="26">
        <f>ต.ค!H49+พย!H49+ธค!H49+มค!H49+กพ!H49+มีค!H49</f>
        <v>0</v>
      </c>
      <c r="I49" s="26">
        <f>ต.ค!I49+พย!I49+ธค!I49+มค!I49+กพ!I49+มีค!I49</f>
        <v>0</v>
      </c>
      <c r="J49" s="26">
        <f>ต.ค!J49+พย!J49+ธค!J49+มค!J49+กพ!J49+มีค!J49</f>
        <v>0</v>
      </c>
      <c r="K49" s="26">
        <f>ต.ค!K49+พย!K49+ธค!K49+มค!K49+กพ!K49+มีค!K49</f>
        <v>0</v>
      </c>
      <c r="L49" s="26">
        <f>ต.ค!L49+พย!L49+ธค!L49+มค!L49+กพ!L49+มีค!L49</f>
        <v>0</v>
      </c>
      <c r="M49" s="5">
        <f t="shared" si="3"/>
        <v>-0.69642857142857117</v>
      </c>
      <c r="N49" s="28">
        <f t="shared" si="4"/>
        <v>111.60714285714286</v>
      </c>
      <c r="O49" s="26">
        <f>ต.ค!O49+พย!O49+ธค!O49+มค!O49+กพ!O49+มีค!O49</f>
        <v>0</v>
      </c>
      <c r="P49" s="26">
        <f>ต.ค!P49+พย!P49+ธค!P49+มค!P49+กพ!P49+มีค!P49</f>
        <v>0</v>
      </c>
      <c r="Q49" s="26">
        <f>ต.ค!Q49+พย!Q49+ธค!Q49+มค!Q49+กพ!Q49+มีค!Q49</f>
        <v>17</v>
      </c>
      <c r="R49" s="26">
        <f>ต.ค!R49+พย!R49+ธค!R49+มค!R49+กพ!R49+มีค!R49</f>
        <v>3</v>
      </c>
      <c r="S49" s="26">
        <f>ต.ค!S49+พย!S49+ธค!S49+มค!S49+กพ!S49+มีค!S49</f>
        <v>5</v>
      </c>
      <c r="T49" s="37">
        <f t="shared" si="0"/>
        <v>25</v>
      </c>
      <c r="U49" s="28">
        <f t="shared" si="5"/>
        <v>139.68253968253967</v>
      </c>
      <c r="V49" s="59">
        <f t="shared" si="1"/>
        <v>0</v>
      </c>
    </row>
    <row r="50" spans="1:22" ht="24.75" customHeight="1">
      <c r="A50" s="87"/>
      <c r="B50" s="7" t="s">
        <v>13</v>
      </c>
      <c r="C50" s="26">
        <f>ต.ค!C50+พย!C50+ธค!C50+มค!C50+กพ!C50+มีค!C50</f>
        <v>16</v>
      </c>
      <c r="D50" s="26">
        <f>ต.ค!D50+พย!D50+ธค!D50+มค!D50+กพ!D50+มีค!D50</f>
        <v>11</v>
      </c>
      <c r="E50" s="4">
        <f t="shared" si="2"/>
        <v>7.2857142857142856</v>
      </c>
      <c r="F50" s="26">
        <f>ต.ค!F50+พย!F50+ธค!F50+มค!F50+กพ!F50+มีค!F50</f>
        <v>4</v>
      </c>
      <c r="G50" s="26">
        <f>ต.ค!G50+พย!G50+ธค!G50+มค!G50+กพ!G50+มีค!G50</f>
        <v>0</v>
      </c>
      <c r="H50" s="26">
        <f>ต.ค!H50+พย!H50+ธค!H50+มค!H50+กพ!H50+มีค!H50</f>
        <v>0</v>
      </c>
      <c r="I50" s="26">
        <f>ต.ค!I50+พย!I50+ธค!I50+มค!I50+กพ!I50+มีค!I50</f>
        <v>2</v>
      </c>
      <c r="J50" s="26">
        <f>ต.ค!J50+พย!J50+ธค!J50+มค!J50+กพ!J50+มีค!J50</f>
        <v>0</v>
      </c>
      <c r="K50" s="26">
        <f>ต.ค!K50+พย!K50+ธค!K50+มค!K50+กพ!K50+มีค!K50</f>
        <v>2</v>
      </c>
      <c r="L50" s="26">
        <f>ต.ค!L50+พย!L50+ธค!L50+มค!L50+กพ!L50+มีค!L50</f>
        <v>0</v>
      </c>
      <c r="M50" s="5">
        <f t="shared" si="3"/>
        <v>-3.2857142857142856</v>
      </c>
      <c r="N50" s="28">
        <f t="shared" si="4"/>
        <v>91.071428571428569</v>
      </c>
      <c r="O50" s="26">
        <f>ต.ค!O50+พย!O50+ธค!O50+มค!O50+กพ!O50+มีค!O50</f>
        <v>0</v>
      </c>
      <c r="P50" s="26">
        <f>ต.ค!P50+พย!P50+ธค!P50+มค!P50+กพ!P50+มีค!P50</f>
        <v>4</v>
      </c>
      <c r="Q50" s="26">
        <f>ต.ค!Q50+พย!Q50+ธค!Q50+มค!Q50+กพ!Q50+มีค!Q50</f>
        <v>14</v>
      </c>
      <c r="R50" s="26">
        <f>ต.ค!R50+พย!R50+ธค!R50+มค!R50+กพ!R50+มีค!R50</f>
        <v>3</v>
      </c>
      <c r="S50" s="26">
        <f>ต.ค!S50+พย!S50+ธค!S50+มค!S50+กพ!S50+มีค!S50</f>
        <v>6</v>
      </c>
      <c r="T50" s="37">
        <f t="shared" si="0"/>
        <v>27</v>
      </c>
      <c r="U50" s="28">
        <f t="shared" si="5"/>
        <v>110.41666666666667</v>
      </c>
      <c r="V50" s="59">
        <f t="shared" si="1"/>
        <v>0</v>
      </c>
    </row>
    <row r="51" spans="1:22" ht="24.75" customHeight="1">
      <c r="A51" s="87"/>
      <c r="B51" s="7" t="s">
        <v>14</v>
      </c>
      <c r="C51" s="26">
        <f>ต.ค!C51+พย!C51+ธค!C51+มค!C51+กพ!C51+มีค!C51</f>
        <v>13</v>
      </c>
      <c r="D51" s="26">
        <f>ต.ค!D51+พย!D51+ธค!D51+มค!D51+กพ!D51+มีค!D51</f>
        <v>11</v>
      </c>
      <c r="E51" s="4">
        <f t="shared" si="2"/>
        <v>6.8035714285714288</v>
      </c>
      <c r="F51" s="26">
        <f>ต.ค!F51+พย!F51+ธค!F51+มค!F51+กพ!F51+มีค!F51</f>
        <v>6</v>
      </c>
      <c r="G51" s="26">
        <f>ต.ค!G51+พย!G51+ธค!G51+มค!G51+กพ!G51+มีค!G51</f>
        <v>0</v>
      </c>
      <c r="H51" s="26">
        <f>ต.ค!H51+พย!H51+ธค!H51+มค!H51+กพ!H51+มีค!H51</f>
        <v>1</v>
      </c>
      <c r="I51" s="26">
        <f>ต.ค!I51+พย!I51+ธค!I51+มค!I51+กพ!I51+มีค!I51</f>
        <v>0</v>
      </c>
      <c r="J51" s="26">
        <f>ต.ค!J51+พย!J51+ธค!J51+มค!J51+กพ!J51+มีค!J51</f>
        <v>0</v>
      </c>
      <c r="K51" s="26">
        <f>ต.ค!K51+พย!K51+ธค!K51+มค!K51+กพ!K51+มีค!K51</f>
        <v>0</v>
      </c>
      <c r="L51" s="26">
        <f>ต.ค!L51+พย!L51+ธค!L51+มค!L51+กพ!L51+มีค!L51</f>
        <v>0</v>
      </c>
      <c r="M51" s="5">
        <f t="shared" si="3"/>
        <v>0.19642857142857117</v>
      </c>
      <c r="N51" s="28">
        <f t="shared" si="4"/>
        <v>97.193877551020407</v>
      </c>
      <c r="O51" s="26">
        <f>ต.ค!O51+พย!O51+ธค!O51+มค!O51+กพ!O51+มีค!O51</f>
        <v>0</v>
      </c>
      <c r="P51" s="26">
        <f>ต.ค!P51+พย!P51+ธค!P51+มค!P51+กพ!P51+มีค!P51</f>
        <v>0</v>
      </c>
      <c r="Q51" s="26">
        <f>ต.ค!Q51+พย!Q51+ธค!Q51+มค!Q51+กพ!Q51+มีค!Q51</f>
        <v>15</v>
      </c>
      <c r="R51" s="26">
        <f>ต.ค!R51+พย!R51+ธค!R51+มค!R51+กพ!R51+มีค!R51</f>
        <v>5</v>
      </c>
      <c r="S51" s="26">
        <f>ต.ค!S51+พย!S51+ธค!S51+มค!S51+กพ!S51+มีค!S51</f>
        <v>4</v>
      </c>
      <c r="T51" s="37">
        <f t="shared" si="0"/>
        <v>24</v>
      </c>
      <c r="U51" s="28">
        <f t="shared" si="5"/>
        <v>114.28571428571428</v>
      </c>
      <c r="V51" s="59">
        <f t="shared" si="1"/>
        <v>0</v>
      </c>
    </row>
    <row r="52" spans="1:22" ht="24.75" customHeight="1">
      <c r="A52" s="87">
        <v>15</v>
      </c>
      <c r="B52" s="7" t="s">
        <v>12</v>
      </c>
      <c r="C52" s="26">
        <f>ต.ค!C52+พย!C52+ธค!C52+มค!C52+กพ!C52+มีค!C52</f>
        <v>13</v>
      </c>
      <c r="D52" s="26">
        <f>ต.ค!D52+พย!D52+ธค!D52+มค!D52+กพ!D52+มีค!D52</f>
        <v>10</v>
      </c>
      <c r="E52" s="4">
        <f t="shared" si="2"/>
        <v>6.375</v>
      </c>
      <c r="F52" s="26">
        <f>ต.ค!F52+พย!F52+ธค!F52+มค!F52+กพ!F52+มีค!F52</f>
        <v>6</v>
      </c>
      <c r="G52" s="26">
        <f>ต.ค!G52+พย!G52+ธค!G52+มค!G52+กพ!G52+มีค!G52</f>
        <v>0</v>
      </c>
      <c r="H52" s="26">
        <f>ต.ค!H52+พย!H52+ธค!H52+มค!H52+กพ!H52+มีค!H52</f>
        <v>0</v>
      </c>
      <c r="I52" s="26">
        <f>ต.ค!I52+พย!I52+ธค!I52+มค!I52+กพ!I52+มีค!I52</f>
        <v>0</v>
      </c>
      <c r="J52" s="26">
        <f>ต.ค!J52+พย!J52+ธค!J52+มค!J52+กพ!J52+มีค!J52</f>
        <v>0</v>
      </c>
      <c r="K52" s="26">
        <f>ต.ค!K52+พย!K52+ธค!K52+มค!K52+กพ!K52+มีค!K52</f>
        <v>0</v>
      </c>
      <c r="L52" s="26">
        <f>ต.ค!L52+พย!L52+ธค!L52+มค!L52+กพ!L52+มีค!L52</f>
        <v>0</v>
      </c>
      <c r="M52" s="5">
        <f t="shared" si="3"/>
        <v>-0.375</v>
      </c>
      <c r="N52" s="28">
        <f t="shared" si="4"/>
        <v>106.25</v>
      </c>
      <c r="O52" s="26">
        <f>ต.ค!O52+พย!O52+ธค!O52+มค!O52+กพ!O52+มีค!O52</f>
        <v>0</v>
      </c>
      <c r="P52" s="26">
        <f>ต.ค!P52+พย!P52+ธค!P52+มค!P52+กพ!P52+มีค!P52</f>
        <v>0</v>
      </c>
      <c r="Q52" s="26">
        <f>ต.ค!Q52+พย!Q52+ธค!Q52+มค!Q52+กพ!Q52+มีค!Q52</f>
        <v>15</v>
      </c>
      <c r="R52" s="26">
        <f>ต.ค!R52+พย!R52+ธค!R52+มค!R52+กพ!R52+มีค!R52</f>
        <v>5</v>
      </c>
      <c r="S52" s="26">
        <f>ต.ค!S52+พย!S52+ธค!S52+มค!S52+กพ!S52+มีค!S52</f>
        <v>4</v>
      </c>
      <c r="T52" s="37">
        <f t="shared" si="0"/>
        <v>24</v>
      </c>
      <c r="U52" s="28">
        <f t="shared" si="5"/>
        <v>133.33333333333331</v>
      </c>
      <c r="V52" s="59">
        <f t="shared" si="1"/>
        <v>-1</v>
      </c>
    </row>
    <row r="53" spans="1:22" ht="24.75" customHeight="1">
      <c r="A53" s="87"/>
      <c r="B53" s="7" t="s">
        <v>13</v>
      </c>
      <c r="C53" s="26">
        <f>ต.ค!C53+พย!C53+ธค!C53+มค!C53+กพ!C53+มีค!C53</f>
        <v>14</v>
      </c>
      <c r="D53" s="26">
        <f>ต.ค!D53+พย!D53+ธค!D53+มค!D53+กพ!D53+มีค!D53</f>
        <v>10</v>
      </c>
      <c r="E53" s="4">
        <f t="shared" si="2"/>
        <v>6.5357142857142856</v>
      </c>
      <c r="F53" s="26">
        <f>ต.ค!F53+พย!F53+ธค!F53+มค!F53+กพ!F53+มีค!F53</f>
        <v>5</v>
      </c>
      <c r="G53" s="26">
        <f>ต.ค!G53+พย!G53+ธค!G53+มค!G53+กพ!G53+มีค!G53</f>
        <v>0</v>
      </c>
      <c r="H53" s="26">
        <f>ต.ค!H53+พย!H53+ธค!H53+มค!H53+กพ!H53+มีค!H53</f>
        <v>0</v>
      </c>
      <c r="I53" s="26">
        <f>ต.ค!I53+พย!I53+ธค!I53+มค!I53+กพ!I53+มีค!I53</f>
        <v>1</v>
      </c>
      <c r="J53" s="26">
        <f>ต.ค!J53+พย!J53+ธค!J53+มค!J53+กพ!J53+มีค!J53</f>
        <v>0</v>
      </c>
      <c r="K53" s="26">
        <f>ต.ค!K53+พย!K53+ธค!K53+มค!K53+กพ!K53+มีค!K53</f>
        <v>0</v>
      </c>
      <c r="L53" s="26">
        <f>ต.ค!L53+พย!L53+ธค!L53+มค!L53+กพ!L53+มีค!L53</f>
        <v>0</v>
      </c>
      <c r="M53" s="5">
        <f t="shared" si="3"/>
        <v>-1.5357142857142856</v>
      </c>
      <c r="N53" s="28">
        <f t="shared" si="4"/>
        <v>108.92857142857142</v>
      </c>
      <c r="O53" s="26">
        <f>ต.ค!O53+พย!O53+ธค!O53+มค!O53+กพ!O53+มีค!O53</f>
        <v>0</v>
      </c>
      <c r="P53" s="26">
        <f>ต.ค!P53+พย!P53+ธค!P53+มค!P53+กพ!P53+มีค!P53</f>
        <v>4</v>
      </c>
      <c r="Q53" s="26">
        <f>ต.ค!Q53+พย!Q53+ธค!Q53+มค!Q53+กพ!Q53+มีค!Q53</f>
        <v>12</v>
      </c>
      <c r="R53" s="26">
        <f>ต.ค!R53+พย!R53+ธค!R53+มค!R53+กพ!R53+มีค!R53</f>
        <v>4</v>
      </c>
      <c r="S53" s="26">
        <f>ต.ค!S53+พย!S53+ธค!S53+มค!S53+กพ!S53+มีค!S53</f>
        <v>4</v>
      </c>
      <c r="T53" s="37">
        <f t="shared" si="0"/>
        <v>24</v>
      </c>
      <c r="U53" s="28">
        <f t="shared" si="5"/>
        <v>125.39682539682539</v>
      </c>
      <c r="V53" s="59">
        <f t="shared" si="1"/>
        <v>0</v>
      </c>
    </row>
    <row r="54" spans="1:22" ht="24.75" customHeight="1">
      <c r="A54" s="87"/>
      <c r="B54" s="7" t="s">
        <v>14</v>
      </c>
      <c r="C54" s="26">
        <f>ต.ค!C54+พย!C54+ธค!C54+มค!C54+กพ!C54+มีค!C54</f>
        <v>13</v>
      </c>
      <c r="D54" s="26">
        <f>ต.ค!D54+พย!D54+ธค!D54+มค!D54+กพ!D54+มีค!D54</f>
        <v>8</v>
      </c>
      <c r="E54" s="4">
        <f t="shared" si="2"/>
        <v>5.5178571428571432</v>
      </c>
      <c r="F54" s="26">
        <f>ต.ค!F54+พย!F54+ธค!F54+มค!F54+กพ!F54+มีค!F54</f>
        <v>6</v>
      </c>
      <c r="G54" s="26">
        <f>ต.ค!G54+พย!G54+ธค!G54+มค!G54+กพ!G54+มีค!G54</f>
        <v>0</v>
      </c>
      <c r="H54" s="26">
        <f>ต.ค!H54+พย!H54+ธค!H54+มค!H54+กพ!H54+มีค!H54</f>
        <v>1</v>
      </c>
      <c r="I54" s="26">
        <f>ต.ค!I54+พย!I54+ธค!I54+มค!I54+กพ!I54+มีค!I54</f>
        <v>0</v>
      </c>
      <c r="J54" s="26">
        <f>ต.ค!J54+พย!J54+ธค!J54+มค!J54+กพ!J54+มีค!J54</f>
        <v>0</v>
      </c>
      <c r="K54" s="26">
        <f>ต.ค!K54+พย!K54+ธค!K54+มค!K54+กพ!K54+มีค!K54</f>
        <v>0</v>
      </c>
      <c r="L54" s="26">
        <f>ต.ค!L54+พย!L54+ธค!L54+มค!L54+กพ!L54+มีค!L54</f>
        <v>0</v>
      </c>
      <c r="M54" s="5">
        <f t="shared" si="3"/>
        <v>1.4821428571428568</v>
      </c>
      <c r="N54" s="28">
        <f t="shared" si="4"/>
        <v>78.826530612244895</v>
      </c>
      <c r="O54" s="26">
        <f>ต.ค!O54+พย!O54+ธค!O54+มค!O54+กพ!O54+มีค!O54</f>
        <v>0</v>
      </c>
      <c r="P54" s="26">
        <f>ต.ค!P54+พย!P54+ธค!P54+มค!P54+กพ!P54+มีค!P54</f>
        <v>0</v>
      </c>
      <c r="Q54" s="26">
        <f>ต.ค!Q54+พย!Q54+ธค!Q54+มค!Q54+กพ!Q54+มีค!Q54</f>
        <v>13</v>
      </c>
      <c r="R54" s="26">
        <f>ต.ค!R54+พย!R54+ธค!R54+มค!R54+กพ!R54+มีค!R54</f>
        <v>2</v>
      </c>
      <c r="S54" s="26">
        <f>ต.ค!S54+พย!S54+ธค!S54+มค!S54+กพ!S54+มีค!S54</f>
        <v>6</v>
      </c>
      <c r="T54" s="37">
        <f t="shared" si="0"/>
        <v>21</v>
      </c>
      <c r="U54" s="28">
        <f t="shared" si="5"/>
        <v>107.82312925170068</v>
      </c>
      <c r="V54" s="59">
        <f t="shared" si="1"/>
        <v>0</v>
      </c>
    </row>
    <row r="55" spans="1:22" ht="24.75" customHeight="1">
      <c r="A55" s="87">
        <v>16</v>
      </c>
      <c r="B55" s="7" t="s">
        <v>12</v>
      </c>
      <c r="C55" s="26">
        <f>ต.ค!C55+พย!C55+ธค!C55+มค!C55+กพ!C55+มีค!C55</f>
        <v>13</v>
      </c>
      <c r="D55" s="26">
        <f>ต.ค!D55+พย!D55+ธค!D55+มค!D55+กพ!D55+มีค!D55</f>
        <v>8</v>
      </c>
      <c r="E55" s="4">
        <f t="shared" si="2"/>
        <v>5.5178571428571432</v>
      </c>
      <c r="F55" s="26">
        <f>ต.ค!F55+พย!F55+ธค!F55+มค!F55+กพ!F55+มีค!F55</f>
        <v>6</v>
      </c>
      <c r="G55" s="26">
        <f>ต.ค!G55+พย!G55+ธค!G55+มค!G55+กพ!G55+มีค!G55</f>
        <v>0</v>
      </c>
      <c r="H55" s="26">
        <f>ต.ค!H55+พย!H55+ธค!H55+มค!H55+กพ!H55+มีค!H55</f>
        <v>0</v>
      </c>
      <c r="I55" s="26">
        <f>ต.ค!I55+พย!I55+ธค!I55+มค!I55+กพ!I55+มีค!I55</f>
        <v>0</v>
      </c>
      <c r="J55" s="26">
        <f>ต.ค!J55+พย!J55+ธค!J55+มค!J55+กพ!J55+มีค!J55</f>
        <v>0</v>
      </c>
      <c r="K55" s="26">
        <f>ต.ค!K55+พย!K55+ธค!K55+มค!K55+กพ!K55+มีค!K55</f>
        <v>0</v>
      </c>
      <c r="L55" s="26">
        <f>ต.ค!L55+พย!L55+ธค!L55+มค!L55+กพ!L55+มีค!L55</f>
        <v>0</v>
      </c>
      <c r="M55" s="5">
        <f t="shared" si="3"/>
        <v>0.48214285714285676</v>
      </c>
      <c r="N55" s="28">
        <f t="shared" si="4"/>
        <v>91.964285714285708</v>
      </c>
      <c r="O55" s="26">
        <f>ต.ค!O55+พย!O55+ธค!O55+มค!O55+กพ!O55+มีค!O55</f>
        <v>0</v>
      </c>
      <c r="P55" s="26">
        <f>ต.ค!P55+พย!P55+ธค!P55+มค!P55+กพ!P55+มีค!P55</f>
        <v>0</v>
      </c>
      <c r="Q55" s="26">
        <f>ต.ค!Q55+พย!Q55+ธค!Q55+มค!Q55+กพ!Q55+มีค!Q55</f>
        <v>14</v>
      </c>
      <c r="R55" s="26">
        <f>ต.ค!R55+พย!R55+ธค!R55+มค!R55+กพ!R55+มีค!R55</f>
        <v>1</v>
      </c>
      <c r="S55" s="26">
        <f>ต.ค!S55+พย!S55+ธค!S55+มค!S55+กพ!S55+มีค!S55</f>
        <v>6</v>
      </c>
      <c r="T55" s="37">
        <f t="shared" si="0"/>
        <v>21</v>
      </c>
      <c r="U55" s="28">
        <f t="shared" si="5"/>
        <v>124.20634920634922</v>
      </c>
      <c r="V55" s="59">
        <f t="shared" si="1"/>
        <v>0</v>
      </c>
    </row>
    <row r="56" spans="1:22" ht="24.75" customHeight="1">
      <c r="A56" s="87"/>
      <c r="B56" s="7" t="s">
        <v>13</v>
      </c>
      <c r="C56" s="26">
        <f>ต.ค!C56+พย!C56+ธค!C56+มค!C56+กพ!C56+มีค!C56</f>
        <v>14</v>
      </c>
      <c r="D56" s="26">
        <f>ต.ค!D56+พย!D56+ธค!D56+มค!D56+กพ!D56+มีค!D56</f>
        <v>8</v>
      </c>
      <c r="E56" s="4">
        <f t="shared" si="2"/>
        <v>5.6785714285714288</v>
      </c>
      <c r="F56" s="26">
        <f>ต.ค!F56+พย!F56+ธค!F56+มค!F56+กพ!F56+มีค!F56</f>
        <v>5</v>
      </c>
      <c r="G56" s="26">
        <f>ต.ค!G56+พย!G56+ธค!G56+มค!G56+กพ!G56+มีค!G56</f>
        <v>0</v>
      </c>
      <c r="H56" s="26">
        <f>ต.ค!H56+พย!H56+ธค!H56+มค!H56+กพ!H56+มีค!H56</f>
        <v>0</v>
      </c>
      <c r="I56" s="26">
        <f>ต.ค!I56+พย!I56+ธค!I56+มค!I56+กพ!I56+มีค!I56</f>
        <v>1</v>
      </c>
      <c r="J56" s="26">
        <f>ต.ค!J56+พย!J56+ธค!J56+มค!J56+กพ!J56+มีค!J56</f>
        <v>0</v>
      </c>
      <c r="K56" s="26">
        <f>ต.ค!K56+พย!K56+ธค!K56+มค!K56+กพ!K56+มีค!K56</f>
        <v>1</v>
      </c>
      <c r="L56" s="26">
        <f>ต.ค!L56+พย!L56+ธค!L56+มค!L56+กพ!L56+มีค!L56</f>
        <v>0</v>
      </c>
      <c r="M56" s="5">
        <f t="shared" si="3"/>
        <v>-0.67857142857142883</v>
      </c>
      <c r="N56" s="28">
        <f t="shared" si="4"/>
        <v>81.122448979591837</v>
      </c>
      <c r="O56" s="26">
        <f>ต.ค!O56+พย!O56+ธค!O56+มค!O56+กพ!O56+มีค!O56</f>
        <v>0</v>
      </c>
      <c r="P56" s="26">
        <f>ต.ค!P56+พย!P56+ธค!P56+มค!P56+กพ!P56+มีค!P56</f>
        <v>3</v>
      </c>
      <c r="Q56" s="26">
        <f>ต.ค!Q56+พย!Q56+ธค!Q56+มค!Q56+กพ!Q56+มีค!Q56</f>
        <v>12</v>
      </c>
      <c r="R56" s="26">
        <f>ต.ค!R56+พย!R56+ธค!R56+มค!R56+กพ!R56+มีค!R56</f>
        <v>1</v>
      </c>
      <c r="S56" s="26">
        <f>ต.ค!S56+พย!S56+ธค!S56+มค!S56+กพ!S56+มีค!S56</f>
        <v>6</v>
      </c>
      <c r="T56" s="37">
        <f t="shared" si="0"/>
        <v>22</v>
      </c>
      <c r="U56" s="28">
        <f t="shared" si="5"/>
        <v>106.12244897959184</v>
      </c>
      <c r="V56" s="59">
        <f t="shared" si="1"/>
        <v>0</v>
      </c>
    </row>
    <row r="57" spans="1:22" ht="24.75" customHeight="1">
      <c r="A57" s="87"/>
      <c r="B57" s="7" t="s">
        <v>14</v>
      </c>
      <c r="C57" s="26">
        <f>ต.ค!C57+พย!C57+ธค!C57+มค!C57+กพ!C57+มีค!C57</f>
        <v>13</v>
      </c>
      <c r="D57" s="26">
        <f>ต.ค!D57+พย!D57+ธค!D57+มค!D57+กพ!D57+มีค!D57</f>
        <v>8</v>
      </c>
      <c r="E57" s="4">
        <f t="shared" si="2"/>
        <v>5.5178571428571432</v>
      </c>
      <c r="F57" s="26">
        <f>ต.ค!F57+พย!F57+ธค!F57+มค!F57+กพ!F57+มีค!F57</f>
        <v>6</v>
      </c>
      <c r="G57" s="26">
        <f>ต.ค!G57+พย!G57+ธค!G57+มค!G57+กพ!G57+มีค!G57</f>
        <v>0</v>
      </c>
      <c r="H57" s="26">
        <f>ต.ค!H57+พย!H57+ธค!H57+มค!H57+กพ!H57+มีค!H57</f>
        <v>0</v>
      </c>
      <c r="I57" s="26">
        <f>ต.ค!I57+พย!I57+ธค!I57+มค!I57+กพ!I57+มีค!I57</f>
        <v>0</v>
      </c>
      <c r="J57" s="26">
        <f>ต.ค!J57+พย!J57+ธค!J57+มค!J57+กพ!J57+มีค!J57</f>
        <v>0</v>
      </c>
      <c r="K57" s="26">
        <f>ต.ค!K57+พย!K57+ธค!K57+มค!K57+กพ!K57+มีค!K57</f>
        <v>0</v>
      </c>
      <c r="L57" s="26">
        <f>ต.ค!L57+พย!L57+ธค!L57+มค!L57+กพ!L57+มีค!L57</f>
        <v>0</v>
      </c>
      <c r="M57" s="5">
        <f t="shared" si="3"/>
        <v>0.48214285714285676</v>
      </c>
      <c r="N57" s="28">
        <f t="shared" si="4"/>
        <v>91.964285714285708</v>
      </c>
      <c r="O57" s="26">
        <f>ต.ค!O57+พย!O57+ธค!O57+มค!O57+กพ!O57+มีค!O57</f>
        <v>0</v>
      </c>
      <c r="P57" s="26">
        <f>ต.ค!P57+พย!P57+ธค!P57+มค!P57+กพ!P57+มีค!P57</f>
        <v>0</v>
      </c>
      <c r="Q57" s="26">
        <f>ต.ค!Q57+พย!Q57+ธค!Q57+มค!Q57+กพ!Q57+มีค!Q57</f>
        <v>13</v>
      </c>
      <c r="R57" s="26">
        <f>ต.ค!R57+พย!R57+ธค!R57+มค!R57+กพ!R57+มีค!R57</f>
        <v>4</v>
      </c>
      <c r="S57" s="26">
        <f>ต.ค!S57+พย!S57+ธค!S57+มค!S57+กพ!S57+มีค!S57</f>
        <v>4</v>
      </c>
      <c r="T57" s="37">
        <f t="shared" si="0"/>
        <v>21</v>
      </c>
      <c r="U57" s="28">
        <f t="shared" si="5"/>
        <v>118.65079365079364</v>
      </c>
      <c r="V57" s="59">
        <f t="shared" si="1"/>
        <v>0</v>
      </c>
    </row>
    <row r="58" spans="1:22" ht="24.75" customHeight="1">
      <c r="A58" s="87">
        <v>17</v>
      </c>
      <c r="B58" s="7" t="s">
        <v>12</v>
      </c>
      <c r="C58" s="26">
        <f>ต.ค!C58+พย!C58+ธค!C58+มค!C58+กพ!C58+มีค!C58</f>
        <v>13</v>
      </c>
      <c r="D58" s="26">
        <f>ต.ค!D58+พย!D58+ธค!D58+มค!D58+กพ!D58+มีค!D58</f>
        <v>8</v>
      </c>
      <c r="E58" s="4">
        <f t="shared" si="2"/>
        <v>5.5178571428571432</v>
      </c>
      <c r="F58" s="26">
        <f>ต.ค!F58+พย!F58+ธค!F58+มค!F58+กพ!F58+มีค!F58</f>
        <v>6</v>
      </c>
      <c r="G58" s="26">
        <f>ต.ค!G58+พย!G58+ธค!G58+มค!G58+กพ!G58+มีค!G58</f>
        <v>0</v>
      </c>
      <c r="H58" s="26">
        <f>ต.ค!H58+พย!H58+ธค!H58+มค!H58+กพ!H58+มีค!H58</f>
        <v>0</v>
      </c>
      <c r="I58" s="26">
        <f>ต.ค!I58+พย!I58+ธค!I58+มค!I58+กพ!I58+มีค!I58</f>
        <v>0</v>
      </c>
      <c r="J58" s="26">
        <f>ต.ค!J58+พย!J58+ธค!J58+มค!J58+กพ!J58+มีค!J58</f>
        <v>0</v>
      </c>
      <c r="K58" s="26">
        <f>ต.ค!K58+พย!K58+ธค!K58+มค!K58+กพ!K58+มีค!K58</f>
        <v>0</v>
      </c>
      <c r="L58" s="26">
        <f>ต.ค!L58+พย!L58+ธค!L58+มค!L58+กพ!L58+มีค!L58</f>
        <v>0</v>
      </c>
      <c r="M58" s="5">
        <f t="shared" si="3"/>
        <v>0.48214285714285676</v>
      </c>
      <c r="N58" s="28">
        <f t="shared" si="4"/>
        <v>91.964285714285708</v>
      </c>
      <c r="O58" s="26">
        <f>ต.ค!O58+พย!O58+ธค!O58+มค!O58+กพ!O58+มีค!O58</f>
        <v>0</v>
      </c>
      <c r="P58" s="26">
        <f>ต.ค!P58+พย!P58+ธค!P58+มค!P58+กพ!P58+มีค!P58</f>
        <v>0</v>
      </c>
      <c r="Q58" s="26">
        <f>ต.ค!Q58+พย!Q58+ธค!Q58+มค!Q58+กพ!Q58+มีค!Q58</f>
        <v>13</v>
      </c>
      <c r="R58" s="26">
        <f>ต.ค!R58+พย!R58+ธค!R58+มค!R58+กพ!R58+มีค!R58</f>
        <v>4</v>
      </c>
      <c r="S58" s="26">
        <f>ต.ค!S58+พย!S58+ธค!S58+มค!S58+กพ!S58+มีค!S58</f>
        <v>4</v>
      </c>
      <c r="T58" s="37">
        <f t="shared" si="0"/>
        <v>21</v>
      </c>
      <c r="U58" s="28">
        <f t="shared" si="5"/>
        <v>118.65079365079364</v>
      </c>
      <c r="V58" s="59">
        <f t="shared" si="1"/>
        <v>0</v>
      </c>
    </row>
    <row r="59" spans="1:22" ht="24.75" customHeight="1">
      <c r="A59" s="87"/>
      <c r="B59" s="7" t="s">
        <v>13</v>
      </c>
      <c r="C59" s="26">
        <f>ต.ค!C59+พย!C59+ธค!C59+มค!C59+กพ!C59+มีค!C59</f>
        <v>13</v>
      </c>
      <c r="D59" s="26">
        <f>ต.ค!D59+พย!D59+ธค!D59+มค!D59+กพ!D59+มีค!D59</f>
        <v>7</v>
      </c>
      <c r="E59" s="4">
        <f t="shared" si="2"/>
        <v>5.0892857142857144</v>
      </c>
      <c r="F59" s="26">
        <f>ต.ค!F59+พย!F59+ธค!F59+มค!F59+กพ!F59+มีค!F59</f>
        <v>5</v>
      </c>
      <c r="G59" s="26">
        <f>ต.ค!G59+พย!G59+ธค!G59+มค!G59+กพ!G59+มีค!G59</f>
        <v>0</v>
      </c>
      <c r="H59" s="26">
        <f>ต.ค!H59+พย!H59+ธค!H59+มค!H59+กพ!H59+มีค!H59</f>
        <v>1</v>
      </c>
      <c r="I59" s="26">
        <f>ต.ค!I59+พย!I59+ธค!I59+มค!I59+กพ!I59+มีค!I59</f>
        <v>1</v>
      </c>
      <c r="J59" s="26">
        <f>ต.ค!J59+พย!J59+ธค!J59+มค!J59+กพ!J59+มีค!J59</f>
        <v>0</v>
      </c>
      <c r="K59" s="26">
        <f>ต.ค!K59+พย!K59+ธค!K59+มค!K59+กพ!K59+มีค!K59</f>
        <v>0</v>
      </c>
      <c r="L59" s="26">
        <f>ต.ค!L59+พย!L59+ธค!L59+มค!L59+กพ!L59+มีค!L59</f>
        <v>0</v>
      </c>
      <c r="M59" s="5">
        <f t="shared" si="3"/>
        <v>0.91071428571428559</v>
      </c>
      <c r="N59" s="28">
        <f t="shared" si="4"/>
        <v>72.704081632653057</v>
      </c>
      <c r="O59" s="26">
        <f>ต.ค!O59+พย!O59+ธค!O59+มค!O59+กพ!O59+มีค!O59</f>
        <v>0</v>
      </c>
      <c r="P59" s="26">
        <f>ต.ค!P59+พย!P59+ธค!P59+มค!P59+กพ!P59+มีค!P59</f>
        <v>2</v>
      </c>
      <c r="Q59" s="26">
        <f>ต.ค!Q59+พย!Q59+ธค!Q59+มค!Q59+กพ!Q59+มีค!Q59</f>
        <v>11</v>
      </c>
      <c r="R59" s="26">
        <f>ต.ค!R59+พย!R59+ธค!R59+มค!R59+กพ!R59+มีค!R59</f>
        <v>2</v>
      </c>
      <c r="S59" s="26">
        <f>ต.ค!S59+พย!S59+ธค!S59+มค!S59+กพ!S59+มีค!S59</f>
        <v>4</v>
      </c>
      <c r="T59" s="37">
        <f t="shared" si="0"/>
        <v>19</v>
      </c>
      <c r="U59" s="28">
        <f t="shared" si="5"/>
        <v>88.775510204081627</v>
      </c>
      <c r="V59" s="59">
        <f t="shared" si="1"/>
        <v>1</v>
      </c>
    </row>
    <row r="60" spans="1:22" ht="24.75" customHeight="1">
      <c r="A60" s="87"/>
      <c r="B60" s="7" t="s">
        <v>14</v>
      </c>
      <c r="C60" s="26">
        <f>ต.ค!C60+พย!C60+ธค!C60+มค!C60+กพ!C60+มีค!C60</f>
        <v>12</v>
      </c>
      <c r="D60" s="26">
        <f>ต.ค!D60+พย!D60+ธค!D60+มค!D60+กพ!D60+มีค!D60</f>
        <v>8</v>
      </c>
      <c r="E60" s="4">
        <f t="shared" si="2"/>
        <v>5.3571428571428568</v>
      </c>
      <c r="F60" s="26">
        <f>ต.ค!F60+พย!F60+ธค!F60+มค!F60+กพ!F60+มีค!F60</f>
        <v>5</v>
      </c>
      <c r="G60" s="26">
        <f>ต.ค!G60+พย!G60+ธค!G60+มค!G60+กพ!G60+มีค!G60</f>
        <v>0</v>
      </c>
      <c r="H60" s="26">
        <f>ต.ค!H60+พย!H60+ธค!H60+มค!H60+กพ!H60+มีค!H60</f>
        <v>1</v>
      </c>
      <c r="I60" s="26">
        <f>ต.ค!I60+พย!I60+ธค!I60+มค!I60+กพ!I60+มีค!I60</f>
        <v>0</v>
      </c>
      <c r="J60" s="26">
        <f>ต.ค!J60+พย!J60+ธค!J60+มค!J60+กพ!J60+มีค!J60</f>
        <v>0</v>
      </c>
      <c r="K60" s="26">
        <f>ต.ค!K60+พย!K60+ธค!K60+มค!K60+กพ!K60+มีค!K60</f>
        <v>0</v>
      </c>
      <c r="L60" s="26">
        <f>ต.ค!L60+พย!L60+ธค!L60+มค!L60+กพ!L60+มีค!L60</f>
        <v>0</v>
      </c>
      <c r="M60" s="5">
        <f t="shared" si="3"/>
        <v>0.64285714285714324</v>
      </c>
      <c r="N60" s="28">
        <f t="shared" si="4"/>
        <v>89.285714285714292</v>
      </c>
      <c r="O60" s="26">
        <f>ต.ค!O60+พย!O60+ธค!O60+มค!O60+กพ!O60+มีค!O60</f>
        <v>0</v>
      </c>
      <c r="P60" s="26">
        <f>ต.ค!P60+พย!P60+ธค!P60+มค!P60+กพ!P60+มีค!P60</f>
        <v>0</v>
      </c>
      <c r="Q60" s="26">
        <f>ต.ค!Q60+พย!Q60+ธค!Q60+มค!Q60+กพ!Q60+มีค!Q60</f>
        <v>13</v>
      </c>
      <c r="R60" s="26">
        <f>ต.ค!R60+พย!R60+ธค!R60+มค!R60+กพ!R60+มีค!R60</f>
        <v>2</v>
      </c>
      <c r="S60" s="26">
        <f>ต.ค!S60+พย!S60+ธค!S60+มค!S60+กพ!S60+มีค!S60</f>
        <v>5</v>
      </c>
      <c r="T60" s="37">
        <f t="shared" si="0"/>
        <v>20</v>
      </c>
      <c r="U60" s="28">
        <f t="shared" si="5"/>
        <v>116.26984126984128</v>
      </c>
      <c r="V60" s="59">
        <f t="shared" si="1"/>
        <v>0</v>
      </c>
    </row>
    <row r="61" spans="1:22" ht="24.75" customHeight="1">
      <c r="A61" s="87">
        <v>18</v>
      </c>
      <c r="B61" s="7" t="s">
        <v>12</v>
      </c>
      <c r="C61" s="26">
        <f>ต.ค!C61+พย!C61+ธค!C61+มค!C61+กพ!C61+มีค!C61</f>
        <v>12</v>
      </c>
      <c r="D61" s="26">
        <f>ต.ค!D61+พย!D61+ธค!D61+มค!D61+กพ!D61+มีค!D61</f>
        <v>8</v>
      </c>
      <c r="E61" s="4">
        <f t="shared" si="2"/>
        <v>5.3571428571428568</v>
      </c>
      <c r="F61" s="26">
        <f>ต.ค!F61+พย!F61+ธค!F61+มค!F61+กพ!F61+มีค!F61</f>
        <v>6</v>
      </c>
      <c r="G61" s="26">
        <f>ต.ค!G61+พย!G61+ธค!G61+มค!G61+กพ!G61+มีค!G61</f>
        <v>0</v>
      </c>
      <c r="H61" s="26">
        <f>ต.ค!H61+พย!H61+ธค!H61+มค!H61+กพ!H61+มีค!H61</f>
        <v>0</v>
      </c>
      <c r="I61" s="26">
        <f>ต.ค!I61+พย!I61+ธค!I61+มค!I61+กพ!I61+มีค!I61</f>
        <v>0</v>
      </c>
      <c r="J61" s="26">
        <f>ต.ค!J61+พย!J61+ธค!J61+มค!J61+กพ!J61+มีค!J61</f>
        <v>0</v>
      </c>
      <c r="K61" s="26">
        <f>ต.ค!K61+พย!K61+ธค!K61+มค!K61+กพ!K61+มีค!K61</f>
        <v>0</v>
      </c>
      <c r="L61" s="26">
        <f>ต.ค!L61+พย!L61+ธค!L61+มค!L61+กพ!L61+มีค!L61</f>
        <v>0</v>
      </c>
      <c r="M61" s="5">
        <f t="shared" si="3"/>
        <v>0.64285714285714324</v>
      </c>
      <c r="N61" s="28">
        <f t="shared" si="4"/>
        <v>89.285714285714292</v>
      </c>
      <c r="O61" s="26">
        <f>ต.ค!O61+พย!O61+ธค!O61+มค!O61+กพ!O61+มีค!O61</f>
        <v>0</v>
      </c>
      <c r="P61" s="26">
        <f>ต.ค!P61+พย!P61+ธค!P61+มค!P61+กพ!P61+มีค!P61</f>
        <v>0</v>
      </c>
      <c r="Q61" s="26">
        <f>ต.ค!Q61+พย!Q61+ธค!Q61+มค!Q61+กพ!Q61+มีค!Q61</f>
        <v>15</v>
      </c>
      <c r="R61" s="26">
        <f>ต.ค!R61+พย!R61+ธค!R61+มค!R61+กพ!R61+มีค!R61</f>
        <v>0</v>
      </c>
      <c r="S61" s="26">
        <f>ต.ค!S61+พย!S61+ธค!S61+มค!S61+กพ!S61+มีค!S61</f>
        <v>5</v>
      </c>
      <c r="T61" s="37">
        <f t="shared" si="0"/>
        <v>20</v>
      </c>
      <c r="U61" s="28">
        <f t="shared" si="5"/>
        <v>113.09523809523809</v>
      </c>
      <c r="V61" s="59">
        <f t="shared" si="1"/>
        <v>0</v>
      </c>
    </row>
    <row r="62" spans="1:22" ht="24.75" customHeight="1">
      <c r="A62" s="87"/>
      <c r="B62" s="7" t="s">
        <v>13</v>
      </c>
      <c r="C62" s="26">
        <f>ต.ค!C62+พย!C62+ธค!C62+มค!C62+กพ!C62+มีค!C62</f>
        <v>13</v>
      </c>
      <c r="D62" s="26">
        <f>ต.ค!D62+พย!D62+ธค!D62+มค!D62+กพ!D62+มีค!D62</f>
        <v>8</v>
      </c>
      <c r="E62" s="4">
        <f t="shared" si="2"/>
        <v>5.5178571428571432</v>
      </c>
      <c r="F62" s="26">
        <f>ต.ค!F62+พย!F62+ธค!F62+มค!F62+กพ!F62+มีค!F62</f>
        <v>6</v>
      </c>
      <c r="G62" s="26">
        <f>ต.ค!G62+พย!G62+ธค!G62+มค!G62+กพ!G62+มีค!G62</f>
        <v>0</v>
      </c>
      <c r="H62" s="26">
        <f>ต.ค!H62+พย!H62+ธค!H62+มค!H62+กพ!H62+มีค!H62</f>
        <v>1</v>
      </c>
      <c r="I62" s="26">
        <f>ต.ค!I62+พย!I62+ธค!I62+มค!I62+กพ!I62+มีค!I62</f>
        <v>1</v>
      </c>
      <c r="J62" s="26">
        <f>ต.ค!J62+พย!J62+ธค!J62+มค!J62+กพ!J62+มีค!J62</f>
        <v>0</v>
      </c>
      <c r="K62" s="26">
        <f>ต.ค!K62+พย!K62+ธค!K62+มค!K62+กพ!K62+มีค!K62</f>
        <v>1</v>
      </c>
      <c r="L62" s="26">
        <f>ต.ค!L62+พย!L62+ธค!L62+มค!L62+กพ!L62+มีค!L62</f>
        <v>0</v>
      </c>
      <c r="M62" s="5">
        <f t="shared" si="3"/>
        <v>1.4821428571428568</v>
      </c>
      <c r="N62" s="28">
        <f t="shared" si="4"/>
        <v>61.30952380952381</v>
      </c>
      <c r="O62" s="26">
        <f>ต.ค!O62+พย!O62+ธค!O62+มค!O62+กพ!O62+มีค!O62</f>
        <v>0</v>
      </c>
      <c r="P62" s="26">
        <f>ต.ค!P62+พย!P62+ธค!P62+มค!P62+กพ!P62+มีค!P62</f>
        <v>4</v>
      </c>
      <c r="Q62" s="26">
        <f>ต.ค!Q62+พย!Q62+ธค!Q62+มค!Q62+กพ!Q62+มีค!Q62</f>
        <v>14</v>
      </c>
      <c r="R62" s="26">
        <f>ต.ค!R62+พย!R62+ธค!R62+มค!R62+กพ!R62+มีค!R62</f>
        <v>0</v>
      </c>
      <c r="S62" s="26">
        <f>ต.ค!S62+พย!S62+ธค!S62+มค!S62+กพ!S62+มีค!S62</f>
        <v>3</v>
      </c>
      <c r="T62" s="37">
        <f t="shared" si="0"/>
        <v>21</v>
      </c>
      <c r="U62" s="28">
        <f t="shared" si="5"/>
        <v>67.195767195767203</v>
      </c>
      <c r="V62" s="59">
        <f t="shared" si="1"/>
        <v>0</v>
      </c>
    </row>
    <row r="63" spans="1:22" ht="24.75" customHeight="1">
      <c r="A63" s="87"/>
      <c r="B63" s="7" t="s">
        <v>14</v>
      </c>
      <c r="C63" s="26">
        <f>ต.ค!C63+พย!C63+ธค!C63+มค!C63+กพ!C63+มีค!C63</f>
        <v>12</v>
      </c>
      <c r="D63" s="26">
        <f>ต.ค!D63+พย!D63+ธค!D63+มค!D63+กพ!D63+มีค!D63</f>
        <v>7</v>
      </c>
      <c r="E63" s="4">
        <f t="shared" si="2"/>
        <v>4.9285714285714288</v>
      </c>
      <c r="F63" s="26">
        <f>ต.ค!F63+พย!F63+ธค!F63+มค!F63+กพ!F63+มีค!F63</f>
        <v>5</v>
      </c>
      <c r="G63" s="26">
        <f>ต.ค!G63+พย!G63+ธค!G63+มค!G63+กพ!G63+มีค!G63</f>
        <v>0</v>
      </c>
      <c r="H63" s="26">
        <f>ต.ค!H63+พย!H63+ธค!H63+มค!H63+กพ!H63+มีค!H63</f>
        <v>0</v>
      </c>
      <c r="I63" s="26">
        <f>ต.ค!I63+พย!I63+ธค!I63+มค!I63+กพ!I63+มีค!I63</f>
        <v>0</v>
      </c>
      <c r="J63" s="26">
        <f>ต.ค!J63+พย!J63+ธค!J63+มค!J63+กพ!J63+มีค!J63</f>
        <v>0</v>
      </c>
      <c r="K63" s="26">
        <f>ต.ค!K63+พย!K63+ธค!K63+มค!K63+กพ!K63+มีค!K63</f>
        <v>1</v>
      </c>
      <c r="L63" s="26">
        <f>ต.ค!L63+พย!L63+ธค!L63+มค!L63+กพ!L63+มีค!L63</f>
        <v>0</v>
      </c>
      <c r="M63" s="5">
        <f t="shared" si="3"/>
        <v>7.1428571428571175E-2</v>
      </c>
      <c r="N63" s="28">
        <f t="shared" si="4"/>
        <v>82.142857142857139</v>
      </c>
      <c r="O63" s="26">
        <f>ต.ค!O63+พย!O63+ธค!O63+มค!O63+กพ!O63+มีค!O63</f>
        <v>0</v>
      </c>
      <c r="P63" s="26">
        <f>ต.ค!P63+พย!P63+ธค!P63+มค!P63+กพ!P63+มีค!P63</f>
        <v>0</v>
      </c>
      <c r="Q63" s="26">
        <f>ต.ค!Q63+พย!Q63+ธค!Q63+มค!Q63+กพ!Q63+มีค!Q63</f>
        <v>15</v>
      </c>
      <c r="R63" s="26">
        <f>ต.ค!R63+พย!R63+ธค!R63+มค!R63+กพ!R63+มีค!R63</f>
        <v>0</v>
      </c>
      <c r="S63" s="26">
        <f>ต.ค!S63+พย!S63+ธค!S63+มค!S63+กพ!S63+มีค!S63</f>
        <v>4</v>
      </c>
      <c r="T63" s="37">
        <f t="shared" si="0"/>
        <v>19</v>
      </c>
      <c r="U63" s="28">
        <f t="shared" si="5"/>
        <v>103.57142857142858</v>
      </c>
      <c r="V63" s="59">
        <f t="shared" si="1"/>
        <v>0</v>
      </c>
    </row>
    <row r="64" spans="1:22" ht="24.75" customHeight="1">
      <c r="A64" s="87">
        <v>19</v>
      </c>
      <c r="B64" s="7" t="s">
        <v>12</v>
      </c>
      <c r="C64" s="26">
        <f>ต.ค!C64+พย!C64+ธค!C64+มค!C64+กพ!C64+มีค!C64</f>
        <v>12</v>
      </c>
      <c r="D64" s="26">
        <f>ต.ค!D64+พย!D64+ธค!D64+มค!D64+กพ!D64+มีค!D64</f>
        <v>9</v>
      </c>
      <c r="E64" s="4">
        <f t="shared" si="2"/>
        <v>5.7857142857142856</v>
      </c>
      <c r="F64" s="26">
        <f>ต.ค!F64+พย!F64+ธค!F64+มค!F64+กพ!F64+มีค!F64</f>
        <v>4</v>
      </c>
      <c r="G64" s="26">
        <f>ต.ค!G64+พย!G64+ธค!G64+มค!G64+กพ!G64+มีค!G64</f>
        <v>0</v>
      </c>
      <c r="H64" s="26">
        <f>ต.ค!H64+พย!H64+ธค!H64+มค!H64+กพ!H64+มีค!H64</f>
        <v>0</v>
      </c>
      <c r="I64" s="26">
        <f>ต.ค!I64+พย!I64+ธค!I64+มค!I64+กพ!I64+มีค!I64</f>
        <v>2</v>
      </c>
      <c r="J64" s="26">
        <f>ต.ค!J64+พย!J64+ธค!J64+มค!J64+กพ!J64+มีค!J64</f>
        <v>0</v>
      </c>
      <c r="K64" s="26">
        <f>ต.ค!K64+พย!K64+ธค!K64+มค!K64+กพ!K64+มีค!K64</f>
        <v>0</v>
      </c>
      <c r="L64" s="26">
        <f>ต.ค!L64+พย!L64+ธค!L64+มค!L64+กพ!L64+มีค!L64</f>
        <v>0</v>
      </c>
      <c r="M64" s="5">
        <f t="shared" si="3"/>
        <v>-1.7857142857142856</v>
      </c>
      <c r="N64" s="28">
        <f t="shared" si="4"/>
        <v>96.428571428571431</v>
      </c>
      <c r="O64" s="26">
        <f>ต.ค!O64+พย!O64+ธค!O64+มค!O64+กพ!O64+มีค!O64</f>
        <v>0</v>
      </c>
      <c r="P64" s="26">
        <f>ต.ค!P64+พย!P64+ธค!P64+มค!P64+กพ!P64+มีค!P64</f>
        <v>0</v>
      </c>
      <c r="Q64" s="26">
        <f>ต.ค!Q64+พย!Q64+ธค!Q64+มค!Q64+กพ!Q64+มีค!Q64</f>
        <v>15</v>
      </c>
      <c r="R64" s="26">
        <f>ต.ค!R64+พย!R64+ธค!R64+มค!R64+กพ!R64+มีค!R64</f>
        <v>0</v>
      </c>
      <c r="S64" s="26">
        <f>ต.ค!S64+พย!S64+ธค!S64+มค!S64+กพ!S64+มีค!S64</f>
        <v>6</v>
      </c>
      <c r="T64" s="37">
        <f t="shared" si="0"/>
        <v>21</v>
      </c>
      <c r="U64" s="28">
        <f t="shared" si="5"/>
        <v>122.61904761904762</v>
      </c>
      <c r="V64" s="59">
        <f t="shared" si="1"/>
        <v>0</v>
      </c>
    </row>
    <row r="65" spans="1:22" ht="24.75" customHeight="1">
      <c r="A65" s="87"/>
      <c r="B65" s="7" t="s">
        <v>13</v>
      </c>
      <c r="C65" s="26">
        <f>ต.ค!C65+พย!C65+ธค!C65+มค!C65+กพ!C65+มีค!C65</f>
        <v>13</v>
      </c>
      <c r="D65" s="26">
        <f>ต.ค!D65+พย!D65+ธค!D65+มค!D65+กพ!D65+มีค!D65</f>
        <v>9</v>
      </c>
      <c r="E65" s="4">
        <f t="shared" si="2"/>
        <v>5.9464285714285712</v>
      </c>
      <c r="F65" s="26">
        <f>ต.ค!F65+พย!F65+ธค!F65+มค!F65+กพ!F65+มีค!F65</f>
        <v>7</v>
      </c>
      <c r="G65" s="26">
        <f>ต.ค!G65+พย!G65+ธค!G65+มค!G65+กพ!G65+มีค!G65</f>
        <v>0</v>
      </c>
      <c r="H65" s="26">
        <f>ต.ค!H65+พย!H65+ธค!H65+มค!H65+กพ!H65+มีค!H65</f>
        <v>0</v>
      </c>
      <c r="I65" s="26">
        <f>ต.ค!I65+พย!I65+ธค!I65+มค!I65+กพ!I65+มีค!I65</f>
        <v>0</v>
      </c>
      <c r="J65" s="26">
        <f>ต.ค!J65+พย!J65+ธค!J65+มค!J65+กพ!J65+มีค!J65</f>
        <v>0</v>
      </c>
      <c r="K65" s="26">
        <f>ต.ค!K65+พย!K65+ธค!K65+มค!K65+กพ!K65+มีค!K65</f>
        <v>2</v>
      </c>
      <c r="L65" s="26">
        <f>ต.ค!L65+พย!L65+ธค!L65+มค!L65+กพ!L65+มีค!L65</f>
        <v>0</v>
      </c>
      <c r="M65" s="5">
        <f t="shared" si="3"/>
        <v>1.0535714285714288</v>
      </c>
      <c r="N65" s="28">
        <f t="shared" si="4"/>
        <v>66.071428571428569</v>
      </c>
      <c r="O65" s="26">
        <f>ต.ค!O65+พย!O65+ธค!O65+มค!O65+กพ!O65+มีค!O65</f>
        <v>0</v>
      </c>
      <c r="P65" s="26">
        <f>ต.ค!P65+พย!P65+ธค!P65+มค!P65+กพ!P65+มีค!P65</f>
        <v>2</v>
      </c>
      <c r="Q65" s="26">
        <f>ต.ค!Q65+พย!Q65+ธค!Q65+มค!Q65+กพ!Q65+มีค!Q65</f>
        <v>14</v>
      </c>
      <c r="R65" s="26">
        <f>ต.ค!R65+พย!R65+ธค!R65+มค!R65+กพ!R65+มีค!R65</f>
        <v>0</v>
      </c>
      <c r="S65" s="26">
        <f>ต.ค!S65+พย!S65+ธค!S65+มค!S65+กพ!S65+มีค!S65</f>
        <v>6</v>
      </c>
      <c r="T65" s="37">
        <f t="shared" si="0"/>
        <v>22</v>
      </c>
      <c r="U65" s="28">
        <f t="shared" si="5"/>
        <v>82.539682539682531</v>
      </c>
      <c r="V65" s="59">
        <f t="shared" si="1"/>
        <v>0</v>
      </c>
    </row>
    <row r="66" spans="1:22" ht="24.75" customHeight="1">
      <c r="A66" s="87"/>
      <c r="B66" s="7" t="s">
        <v>14</v>
      </c>
      <c r="C66" s="26">
        <f>ต.ค!C66+พย!C66+ธค!C66+มค!C66+กพ!C66+มีค!C66</f>
        <v>11</v>
      </c>
      <c r="D66" s="26">
        <f>ต.ค!D66+พย!D66+ธค!D66+มค!D66+กพ!D66+มีค!D66</f>
        <v>10</v>
      </c>
      <c r="E66" s="4">
        <f t="shared" si="2"/>
        <v>6.0535714285714288</v>
      </c>
      <c r="F66" s="26">
        <f>ต.ค!F66+พย!F66+ธค!F66+มค!F66+กพ!F66+มีค!F66</f>
        <v>5</v>
      </c>
      <c r="G66" s="26">
        <f>ต.ค!G66+พย!G66+ธค!G66+มค!G66+กพ!G66+มีค!G66</f>
        <v>0</v>
      </c>
      <c r="H66" s="26">
        <f>ต.ค!H66+พย!H66+ธค!H66+มค!H66+กพ!H66+มีค!H66</f>
        <v>1</v>
      </c>
      <c r="I66" s="26">
        <f>ต.ค!I66+พย!I66+ธค!I66+มค!I66+กพ!I66+มีค!I66</f>
        <v>1</v>
      </c>
      <c r="J66" s="26">
        <f>ต.ค!J66+พย!J66+ธค!J66+มค!J66+กพ!J66+มีค!J66</f>
        <v>0</v>
      </c>
      <c r="K66" s="26">
        <f>ต.ค!K66+พย!K66+ธค!K66+มค!K66+กพ!K66+มีค!K66</f>
        <v>0</v>
      </c>
      <c r="L66" s="26">
        <f>ต.ค!L66+พย!L66+ธค!L66+มค!L66+กพ!L66+มีค!L66</f>
        <v>0</v>
      </c>
      <c r="M66" s="5">
        <f t="shared" si="3"/>
        <v>-5.3571428571428825E-2</v>
      </c>
      <c r="N66" s="28">
        <f t="shared" si="4"/>
        <v>86.479591836734699</v>
      </c>
      <c r="O66" s="26">
        <f>ต.ค!O66+พย!O66+ธค!O66+มค!O66+กพ!O66+มีค!O66</f>
        <v>0</v>
      </c>
      <c r="P66" s="26">
        <f>ต.ค!P66+พย!P66+ธค!P66+มค!P66+กพ!P66+มีค!P66</f>
        <v>0</v>
      </c>
      <c r="Q66" s="26">
        <f>ต.ค!Q66+พย!Q66+ธค!Q66+มค!Q66+กพ!Q66+มีค!Q66</f>
        <v>13</v>
      </c>
      <c r="R66" s="26">
        <f>ต.ค!R66+พย!R66+ธค!R66+มค!R66+กพ!R66+มีค!R66</f>
        <v>0</v>
      </c>
      <c r="S66" s="26">
        <f>ต.ค!S66+พย!S66+ธค!S66+มค!S66+กพ!S66+มีค!S66</f>
        <v>8</v>
      </c>
      <c r="T66" s="37">
        <f t="shared" si="0"/>
        <v>21</v>
      </c>
      <c r="U66" s="28">
        <f t="shared" si="5"/>
        <v>113.94557823129252</v>
      </c>
      <c r="V66" s="59">
        <f t="shared" si="1"/>
        <v>0</v>
      </c>
    </row>
    <row r="67" spans="1:22" ht="24.75" customHeight="1">
      <c r="A67" s="87">
        <v>20</v>
      </c>
      <c r="B67" s="7" t="s">
        <v>12</v>
      </c>
      <c r="C67" s="26">
        <f>ต.ค!C67+พย!C67+ธค!C67+มค!C67+กพ!C67+มีค!C67</f>
        <v>11</v>
      </c>
      <c r="D67" s="26">
        <f>ต.ค!D67+พย!D67+ธค!D67+มค!D67+กพ!D67+มีค!D67</f>
        <v>10</v>
      </c>
      <c r="E67" s="4">
        <f t="shared" si="2"/>
        <v>6.0535714285714288</v>
      </c>
      <c r="F67" s="26">
        <f>ต.ค!F67+พย!F67+ธค!F67+มค!F67+กพ!F67+มีค!F67</f>
        <v>6</v>
      </c>
      <c r="G67" s="26">
        <f>ต.ค!G67+พย!G67+ธค!G67+มค!G67+กพ!G67+มีค!G67</f>
        <v>0</v>
      </c>
      <c r="H67" s="26">
        <f>ต.ค!H67+พย!H67+ธค!H67+มค!H67+กพ!H67+มีค!H67</f>
        <v>0</v>
      </c>
      <c r="I67" s="26">
        <f>ต.ค!I67+พย!I67+ธค!I67+มค!I67+กพ!I67+มีค!I67</f>
        <v>0</v>
      </c>
      <c r="J67" s="26">
        <f>ต.ค!J67+พย!J67+ธค!J67+มค!J67+กพ!J67+มีค!J67</f>
        <v>0</v>
      </c>
      <c r="K67" s="26">
        <f>ต.ค!K67+พย!K67+ธค!K67+มค!K67+กพ!K67+มีค!K67</f>
        <v>0</v>
      </c>
      <c r="L67" s="26">
        <f>ต.ค!L67+พย!L67+ธค!L67+มค!L67+กพ!L67+มีค!L67</f>
        <v>0</v>
      </c>
      <c r="M67" s="5">
        <f t="shared" si="3"/>
        <v>-5.3571428571428825E-2</v>
      </c>
      <c r="N67" s="28">
        <f t="shared" si="4"/>
        <v>100.89285714285714</v>
      </c>
      <c r="O67" s="26">
        <f>ต.ค!O67+พย!O67+ธค!O67+มค!O67+กพ!O67+มีค!O67</f>
        <v>0</v>
      </c>
      <c r="P67" s="26">
        <f>ต.ค!P67+พย!P67+ธค!P67+มค!P67+กพ!P67+มีค!P67</f>
        <v>0</v>
      </c>
      <c r="Q67" s="26">
        <f>ต.ค!Q67+พย!Q67+ธค!Q67+มค!Q67+กพ!Q67+มีค!Q67</f>
        <v>13</v>
      </c>
      <c r="R67" s="26">
        <f>ต.ค!R67+พย!R67+ธค!R67+มค!R67+กพ!R67+มีค!R67</f>
        <v>0</v>
      </c>
      <c r="S67" s="26">
        <f>ต.ค!S67+พย!S67+ธค!S67+มค!S67+กพ!S67+มีค!S67</f>
        <v>8</v>
      </c>
      <c r="T67" s="37">
        <f t="shared" si="0"/>
        <v>21</v>
      </c>
      <c r="U67" s="28">
        <f t="shared" si="5"/>
        <v>132.93650793650795</v>
      </c>
      <c r="V67" s="59">
        <f t="shared" si="1"/>
        <v>0</v>
      </c>
    </row>
    <row r="68" spans="1:22" ht="24.75" customHeight="1">
      <c r="A68" s="87"/>
      <c r="B68" s="7" t="s">
        <v>13</v>
      </c>
      <c r="C68" s="26">
        <f>ต.ค!C68+พย!C68+ธค!C68+มค!C68+กพ!C68+มีค!C68</f>
        <v>10</v>
      </c>
      <c r="D68" s="26">
        <f>ต.ค!D68+พย!D68+ธค!D68+มค!D68+กพ!D68+มีค!D68</f>
        <v>10</v>
      </c>
      <c r="E68" s="4">
        <f t="shared" si="2"/>
        <v>5.8928571428571432</v>
      </c>
      <c r="F68" s="26">
        <f>ต.ค!F68+พย!F68+ธค!F68+มค!F68+กพ!F68+มีค!F68</f>
        <v>5</v>
      </c>
      <c r="G68" s="26">
        <f>ต.ค!G68+พย!G68+ธค!G68+มค!G68+กพ!G68+มีค!G68</f>
        <v>0</v>
      </c>
      <c r="H68" s="26">
        <f>ต.ค!H68+พย!H68+ธค!H68+มค!H68+กพ!H68+มีค!H68</f>
        <v>1</v>
      </c>
      <c r="I68" s="26">
        <f>ต.ค!I68+พย!I68+ธค!I68+มค!I68+กพ!I68+มีค!I68</f>
        <v>2</v>
      </c>
      <c r="J68" s="26">
        <f>ต.ค!J68+พย!J68+ธค!J68+มค!J68+กพ!J68+มีค!J68</f>
        <v>0</v>
      </c>
      <c r="K68" s="26">
        <f>ต.ค!K68+พย!K68+ธค!K68+มค!K68+กพ!K68+มีค!K68</f>
        <v>1</v>
      </c>
      <c r="L68" s="26">
        <f>ต.ค!L68+พย!L68+ธค!L68+มค!L68+กพ!L68+มีค!L68</f>
        <v>0</v>
      </c>
      <c r="M68" s="5">
        <f t="shared" si="3"/>
        <v>0.10714285714285676</v>
      </c>
      <c r="N68" s="28">
        <f t="shared" si="4"/>
        <v>65.476190476190482</v>
      </c>
      <c r="O68" s="26">
        <f>ต.ค!O68+พย!O68+ธค!O68+มค!O68+กพ!O68+มีค!O68</f>
        <v>0</v>
      </c>
      <c r="P68" s="26">
        <f>ต.ค!P68+พย!P68+ธค!P68+มค!P68+กพ!P68+มีค!P68</f>
        <v>1</v>
      </c>
      <c r="Q68" s="26">
        <f>ต.ค!Q68+พย!Q68+ธค!Q68+มค!Q68+กพ!Q68+มีค!Q68</f>
        <v>11</v>
      </c>
      <c r="R68" s="26">
        <f>ต.ค!R68+พย!R68+ธค!R68+มค!R68+กพ!R68+มีค!R68</f>
        <v>0</v>
      </c>
      <c r="S68" s="26">
        <f>ต.ค!S68+พย!S68+ธค!S68+มค!S68+กพ!S68+มีค!S68</f>
        <v>8</v>
      </c>
      <c r="T68" s="37">
        <f t="shared" si="0"/>
        <v>20</v>
      </c>
      <c r="U68" s="28">
        <f t="shared" si="5"/>
        <v>84.656084656084658</v>
      </c>
      <c r="V68" s="59">
        <f t="shared" si="1"/>
        <v>0</v>
      </c>
    </row>
    <row r="69" spans="1:22" ht="24.75" customHeight="1">
      <c r="A69" s="87"/>
      <c r="B69" s="7" t="s">
        <v>14</v>
      </c>
      <c r="C69" s="26">
        <f>ต.ค!C69+พย!C69+ธค!C69+มค!C69+กพ!C69+มีค!C69</f>
        <v>9</v>
      </c>
      <c r="D69" s="26">
        <f>ต.ค!D69+พย!D69+ธค!D69+มค!D69+กพ!D69+มีค!D69</f>
        <v>10</v>
      </c>
      <c r="E69" s="4">
        <f t="shared" si="2"/>
        <v>5.7321428571428568</v>
      </c>
      <c r="F69" s="26">
        <f>ต.ค!F69+พย!F69+ธค!F69+มค!F69+กพ!F69+มีค!F69</f>
        <v>5</v>
      </c>
      <c r="G69" s="26">
        <f>ต.ค!G69+พย!G69+ธค!G69+มค!G69+กพ!G69+มีค!G69</f>
        <v>0</v>
      </c>
      <c r="H69" s="26">
        <f>ต.ค!H69+พย!H69+ธค!H69+มค!H69+กพ!H69+มีค!H69</f>
        <v>1</v>
      </c>
      <c r="I69" s="26">
        <f>ต.ค!I69+พย!I69+ธค!I69+มค!I69+กพ!I69+มีค!I69</f>
        <v>0</v>
      </c>
      <c r="J69" s="26">
        <f>ต.ค!J69+พย!J69+ธค!J69+มค!J69+กพ!J69+มีค!J69</f>
        <v>0</v>
      </c>
      <c r="K69" s="26">
        <f>ต.ค!K69+พย!K69+ธค!K69+มค!K69+กพ!K69+มีค!K69</f>
        <v>0</v>
      </c>
      <c r="L69" s="26">
        <f>ต.ค!L69+พย!L69+ธค!L69+มค!L69+กพ!L69+มีค!L69</f>
        <v>0</v>
      </c>
      <c r="M69" s="5">
        <f t="shared" si="3"/>
        <v>0.26785714285714324</v>
      </c>
      <c r="N69" s="28">
        <f t="shared" si="4"/>
        <v>95.535714285714292</v>
      </c>
      <c r="O69" s="26">
        <f>ต.ค!O69+พย!O69+ธค!O69+มค!O69+กพ!O69+มีค!O69</f>
        <v>0</v>
      </c>
      <c r="P69" s="26">
        <f>ต.ค!P69+พย!P69+ธค!P69+มค!P69+กพ!P69+มีค!P69</f>
        <v>0</v>
      </c>
      <c r="Q69" s="26">
        <f>ต.ค!Q69+พย!Q69+ธค!Q69+มค!Q69+กพ!Q69+มีค!Q69</f>
        <v>11</v>
      </c>
      <c r="R69" s="26">
        <f>ต.ค!R69+พย!R69+ธค!R69+มค!R69+กพ!R69+มีค!R69</f>
        <v>0</v>
      </c>
      <c r="S69" s="26">
        <f>ต.ค!S69+พย!S69+ธค!S69+มค!S69+กพ!S69+มีค!S69</f>
        <v>8</v>
      </c>
      <c r="T69" s="37">
        <f t="shared" si="0"/>
        <v>19</v>
      </c>
      <c r="U69" s="28">
        <f t="shared" si="5"/>
        <v>124.20634920634922</v>
      </c>
      <c r="V69" s="59">
        <f t="shared" si="1"/>
        <v>0</v>
      </c>
    </row>
    <row r="70" spans="1:22" ht="24.75" customHeight="1">
      <c r="A70" s="87">
        <v>21</v>
      </c>
      <c r="B70" s="7" t="s">
        <v>12</v>
      </c>
      <c r="C70" s="26">
        <f>ต.ค!C70+พย!C70+ธค!C70+มค!C70+กพ!C70+มีค!C70</f>
        <v>11</v>
      </c>
      <c r="D70" s="26">
        <f>ต.ค!D70+พย!D70+ธค!D70+มค!D70+กพ!D70+มีค!D70</f>
        <v>10</v>
      </c>
      <c r="E70" s="4">
        <f t="shared" si="2"/>
        <v>6.0535714285714288</v>
      </c>
      <c r="F70" s="26">
        <f>ต.ค!F70+พย!F70+ธค!F70+มค!F70+กพ!F70+มีค!F70</f>
        <v>6</v>
      </c>
      <c r="G70" s="26">
        <f>ต.ค!G70+พย!G70+ธค!G70+มค!G70+กพ!G70+มีค!G70</f>
        <v>0</v>
      </c>
      <c r="H70" s="26">
        <f>ต.ค!H70+พย!H70+ธค!H70+มค!H70+กพ!H70+มีค!H70</f>
        <v>0</v>
      </c>
      <c r="I70" s="26">
        <f>ต.ค!I70+พย!I70+ธค!I70+มค!I70+กพ!I70+มีค!I70</f>
        <v>0</v>
      </c>
      <c r="J70" s="26">
        <f>ต.ค!J70+พย!J70+ธค!J70+มค!J70+กพ!J70+มีค!J70</f>
        <v>0</v>
      </c>
      <c r="K70" s="26">
        <f>ต.ค!K70+พย!K70+ธค!K70+มค!K70+กพ!K70+มีค!K70</f>
        <v>0</v>
      </c>
      <c r="L70" s="26">
        <f>ต.ค!L70+พย!L70+ธค!L70+มค!L70+กพ!L70+มีค!L70</f>
        <v>0</v>
      </c>
      <c r="M70" s="5">
        <f t="shared" si="3"/>
        <v>-5.3571428571428825E-2</v>
      </c>
      <c r="N70" s="28">
        <f t="shared" si="4"/>
        <v>100.89285714285714</v>
      </c>
      <c r="O70" s="26">
        <f>ต.ค!O70+พย!O70+ธค!O70+มค!O70+กพ!O70+มีค!O70</f>
        <v>0</v>
      </c>
      <c r="P70" s="26">
        <f>ต.ค!P70+พย!P70+ธค!P70+มค!P70+กพ!P70+มีค!P70</f>
        <v>0</v>
      </c>
      <c r="Q70" s="26">
        <f>ต.ค!Q70+พย!Q70+ธค!Q70+มค!Q70+กพ!Q70+มีค!Q70</f>
        <v>12</v>
      </c>
      <c r="R70" s="26">
        <f>ต.ค!R70+พย!R70+ธค!R70+มค!R70+กพ!R70+มีค!R70</f>
        <v>1</v>
      </c>
      <c r="S70" s="26">
        <f>ต.ค!S70+พย!S70+ธค!S70+มค!S70+กพ!S70+มีค!S70</f>
        <v>8</v>
      </c>
      <c r="T70" s="37">
        <f t="shared" si="0"/>
        <v>21</v>
      </c>
      <c r="U70" s="28">
        <f t="shared" si="5"/>
        <v>134.52380952380955</v>
      </c>
      <c r="V70" s="59">
        <f t="shared" si="1"/>
        <v>0</v>
      </c>
    </row>
    <row r="71" spans="1:22" ht="24.75" customHeight="1">
      <c r="A71" s="87"/>
      <c r="B71" s="7" t="s">
        <v>13</v>
      </c>
      <c r="C71" s="26">
        <f>ต.ค!C71+พย!C71+ธค!C71+มค!C71+กพ!C71+มีค!C71</f>
        <v>11</v>
      </c>
      <c r="D71" s="26">
        <f>ต.ค!D71+พย!D71+ธค!D71+มค!D71+กพ!D71+มีค!D71</f>
        <v>8</v>
      </c>
      <c r="E71" s="4">
        <f t="shared" si="2"/>
        <v>5.1964285714285712</v>
      </c>
      <c r="F71" s="26">
        <f>ต.ค!F71+พย!F71+ธค!F71+มค!F71+กพ!F71+มีค!F71</f>
        <v>6</v>
      </c>
      <c r="G71" s="26">
        <f>ต.ค!G71+พย!G71+ธค!G71+มค!G71+กพ!G71+มีค!G71</f>
        <v>0</v>
      </c>
      <c r="H71" s="26">
        <f>ต.ค!H71+พย!H71+ธค!H71+มค!H71+กพ!H71+มีค!H71</f>
        <v>2</v>
      </c>
      <c r="I71" s="26">
        <f>ต.ค!I71+พย!I71+ธค!I71+มค!I71+กพ!I71+มีค!I71</f>
        <v>0</v>
      </c>
      <c r="J71" s="26">
        <f>ต.ค!J71+พย!J71+ธค!J71+มค!J71+กพ!J71+มีค!J71</f>
        <v>0</v>
      </c>
      <c r="K71" s="26">
        <f>ต.ค!K71+พย!K71+ธค!K71+มค!K71+กพ!K71+มีค!K71</f>
        <v>0</v>
      </c>
      <c r="L71" s="26">
        <f>ต.ค!L71+พย!L71+ธค!L71+มค!L71+กพ!L71+มีค!L71</f>
        <v>0</v>
      </c>
      <c r="M71" s="5">
        <f t="shared" si="3"/>
        <v>2.8035714285714288</v>
      </c>
      <c r="N71" s="28">
        <f t="shared" si="4"/>
        <v>64.955357142857139</v>
      </c>
      <c r="O71" s="26">
        <f>ต.ค!O71+พย!O71+ธค!O71+มค!O71+กพ!O71+มีค!O71</f>
        <v>0</v>
      </c>
      <c r="P71" s="26">
        <f>ต.ค!P71+พย!P71+ธค!P71+มค!P71+กพ!P71+มีค!P71</f>
        <v>3</v>
      </c>
      <c r="Q71" s="26">
        <f>ต.ค!Q71+พย!Q71+ธค!Q71+มค!Q71+กพ!Q71+มีค!Q71</f>
        <v>9</v>
      </c>
      <c r="R71" s="26">
        <f>ต.ค!R71+พย!R71+ธค!R71+มค!R71+กพ!R71+มีค!R71</f>
        <v>0</v>
      </c>
      <c r="S71" s="26">
        <f>ต.ค!S71+พย!S71+ธค!S71+มค!S71+กพ!S71+มีค!S71</f>
        <v>7</v>
      </c>
      <c r="T71" s="37">
        <f t="shared" si="0"/>
        <v>19</v>
      </c>
      <c r="U71" s="28">
        <f t="shared" si="5"/>
        <v>85.714285714285708</v>
      </c>
      <c r="V71" s="59">
        <f t="shared" si="1"/>
        <v>0</v>
      </c>
    </row>
    <row r="72" spans="1:22" ht="24.75" customHeight="1">
      <c r="A72" s="87"/>
      <c r="B72" s="7" t="s">
        <v>14</v>
      </c>
      <c r="C72" s="26">
        <f>ต.ค!C72+พย!C72+ธค!C72+มค!C72+กพ!C72+มีค!C72</f>
        <v>10</v>
      </c>
      <c r="D72" s="26">
        <f>ต.ค!D72+พย!D72+ธค!D72+มค!D72+กพ!D72+มีค!D72</f>
        <v>7</v>
      </c>
      <c r="E72" s="4">
        <f t="shared" si="2"/>
        <v>4.6071428571428568</v>
      </c>
      <c r="F72" s="26">
        <f>ต.ค!F72+พย!F72+ธค!F72+มค!F72+กพ!F72+มีค!F72</f>
        <v>6</v>
      </c>
      <c r="G72" s="26">
        <f>ต.ค!G72+พย!G72+ธค!G72+มค!G72+กพ!G72+มีค!G72</f>
        <v>0</v>
      </c>
      <c r="H72" s="26">
        <f>ต.ค!H72+พย!H72+ธค!H72+มค!H72+กพ!H72+มีค!H72</f>
        <v>1</v>
      </c>
      <c r="I72" s="26">
        <f>ต.ค!I72+พย!I72+ธค!I72+มค!I72+กพ!I72+มีค!I72</f>
        <v>0</v>
      </c>
      <c r="J72" s="26">
        <f>ต.ค!J72+พย!J72+ธค!J72+มค!J72+กพ!J72+มีค!J72</f>
        <v>0</v>
      </c>
      <c r="K72" s="26">
        <f>ต.ค!K72+พย!K72+ธค!K72+มค!K72+กพ!K72+มีค!K72</f>
        <v>0</v>
      </c>
      <c r="L72" s="26">
        <f>ต.ค!L72+พย!L72+ธค!L72+มค!L72+กพ!L72+มีค!L72</f>
        <v>0</v>
      </c>
      <c r="M72" s="5">
        <f t="shared" si="3"/>
        <v>2.3928571428571432</v>
      </c>
      <c r="N72" s="28">
        <f t="shared" si="4"/>
        <v>65.816326530612244</v>
      </c>
      <c r="O72" s="26">
        <f>ต.ค!O72+พย!O72+ธค!O72+มค!O72+กพ!O72+มีค!O72</f>
        <v>0</v>
      </c>
      <c r="P72" s="26">
        <f>ต.ค!P72+พย!P72+ธค!P72+มค!P72+กพ!P72+มีค!P72</f>
        <v>0</v>
      </c>
      <c r="Q72" s="26">
        <f>ต.ค!Q72+พย!Q72+ธค!Q72+มค!Q72+กพ!Q72+มีค!Q72</f>
        <v>9</v>
      </c>
      <c r="R72" s="26">
        <f>ต.ค!R72+พย!R72+ธค!R72+มค!R72+กพ!R72+มีค!R72</f>
        <v>1</v>
      </c>
      <c r="S72" s="26">
        <f>ต.ค!S72+พย!S72+ธค!S72+มค!S72+กพ!S72+มีค!S72</f>
        <v>7</v>
      </c>
      <c r="T72" s="37">
        <f t="shared" si="0"/>
        <v>17</v>
      </c>
      <c r="U72" s="28">
        <f t="shared" si="5"/>
        <v>95.918367346938766</v>
      </c>
      <c r="V72" s="59">
        <f t="shared" si="1"/>
        <v>0</v>
      </c>
    </row>
    <row r="73" spans="1:22" ht="24.75" customHeight="1">
      <c r="A73" s="87">
        <v>22</v>
      </c>
      <c r="B73" s="7" t="s">
        <v>12</v>
      </c>
      <c r="C73" s="26">
        <f>ต.ค!C73+พย!C73+ธค!C73+มค!C73+กพ!C73+มีค!C73</f>
        <v>9</v>
      </c>
      <c r="D73" s="26">
        <f>ต.ค!D73+พย!D73+ธค!D73+มค!D73+กพ!D73+มีค!D73</f>
        <v>7</v>
      </c>
      <c r="E73" s="4">
        <f t="shared" si="2"/>
        <v>4.4464285714285712</v>
      </c>
      <c r="F73" s="26">
        <f>ต.ค!F73+พย!F73+ธค!F73+มค!F73+กพ!F73+มีค!F73</f>
        <v>6</v>
      </c>
      <c r="G73" s="26">
        <f>ต.ค!G73+พย!G73+ธค!G73+มค!G73+กพ!G73+มีค!G73</f>
        <v>0</v>
      </c>
      <c r="H73" s="26">
        <f>ต.ค!H73+พย!H73+ธค!H73+มค!H73+กพ!H73+มีค!H73</f>
        <v>0</v>
      </c>
      <c r="I73" s="26">
        <f>ต.ค!I73+พย!I73+ธค!I73+มค!I73+กพ!I73+มีค!I73</f>
        <v>0</v>
      </c>
      <c r="J73" s="26">
        <f>ต.ค!J73+พย!J73+ธค!J73+มค!J73+กพ!J73+มีค!J73</f>
        <v>0</v>
      </c>
      <c r="K73" s="26">
        <f>ต.ค!K73+พย!K73+ธค!K73+มค!K73+กพ!K73+มีค!K73</f>
        <v>0</v>
      </c>
      <c r="L73" s="26">
        <f>ต.ค!L73+พย!L73+ธค!L73+มค!L73+กพ!L73+มีค!L73</f>
        <v>0</v>
      </c>
      <c r="M73" s="5">
        <f t="shared" si="3"/>
        <v>1.5535714285714288</v>
      </c>
      <c r="N73" s="28">
        <f t="shared" si="4"/>
        <v>74.107142857142861</v>
      </c>
      <c r="O73" s="26">
        <f>ต.ค!O73+พย!O73+ธค!O73+มค!O73+กพ!O73+มีค!O73</f>
        <v>0</v>
      </c>
      <c r="P73" s="26">
        <f>ต.ค!P73+พย!P73+ธค!P73+มค!P73+กพ!P73+มีค!P73</f>
        <v>0</v>
      </c>
      <c r="Q73" s="26">
        <f>ต.ค!Q73+พย!Q73+ธค!Q73+มค!Q73+กพ!Q73+มีค!Q73</f>
        <v>9</v>
      </c>
      <c r="R73" s="26">
        <f>ต.ค!R73+พย!R73+ธค!R73+มค!R73+กพ!R73+มีค!R73</f>
        <v>0</v>
      </c>
      <c r="S73" s="26">
        <f>ต.ค!S73+พย!S73+ธค!S73+มค!S73+กพ!S73+มีค!S73</f>
        <v>7</v>
      </c>
      <c r="T73" s="37">
        <f t="shared" si="0"/>
        <v>16</v>
      </c>
      <c r="U73" s="28">
        <f t="shared" si="5"/>
        <v>105.95238095238095</v>
      </c>
      <c r="V73" s="59">
        <f t="shared" si="1"/>
        <v>0</v>
      </c>
    </row>
    <row r="74" spans="1:22" ht="24.75" customHeight="1">
      <c r="A74" s="87"/>
      <c r="B74" s="7" t="s">
        <v>13</v>
      </c>
      <c r="C74" s="26">
        <f>ต.ค!C74+พย!C74+ธค!C74+มค!C74+กพ!C74+มีค!C74</f>
        <v>11</v>
      </c>
      <c r="D74" s="26">
        <f>ต.ค!D74+พย!D74+ธค!D74+มค!D74+กพ!D74+มีค!D74</f>
        <v>7</v>
      </c>
      <c r="E74" s="4">
        <f t="shared" si="2"/>
        <v>4.7678571428571432</v>
      </c>
      <c r="F74" s="26">
        <f>ต.ค!F74+พย!F74+ธค!F74+มค!F74+กพ!F74+มีค!F74</f>
        <v>5</v>
      </c>
      <c r="G74" s="26">
        <f>ต.ค!G74+พย!G74+ธค!G74+มค!G74+กพ!G74+มีค!G74</f>
        <v>0</v>
      </c>
      <c r="H74" s="26">
        <f>ต.ค!H74+พย!H74+ธค!H74+มค!H74+กพ!H74+มีค!H74</f>
        <v>1</v>
      </c>
      <c r="I74" s="26">
        <f>ต.ค!I74+พย!I74+ธค!I74+มค!I74+กพ!I74+มีค!I74</f>
        <v>1</v>
      </c>
      <c r="J74" s="26">
        <f>ต.ค!J74+พย!J74+ธค!J74+มค!J74+กพ!J74+มีค!J74</f>
        <v>0</v>
      </c>
      <c r="K74" s="26">
        <f>ต.ค!K74+พย!K74+ธค!K74+มค!K74+กพ!K74+มีค!K74</f>
        <v>0</v>
      </c>
      <c r="L74" s="26">
        <f>ต.ค!L74+พย!L74+ธค!L74+มค!L74+กพ!L74+มีค!L74</f>
        <v>0</v>
      </c>
      <c r="M74" s="5">
        <f t="shared" si="3"/>
        <v>1.2321428571428568</v>
      </c>
      <c r="N74" s="28">
        <f t="shared" si="4"/>
        <v>68.112244897959187</v>
      </c>
      <c r="O74" s="26">
        <f>ต.ค!O74+พย!O74+ธค!O74+มค!O74+กพ!O74+มีค!O74</f>
        <v>0</v>
      </c>
      <c r="P74" s="26">
        <f>ต.ค!P74+พย!P74+ธค!P74+มค!P74+กพ!P74+มีค!P74</f>
        <v>1</v>
      </c>
      <c r="Q74" s="26">
        <f>ต.ค!Q74+พย!Q74+ธค!Q74+มค!Q74+กพ!Q74+มีค!Q74</f>
        <v>10</v>
      </c>
      <c r="R74" s="26">
        <f>ต.ค!R74+พย!R74+ธค!R74+มค!R74+กพ!R74+มีค!R74</f>
        <v>0</v>
      </c>
      <c r="S74" s="26">
        <f>ต.ค!S74+พย!S74+ธค!S74+มค!S74+กพ!S74+มีค!S74</f>
        <v>7</v>
      </c>
      <c r="T74" s="37">
        <f t="shared" ref="T74:T81" si="6">SUM(O74:S74)</f>
        <v>18</v>
      </c>
      <c r="U74" s="28">
        <f t="shared" si="5"/>
        <v>96.938775510204081</v>
      </c>
      <c r="V74" s="59">
        <f t="shared" ref="V74:V106" si="7">C74+D74-T74</f>
        <v>0</v>
      </c>
    </row>
    <row r="75" spans="1:22" ht="24.75" customHeight="1">
      <c r="A75" s="87"/>
      <c r="B75" s="7" t="s">
        <v>14</v>
      </c>
      <c r="C75" s="26">
        <f>ต.ค!C75+พย!C75+ธค!C75+มค!C75+กพ!C75+มีค!C75</f>
        <v>11</v>
      </c>
      <c r="D75" s="26">
        <f>ต.ค!D75+พย!D75+ธค!D75+มค!D75+กพ!D75+มีค!D75</f>
        <v>9</v>
      </c>
      <c r="E75" s="4">
        <f t="shared" ref="E75:E102" si="8">((($B$3*C75)+(12*D75))*$E$4)/7</f>
        <v>5.625</v>
      </c>
      <c r="F75" s="26">
        <f>ต.ค!F75+พย!F75+ธค!F75+มค!F75+กพ!F75+มีค!F75</f>
        <v>5</v>
      </c>
      <c r="G75" s="26">
        <f>ต.ค!G75+พย!G75+ธค!G75+มค!G75+กพ!G75+มีค!G75</f>
        <v>0</v>
      </c>
      <c r="H75" s="26">
        <f>ต.ค!H75+พย!H75+ธค!H75+มค!H75+กพ!H75+มีค!H75</f>
        <v>1</v>
      </c>
      <c r="I75" s="26">
        <f>ต.ค!I75+พย!I75+ธค!I75+มค!I75+กพ!I75+มีค!I75</f>
        <v>0</v>
      </c>
      <c r="J75" s="26">
        <f>ต.ค!J75+พย!J75+ธค!J75+มค!J75+กพ!J75+มีค!J75</f>
        <v>0</v>
      </c>
      <c r="K75" s="26">
        <f>ต.ค!K75+พย!K75+ธค!K75+มค!K75+กพ!K75+มีค!K75</f>
        <v>0</v>
      </c>
      <c r="L75" s="26">
        <f>ต.ค!L75+พย!L75+ธค!L75+มค!L75+กพ!L75+มีค!L75</f>
        <v>0</v>
      </c>
      <c r="M75" s="5">
        <f t="shared" ref="M75:M106" si="9">(F75+G75+H75+L75)-E75</f>
        <v>0.375</v>
      </c>
      <c r="N75" s="28">
        <f t="shared" ref="N75:N105" si="10">(((C75*4.5)+(12*D75))*$E$4)/((F75+G75+H75+I75+J75+K75+L75)*7)*100</f>
        <v>93.75</v>
      </c>
      <c r="O75" s="26">
        <f>ต.ค!O75+พย!O75+ธค!O75+มค!O75+กพ!O75+มีค!O75</f>
        <v>0</v>
      </c>
      <c r="P75" s="26">
        <f>ต.ค!P75+พย!P75+ธค!P75+มค!P75+กพ!P75+มีค!P75</f>
        <v>0</v>
      </c>
      <c r="Q75" s="26">
        <f>ต.ค!Q75+พย!Q75+ธค!Q75+มค!Q75+กพ!Q75+มีค!Q75</f>
        <v>11</v>
      </c>
      <c r="R75" s="26">
        <f>ต.ค!R75+พย!R75+ธค!R75+มค!R75+กพ!R75+มีค!R75</f>
        <v>0</v>
      </c>
      <c r="S75" s="26">
        <f>ต.ค!S75+พย!S75+ธค!S75+มค!S75+กพ!S75+มีค!S75</f>
        <v>9</v>
      </c>
      <c r="T75" s="37">
        <f t="shared" si="6"/>
        <v>20</v>
      </c>
      <c r="U75" s="28">
        <f t="shared" ref="U75:U106" si="11">((((O75*1.5+(P75*3.5)+(Q75*5.5)+(R75*7.5)+(S75*12)))/3)/((F75+G75+H75+I75+J75+K75+L75)*7))*100</f>
        <v>133.73015873015873</v>
      </c>
      <c r="V75" s="59">
        <f t="shared" si="7"/>
        <v>0</v>
      </c>
    </row>
    <row r="76" spans="1:22" ht="24.75" customHeight="1">
      <c r="A76" s="87">
        <v>23</v>
      </c>
      <c r="B76" s="7" t="s">
        <v>12</v>
      </c>
      <c r="C76" s="26">
        <f>ต.ค!C76+พย!C76+ธค!C76+มค!C76+กพ!C76+มีค!C76</f>
        <v>11</v>
      </c>
      <c r="D76" s="26">
        <f>ต.ค!D76+พย!D76+ธค!D76+มค!D76+กพ!D76+มีค!D76</f>
        <v>9</v>
      </c>
      <c r="E76" s="4">
        <f t="shared" si="8"/>
        <v>5.625</v>
      </c>
      <c r="F76" s="26">
        <f>ต.ค!F76+พย!F76+ธค!F76+มค!F76+กพ!F76+มีค!F76</f>
        <v>6</v>
      </c>
      <c r="G76" s="26">
        <f>ต.ค!G76+พย!G76+ธค!G76+มค!G76+กพ!G76+มีค!G76</f>
        <v>0</v>
      </c>
      <c r="H76" s="26">
        <f>ต.ค!H76+พย!H76+ธค!H76+มค!H76+กพ!H76+มีค!H76</f>
        <v>0</v>
      </c>
      <c r="I76" s="26">
        <f>ต.ค!I76+พย!I76+ธค!I76+มค!I76+กพ!I76+มีค!I76</f>
        <v>0</v>
      </c>
      <c r="J76" s="26">
        <f>ต.ค!J76+พย!J76+ธค!J76+มค!J76+กพ!J76+มีค!J76</f>
        <v>0</v>
      </c>
      <c r="K76" s="26">
        <f>ต.ค!K76+พย!K76+ธค!K76+มค!K76+กพ!K76+มีค!K76</f>
        <v>0</v>
      </c>
      <c r="L76" s="26">
        <f>ต.ค!L76+พย!L76+ธค!L76+มค!L76+กพ!L76+มีค!L76</f>
        <v>0</v>
      </c>
      <c r="M76" s="5">
        <f t="shared" si="9"/>
        <v>0.375</v>
      </c>
      <c r="N76" s="28">
        <f t="shared" si="10"/>
        <v>93.75</v>
      </c>
      <c r="O76" s="26">
        <f>ต.ค!O76+พย!O76+ธค!O76+มค!O76+กพ!O76+มีค!O76</f>
        <v>0</v>
      </c>
      <c r="P76" s="26">
        <f>ต.ค!P76+พย!P76+ธค!P76+มค!P76+กพ!P76+มีค!P76</f>
        <v>0</v>
      </c>
      <c r="Q76" s="26">
        <f>ต.ค!Q76+พย!Q76+ธค!Q76+มค!Q76+กพ!Q76+มีค!Q76</f>
        <v>10</v>
      </c>
      <c r="R76" s="26">
        <f>ต.ค!R76+พย!R76+ธค!R76+มค!R76+กพ!R76+มีค!R76</f>
        <v>1</v>
      </c>
      <c r="S76" s="26">
        <f>ต.ค!S76+พย!S76+ธค!S76+มค!S76+กพ!S76+มีค!S76</f>
        <v>9</v>
      </c>
      <c r="T76" s="37">
        <f t="shared" si="6"/>
        <v>20</v>
      </c>
      <c r="U76" s="28">
        <f t="shared" si="11"/>
        <v>135.31746031746033</v>
      </c>
      <c r="V76" s="59">
        <f t="shared" si="7"/>
        <v>0</v>
      </c>
    </row>
    <row r="77" spans="1:22" ht="24.75" customHeight="1">
      <c r="A77" s="87"/>
      <c r="B77" s="7" t="s">
        <v>13</v>
      </c>
      <c r="C77" s="26">
        <f>ต.ค!C77+พย!C77+ธค!C77+มค!C77+กพ!C77+มีค!C77</f>
        <v>11</v>
      </c>
      <c r="D77" s="26">
        <f>ต.ค!D77+พย!D77+ธค!D77+มค!D77+กพ!D77+มีค!D77</f>
        <v>10</v>
      </c>
      <c r="E77" s="4">
        <f t="shared" si="8"/>
        <v>6.0535714285714288</v>
      </c>
      <c r="F77" s="26">
        <f>ต.ค!F77+พย!F77+ธค!F77+มค!F77+กพ!F77+มีค!F77</f>
        <v>5</v>
      </c>
      <c r="G77" s="26">
        <f>ต.ค!G77+พย!G77+ธค!G77+มค!G77+กพ!G77+มีค!G77</f>
        <v>0</v>
      </c>
      <c r="H77" s="26">
        <f>ต.ค!H77+พย!H77+ธค!H77+มค!H77+กพ!H77+มีค!H77</f>
        <v>2</v>
      </c>
      <c r="I77" s="26">
        <f>ต.ค!I77+พย!I77+ธค!I77+มค!I77+กพ!I77+มีค!I77</f>
        <v>1</v>
      </c>
      <c r="J77" s="26">
        <f>ต.ค!J77+พย!J77+ธค!J77+มค!J77+กพ!J77+มีค!J77</f>
        <v>0</v>
      </c>
      <c r="K77" s="26">
        <f>ต.ค!K77+พย!K77+ธค!K77+มค!K77+กพ!K77+มีค!K77</f>
        <v>0</v>
      </c>
      <c r="L77" s="26">
        <f>ต.ค!L77+พย!L77+ธค!L77+มค!L77+กพ!L77+มีค!L77</f>
        <v>0</v>
      </c>
      <c r="M77" s="5">
        <f t="shared" si="9"/>
        <v>0.94642857142857117</v>
      </c>
      <c r="N77" s="28">
        <f t="shared" si="10"/>
        <v>75.669642857142861</v>
      </c>
      <c r="O77" s="26">
        <f>ต.ค!O77+พย!O77+ธค!O77+มค!O77+กพ!O77+มีค!O77</f>
        <v>0</v>
      </c>
      <c r="P77" s="26">
        <f>ต.ค!P77+พย!P77+ธค!P77+มค!P77+กพ!P77+มีค!P77</f>
        <v>3</v>
      </c>
      <c r="Q77" s="26">
        <f>ต.ค!Q77+พย!Q77+ธค!Q77+มค!Q77+กพ!Q77+มีค!Q77</f>
        <v>7</v>
      </c>
      <c r="R77" s="26">
        <f>ต.ค!R77+พย!R77+ธค!R77+มค!R77+กพ!R77+มีค!R77</f>
        <v>1</v>
      </c>
      <c r="S77" s="26">
        <f>ต.ค!S77+พย!S77+ธค!S77+มค!S77+กพ!S77+มีค!S77</f>
        <v>10</v>
      </c>
      <c r="T77" s="37">
        <f t="shared" si="6"/>
        <v>21</v>
      </c>
      <c r="U77" s="28">
        <f t="shared" si="11"/>
        <v>105.05952380952381</v>
      </c>
      <c r="V77" s="59">
        <f t="shared" si="7"/>
        <v>0</v>
      </c>
    </row>
    <row r="78" spans="1:22" ht="24.75" customHeight="1">
      <c r="A78" s="87"/>
      <c r="B78" s="7" t="s">
        <v>14</v>
      </c>
      <c r="C78" s="26">
        <f>ต.ค!C78+พย!C78+ธค!C78+มค!C78+กพ!C78+มีค!C78</f>
        <v>8</v>
      </c>
      <c r="D78" s="26">
        <f>ต.ค!D78+พย!D78+ธค!D78+มค!D78+กพ!D78+มีค!D78</f>
        <v>12</v>
      </c>
      <c r="E78" s="4">
        <f t="shared" si="8"/>
        <v>6.4285714285714288</v>
      </c>
      <c r="F78" s="26">
        <f>ต.ค!F78+พย!F78+ธค!F78+มค!F78+กพ!F78+มีค!F78</f>
        <v>6</v>
      </c>
      <c r="G78" s="26">
        <f>ต.ค!G78+พย!G78+ธค!G78+มค!G78+กพ!G78+มีค!G78</f>
        <v>0</v>
      </c>
      <c r="H78" s="26">
        <f>ต.ค!H78+พย!H78+ธค!H78+มค!H78+กพ!H78+มีค!H78</f>
        <v>0</v>
      </c>
      <c r="I78" s="26">
        <f>ต.ค!I78+พย!I78+ธค!I78+มค!I78+กพ!I78+มีค!I78</f>
        <v>0</v>
      </c>
      <c r="J78" s="26">
        <f>ต.ค!J78+พย!J78+ธค!J78+มค!J78+กพ!J78+มีค!J78</f>
        <v>0</v>
      </c>
      <c r="K78" s="26">
        <f>ต.ค!K78+พย!K78+ธค!K78+มค!K78+กพ!K78+มีค!K78</f>
        <v>0</v>
      </c>
      <c r="L78" s="26">
        <f>ต.ค!L78+พย!L78+ธค!L78+มค!L78+กพ!L78+มีค!L78</f>
        <v>0</v>
      </c>
      <c r="M78" s="5">
        <f t="shared" si="9"/>
        <v>-0.42857142857142883</v>
      </c>
      <c r="N78" s="28">
        <f t="shared" si="10"/>
        <v>107.14285714285714</v>
      </c>
      <c r="O78" s="26">
        <f>ต.ค!O78+พย!O78+ธค!O78+มค!O78+กพ!O78+มีค!O78</f>
        <v>0</v>
      </c>
      <c r="P78" s="26">
        <f>ต.ค!P78+พย!P78+ธค!P78+มค!P78+กพ!P78+มีค!P78</f>
        <v>0</v>
      </c>
      <c r="Q78" s="26">
        <f>ต.ค!Q78+พย!Q78+ธค!Q78+มค!Q78+กพ!Q78+มีค!Q78</f>
        <v>7</v>
      </c>
      <c r="R78" s="26">
        <f>ต.ค!R78+พย!R78+ธค!R78+มค!R78+กพ!R78+มีค!R78</f>
        <v>2</v>
      </c>
      <c r="S78" s="26">
        <f>ต.ค!S78+พย!S78+ธค!S78+มค!S78+กพ!S78+มีค!S78</f>
        <v>11</v>
      </c>
      <c r="T78" s="37">
        <f t="shared" si="6"/>
        <v>20</v>
      </c>
      <c r="U78" s="28">
        <f t="shared" si="11"/>
        <v>147.22222222222223</v>
      </c>
      <c r="V78" s="59">
        <f t="shared" si="7"/>
        <v>0</v>
      </c>
    </row>
    <row r="79" spans="1:22" ht="24.75" customHeight="1">
      <c r="A79" s="87">
        <v>24</v>
      </c>
      <c r="B79" s="7" t="s">
        <v>12</v>
      </c>
      <c r="C79" s="26">
        <f>ต.ค!C79+พย!C79+ธค!C79+มค!C79+กพ!C79+มีค!C79</f>
        <v>8</v>
      </c>
      <c r="D79" s="26">
        <f>ต.ค!D79+พย!D79+ธค!D79+มค!D79+กพ!D79+มีค!D79</f>
        <v>12</v>
      </c>
      <c r="E79" s="4">
        <f t="shared" si="8"/>
        <v>6.4285714285714288</v>
      </c>
      <c r="F79" s="26">
        <f>ต.ค!F79+พย!F79+ธค!F79+มค!F79+กพ!F79+มีค!F79</f>
        <v>6</v>
      </c>
      <c r="G79" s="26">
        <f>ต.ค!G79+พย!G79+ธค!G79+มค!G79+กพ!G79+มีค!G79</f>
        <v>0</v>
      </c>
      <c r="H79" s="26">
        <f>ต.ค!H79+พย!H79+ธค!H79+มค!H79+กพ!H79+มีค!H79</f>
        <v>0</v>
      </c>
      <c r="I79" s="26">
        <f>ต.ค!I79+พย!I79+ธค!I79+มค!I79+กพ!I79+มีค!I79</f>
        <v>0</v>
      </c>
      <c r="J79" s="26">
        <f>ต.ค!J79+พย!J79+ธค!J79+มค!J79+กพ!J79+มีค!J79</f>
        <v>0</v>
      </c>
      <c r="K79" s="26">
        <f>ต.ค!K79+พย!K79+ธค!K79+มค!K79+กพ!K79+มีค!K79</f>
        <v>0</v>
      </c>
      <c r="L79" s="26">
        <f>ต.ค!L79+พย!L79+ธค!L79+มค!L79+กพ!L79+มีค!L79</f>
        <v>0</v>
      </c>
      <c r="M79" s="5">
        <f t="shared" si="9"/>
        <v>-0.42857142857142883</v>
      </c>
      <c r="N79" s="28">
        <f t="shared" si="10"/>
        <v>107.14285714285714</v>
      </c>
      <c r="O79" s="26">
        <f>ต.ค!O79+พย!O79+ธค!O79+มค!O79+กพ!O79+มีค!O79</f>
        <v>0</v>
      </c>
      <c r="P79" s="26">
        <f>ต.ค!P79+พย!P79+ธค!P79+มค!P79+กพ!P79+มีค!P79</f>
        <v>0</v>
      </c>
      <c r="Q79" s="26">
        <f>ต.ค!Q79+พย!Q79+ธค!Q79+มค!Q79+กพ!Q79+มีค!Q79</f>
        <v>7</v>
      </c>
      <c r="R79" s="26">
        <f>ต.ค!R79+พย!R79+ธค!R79+มค!R79+กพ!R79+มีค!R79</f>
        <v>2</v>
      </c>
      <c r="S79" s="26">
        <f>ต.ค!S79+พย!S79+ธค!S79+มค!S79+กพ!S79+มีค!S79</f>
        <v>11</v>
      </c>
      <c r="T79" s="37">
        <f t="shared" si="6"/>
        <v>20</v>
      </c>
      <c r="U79" s="28">
        <f t="shared" si="11"/>
        <v>147.22222222222223</v>
      </c>
      <c r="V79" s="59">
        <f t="shared" si="7"/>
        <v>0</v>
      </c>
    </row>
    <row r="80" spans="1:22" ht="24.75" customHeight="1">
      <c r="A80" s="87"/>
      <c r="B80" s="7" t="s">
        <v>13</v>
      </c>
      <c r="C80" s="26">
        <f>ต.ค!C80+พย!C80+ธค!C80+มค!C80+กพ!C80+มีค!C80</f>
        <v>10</v>
      </c>
      <c r="D80" s="26">
        <f>ต.ค!D80+พย!D80+ธค!D80+มค!D80+กพ!D80+มีค!D80</f>
        <v>12</v>
      </c>
      <c r="E80" s="4">
        <f t="shared" si="8"/>
        <v>6.75</v>
      </c>
      <c r="F80" s="26">
        <f>ต.ค!F80+พย!F80+ธค!F80+มค!F80+กพ!F80+มีค!F80</f>
        <v>5</v>
      </c>
      <c r="G80" s="26">
        <f>ต.ค!G80+พย!G80+ธค!G80+มค!G80+กพ!G80+มีค!G80</f>
        <v>0</v>
      </c>
      <c r="H80" s="26">
        <f>ต.ค!H80+พย!H80+ธค!H80+มค!H80+กพ!H80+มีค!H80</f>
        <v>2</v>
      </c>
      <c r="I80" s="26">
        <f>ต.ค!I80+พย!I80+ธค!I80+มค!I80+กพ!I80+มีค!I80</f>
        <v>2</v>
      </c>
      <c r="J80" s="26">
        <f>ต.ค!J80+พย!J80+ธค!J80+มค!J80+กพ!J80+มีค!J80</f>
        <v>0</v>
      </c>
      <c r="K80" s="26">
        <f>ต.ค!K80+พย!K80+ธค!K80+มค!K80+กพ!K80+มีค!K80</f>
        <v>0</v>
      </c>
      <c r="L80" s="26">
        <f>ต.ค!L80+พย!L80+ธค!L80+มค!L80+กพ!L80+มีค!L80</f>
        <v>0</v>
      </c>
      <c r="M80" s="5">
        <f t="shared" si="9"/>
        <v>0.25</v>
      </c>
      <c r="N80" s="28">
        <f t="shared" si="10"/>
        <v>75</v>
      </c>
      <c r="O80" s="26">
        <f>ต.ค!O80+พย!O80+ธค!O80+มค!O80+กพ!O80+มีค!O80</f>
        <v>0</v>
      </c>
      <c r="P80" s="26">
        <f>ต.ค!P80+พย!P80+ธค!P80+มค!P80+กพ!P80+มีค!P80</f>
        <v>0</v>
      </c>
      <c r="Q80" s="26">
        <f>ต.ค!Q80+พย!Q80+ธค!Q80+มค!Q80+กพ!Q80+มีค!Q80</f>
        <v>9</v>
      </c>
      <c r="R80" s="26">
        <f>ต.ค!R80+พย!R80+ธค!R80+มค!R80+กพ!R80+มีค!R80</f>
        <v>2</v>
      </c>
      <c r="S80" s="26">
        <f>ต.ค!S80+พย!S80+ธค!S80+มค!S80+กพ!S80+มีค!S80</f>
        <v>11</v>
      </c>
      <c r="T80" s="37">
        <f t="shared" si="6"/>
        <v>22</v>
      </c>
      <c r="U80" s="28">
        <f t="shared" si="11"/>
        <v>103.96825396825398</v>
      </c>
      <c r="V80" s="59">
        <f t="shared" si="7"/>
        <v>0</v>
      </c>
    </row>
    <row r="81" spans="1:22" ht="24.75" customHeight="1">
      <c r="A81" s="87"/>
      <c r="B81" s="7" t="s">
        <v>14</v>
      </c>
      <c r="C81" s="26">
        <f>ต.ค!C81+พย!C81+ธค!C81+มค!C81+กพ!C81+มีค!C81</f>
        <v>9</v>
      </c>
      <c r="D81" s="26">
        <f>ต.ค!D81+พย!D81+ธค!D81+มค!D81+กพ!D81+มีค!D81</f>
        <v>12</v>
      </c>
      <c r="E81" s="4">
        <f t="shared" si="8"/>
        <v>6.5892857142857144</v>
      </c>
      <c r="F81" s="26">
        <f>ต.ค!F81+พย!F81+ธค!F81+มค!F81+กพ!F81+มีค!F81</f>
        <v>2</v>
      </c>
      <c r="G81" s="26">
        <f>ต.ค!G81+พย!G81+ธค!G81+มค!G81+กพ!G81+มีค!G81</f>
        <v>0</v>
      </c>
      <c r="H81" s="26">
        <f>ต.ค!H81+พย!H81+ธค!H81+มค!H81+กพ!H81+มีค!H81</f>
        <v>1</v>
      </c>
      <c r="I81" s="26">
        <f>ต.ค!I81+พย!I81+ธค!I81+มค!I81+กพ!I81+มีค!I81</f>
        <v>4</v>
      </c>
      <c r="J81" s="26">
        <f>ต.ค!J81+พย!J81+ธค!J81+มค!J81+กพ!J81+มีค!J81</f>
        <v>0</v>
      </c>
      <c r="K81" s="26">
        <f>ต.ค!K81+พย!K81+ธค!K81+มค!K81+กพ!K81+มีค!K81</f>
        <v>0</v>
      </c>
      <c r="L81" s="26">
        <f>ต.ค!L81+พย!L81+ธค!L81+มค!L81+กพ!L81+มีค!L81</f>
        <v>0</v>
      </c>
      <c r="M81" s="5">
        <f t="shared" si="9"/>
        <v>-3.5892857142857144</v>
      </c>
      <c r="N81" s="28">
        <f t="shared" si="10"/>
        <v>94.132653061224488</v>
      </c>
      <c r="O81" s="26">
        <f>ต.ค!O81+พย!O81+ธค!O81+มค!O81+กพ!O81+มีค!O81</f>
        <v>0</v>
      </c>
      <c r="P81" s="26">
        <f>ต.ค!P81+พย!P81+ธค!P81+มค!P81+กพ!P81+มีค!P81</f>
        <v>0</v>
      </c>
      <c r="Q81" s="26">
        <f>ต.ค!Q81+พย!Q81+ธค!Q81+มค!Q81+กพ!Q81+มีค!Q81</f>
        <v>8</v>
      </c>
      <c r="R81" s="26">
        <f>ต.ค!R81+พย!R81+ธค!R81+มค!R81+กพ!R81+มีค!R81</f>
        <v>2</v>
      </c>
      <c r="S81" s="26">
        <f>ต.ค!S81+พย!S81+ธค!S81+มค!S81+กพ!S81+มีค!S81</f>
        <v>11</v>
      </c>
      <c r="T81" s="37">
        <f t="shared" si="6"/>
        <v>21</v>
      </c>
      <c r="U81" s="28">
        <f t="shared" si="11"/>
        <v>129.93197278911563</v>
      </c>
      <c r="V81" s="59">
        <f t="shared" si="7"/>
        <v>0</v>
      </c>
    </row>
    <row r="82" spans="1:22" ht="24.75" customHeight="1">
      <c r="A82" s="87">
        <v>25</v>
      </c>
      <c r="B82" s="7" t="s">
        <v>12</v>
      </c>
      <c r="C82" s="26">
        <f>ต.ค!C82+พย!C82+ธค!C82+มค!C82+กพ!C82+มีค!C82</f>
        <v>10</v>
      </c>
      <c r="D82" s="26">
        <f>ต.ค!D82+พย!D82+ธค!D82+มค!D82+กพ!D82+มีค!D82</f>
        <v>12</v>
      </c>
      <c r="E82" s="4">
        <f t="shared" si="8"/>
        <v>6.75</v>
      </c>
      <c r="F82" s="26">
        <f>ต.ค!F82+พย!F82+ธค!F82+มค!F82+กพ!F82+มีค!F82</f>
        <v>6</v>
      </c>
      <c r="G82" s="26">
        <f>ต.ค!G82+พย!G82+ธค!G82+มค!G82+กพ!G82+มีค!G82</f>
        <v>0</v>
      </c>
      <c r="H82" s="26">
        <f>ต.ค!H82+พย!H82+ธค!H82+มค!H82+กพ!H82+มีค!H82</f>
        <v>0</v>
      </c>
      <c r="I82" s="26">
        <f>ต.ค!I82+พย!I82+ธค!I82+มค!I82+กพ!I82+มีค!I82</f>
        <v>0</v>
      </c>
      <c r="J82" s="26">
        <f>ต.ค!J82+พย!J82+ธค!J82+มค!J82+กพ!J82+มีค!J82</f>
        <v>0</v>
      </c>
      <c r="K82" s="26">
        <f>ต.ค!K82+พย!K82+ธค!K82+มค!K82+กพ!K82+มีค!K82</f>
        <v>0</v>
      </c>
      <c r="L82" s="26">
        <f>ต.ค!L82+พย!L82+ธค!L82+มค!L82+กพ!L82+มีค!L82</f>
        <v>0</v>
      </c>
      <c r="M82" s="5">
        <f t="shared" si="9"/>
        <v>-0.75</v>
      </c>
      <c r="N82" s="28">
        <f t="shared" si="10"/>
        <v>112.5</v>
      </c>
      <c r="O82" s="26">
        <f>ต.ค!O82+พย!O82+ธค!O82+มค!O82+กพ!O82+มีค!O82</f>
        <v>0</v>
      </c>
      <c r="P82" s="26">
        <f>ต.ค!P82+พย!P82+ธค!P82+มค!P82+กพ!P82+มีค!P82</f>
        <v>0</v>
      </c>
      <c r="Q82" s="26">
        <f>ต.ค!Q82+พย!Q82+ธค!Q82+มค!Q82+กพ!Q82+มีค!Q82</f>
        <v>8</v>
      </c>
      <c r="R82" s="26">
        <f>ต.ค!R82+พย!R82+ธค!R82+มค!R82+กพ!R82+มีค!R82</f>
        <v>3</v>
      </c>
      <c r="S82" s="26">
        <f>ต.ค!S82+พย!S82+ธค!S82+มค!S82+กพ!S82+มีค!S82</f>
        <v>11</v>
      </c>
      <c r="T82" s="37">
        <f>SUM(O82:S82)</f>
        <v>22</v>
      </c>
      <c r="U82" s="28">
        <f t="shared" si="11"/>
        <v>157.53968253968256</v>
      </c>
      <c r="V82" s="59">
        <f t="shared" si="7"/>
        <v>0</v>
      </c>
    </row>
    <row r="83" spans="1:22" ht="24.75" customHeight="1">
      <c r="A83" s="87"/>
      <c r="B83" s="7" t="s">
        <v>13</v>
      </c>
      <c r="C83" s="26">
        <f>ต.ค!C83+พย!C83+ธค!C83+มค!C83+กพ!C83+มีค!C83</f>
        <v>9</v>
      </c>
      <c r="D83" s="26">
        <f>ต.ค!D83+พย!D83+ธค!D83+มค!D83+กพ!D83+มีค!D83</f>
        <v>12</v>
      </c>
      <c r="E83" s="4">
        <f t="shared" si="8"/>
        <v>6.5892857142857144</v>
      </c>
      <c r="F83" s="26">
        <f>ต.ค!F83+พย!F83+ธค!F83+มค!F83+กพ!F83+มีค!F83</f>
        <v>6</v>
      </c>
      <c r="G83" s="26">
        <f>ต.ค!G83+พย!G83+ธค!G83+มค!G83+กพ!G83+มีค!G83</f>
        <v>0</v>
      </c>
      <c r="H83" s="26">
        <f>ต.ค!H83+พย!H83+ธค!H83+มค!H83+กพ!H83+มีค!H83</f>
        <v>1</v>
      </c>
      <c r="I83" s="26">
        <f>ต.ค!I83+พย!I83+ธค!I83+มค!I83+กพ!I83+มีค!I83</f>
        <v>2</v>
      </c>
      <c r="J83" s="26">
        <f>ต.ค!J83+พย!J83+ธค!J83+มค!J83+กพ!J83+มีค!J83</f>
        <v>0</v>
      </c>
      <c r="K83" s="26">
        <f>ต.ค!K83+พย!K83+ธค!K83+มค!K83+กพ!K83+มีค!K83</f>
        <v>0</v>
      </c>
      <c r="L83" s="26">
        <f>ต.ค!L83+พย!L83+ธค!L83+มค!L83+กพ!L83+มีค!L83</f>
        <v>0</v>
      </c>
      <c r="M83" s="5">
        <f t="shared" si="9"/>
        <v>0.41071428571428559</v>
      </c>
      <c r="N83" s="28">
        <f t="shared" si="10"/>
        <v>73.214285714285708</v>
      </c>
      <c r="O83" s="26">
        <f>ต.ค!O83+พย!O83+ธค!O83+มค!O83+กพ!O83+มีค!O83</f>
        <v>0</v>
      </c>
      <c r="P83" s="26">
        <f>ต.ค!P83+พย!P83+ธค!P83+มค!P83+กพ!P83+มีค!P83</f>
        <v>1</v>
      </c>
      <c r="Q83" s="26">
        <f>ต.ค!Q83+พย!Q83+ธค!Q83+มค!Q83+กพ!Q83+มีค!Q83</f>
        <v>8</v>
      </c>
      <c r="R83" s="26">
        <f>ต.ค!R83+พย!R83+ธค!R83+มค!R83+กพ!R83+มีค!R83</f>
        <v>1</v>
      </c>
      <c r="S83" s="26">
        <f>ต.ค!S83+พย!S83+ธค!S83+มค!S83+กพ!S83+มีค!S83</f>
        <v>11</v>
      </c>
      <c r="T83" s="37">
        <f t="shared" ref="T83:T106" si="12">SUM(O83:S83)</f>
        <v>21</v>
      </c>
      <c r="U83" s="28">
        <f t="shared" si="11"/>
        <v>98.941798941798936</v>
      </c>
      <c r="V83" s="59">
        <f t="shared" si="7"/>
        <v>0</v>
      </c>
    </row>
    <row r="84" spans="1:22" ht="24.75" customHeight="1">
      <c r="A84" s="87"/>
      <c r="B84" s="7" t="s">
        <v>14</v>
      </c>
      <c r="C84" s="26">
        <f>ต.ค!C84+พย!C84+ธค!C84+มค!C84+กพ!C84+มีค!C84</f>
        <v>10</v>
      </c>
      <c r="D84" s="26">
        <f>ต.ค!D84+พย!D84+ธค!D84+มค!D84+กพ!D84+มีค!D84</f>
        <v>12</v>
      </c>
      <c r="E84" s="4">
        <f t="shared" si="8"/>
        <v>6.75</v>
      </c>
      <c r="F84" s="26">
        <f>ต.ค!F84+พย!F84+ธค!F84+มค!F84+กพ!F84+มีค!F84</f>
        <v>6</v>
      </c>
      <c r="G84" s="26">
        <f>ต.ค!G84+พย!G84+ธค!G84+มค!G84+กพ!G84+มีค!G84</f>
        <v>0</v>
      </c>
      <c r="H84" s="26">
        <f>ต.ค!H84+พย!H84+ธค!H84+มค!H84+กพ!H84+มีค!H84</f>
        <v>1</v>
      </c>
      <c r="I84" s="26">
        <f>ต.ค!I84+พย!I84+ธค!I84+มค!I84+กพ!I84+มีค!I84</f>
        <v>0</v>
      </c>
      <c r="J84" s="26">
        <f>ต.ค!J84+พย!J84+ธค!J84+มค!J84+กพ!J84+มีค!J84</f>
        <v>0</v>
      </c>
      <c r="K84" s="26">
        <f>ต.ค!K84+พย!K84+ธค!K84+มค!K84+กพ!K84+มีค!K84</f>
        <v>0</v>
      </c>
      <c r="L84" s="26">
        <f>ต.ค!L84+พย!L84+ธค!L84+มค!L84+กพ!L84+มีค!L84</f>
        <v>0</v>
      </c>
      <c r="M84" s="5">
        <f t="shared" si="9"/>
        <v>0.25</v>
      </c>
      <c r="N84" s="28">
        <f t="shared" si="10"/>
        <v>96.428571428571431</v>
      </c>
      <c r="O84" s="26">
        <f>ต.ค!O84+พย!O84+ธค!O84+มค!O84+กพ!O84+มีค!O84</f>
        <v>0</v>
      </c>
      <c r="P84" s="26">
        <f>ต.ค!P84+พย!P84+ธค!P84+มค!P84+กพ!P84+มีค!P84</f>
        <v>0</v>
      </c>
      <c r="Q84" s="26">
        <f>ต.ค!Q84+พย!Q84+ธค!Q84+มค!Q84+กพ!Q84+มีค!Q84</f>
        <v>10</v>
      </c>
      <c r="R84" s="26">
        <f>ต.ค!R84+พย!R84+ธค!R84+มค!R84+กพ!R84+มีค!R84</f>
        <v>2</v>
      </c>
      <c r="S84" s="26">
        <f>ต.ค!S84+พย!S84+ธค!S84+มค!S84+กพ!S84+มีค!S84</f>
        <v>10</v>
      </c>
      <c r="T84" s="37">
        <f t="shared" si="12"/>
        <v>22</v>
      </c>
      <c r="U84" s="28">
        <f t="shared" si="11"/>
        <v>129.25170068027211</v>
      </c>
      <c r="V84" s="59">
        <f t="shared" si="7"/>
        <v>0</v>
      </c>
    </row>
    <row r="85" spans="1:22" ht="24.75" customHeight="1">
      <c r="A85" s="87">
        <v>26</v>
      </c>
      <c r="B85" s="7" t="s">
        <v>12</v>
      </c>
      <c r="C85" s="26">
        <f>ต.ค!C85+พย!C85+ธค!C85+มค!C85+กพ!C85+มีค!C85</f>
        <v>7</v>
      </c>
      <c r="D85" s="26">
        <f>ต.ค!D85+พย!D85+ธค!D85+มค!D85+กพ!D85+มีค!D85</f>
        <v>13</v>
      </c>
      <c r="E85" s="4">
        <f t="shared" si="8"/>
        <v>6.6964285714285712</v>
      </c>
      <c r="F85" s="26">
        <f>ต.ค!F85+พย!F85+ธค!F85+มค!F85+กพ!F85+มีค!F85</f>
        <v>6</v>
      </c>
      <c r="G85" s="26">
        <f>ต.ค!G85+พย!G85+ธค!G85+มค!G85+กพ!G85+มีค!G85</f>
        <v>0</v>
      </c>
      <c r="H85" s="26">
        <f>ต.ค!H85+พย!H85+ธค!H85+มค!H85+กพ!H85+มีค!H85</f>
        <v>0</v>
      </c>
      <c r="I85" s="26">
        <f>ต.ค!I85+พย!I85+ธค!I85+มค!I85+กพ!I85+มีค!I85</f>
        <v>0</v>
      </c>
      <c r="J85" s="26">
        <f>ต.ค!J85+พย!J85+ธค!J85+มค!J85+กพ!J85+มีค!J85</f>
        <v>0</v>
      </c>
      <c r="K85" s="26">
        <f>ต.ค!K85+พย!K85+ธค!K85+มค!K85+กพ!K85+มีค!K85</f>
        <v>0</v>
      </c>
      <c r="L85" s="26">
        <f>ต.ค!L85+พย!L85+ธค!L85+มค!L85+กพ!L85+มีค!L85</f>
        <v>0</v>
      </c>
      <c r="M85" s="5">
        <f t="shared" si="9"/>
        <v>-0.69642857142857117</v>
      </c>
      <c r="N85" s="28">
        <f t="shared" si="10"/>
        <v>111.60714285714286</v>
      </c>
      <c r="O85" s="26">
        <f>ต.ค!O85+พย!O85+ธค!O85+มค!O85+กพ!O85+มีค!O85</f>
        <v>0</v>
      </c>
      <c r="P85" s="26">
        <f>ต.ค!P85+พย!P85+ธค!P85+มค!P85+กพ!P85+มีค!P85</f>
        <v>0</v>
      </c>
      <c r="Q85" s="26">
        <f>ต.ค!Q85+พย!Q85+ธค!Q85+มค!Q85+กพ!Q85+มีค!Q85</f>
        <v>6</v>
      </c>
      <c r="R85" s="26">
        <f>ต.ค!R85+พย!R85+ธค!R85+มค!R85+กพ!R85+มีค!R85</f>
        <v>3</v>
      </c>
      <c r="S85" s="26">
        <f>ต.ค!S85+พย!S85+ธค!S85+มค!S85+กพ!S85+มีค!S85</f>
        <v>11</v>
      </c>
      <c r="T85" s="37">
        <f t="shared" si="12"/>
        <v>20</v>
      </c>
      <c r="U85" s="28">
        <f t="shared" si="11"/>
        <v>148.80952380952382</v>
      </c>
      <c r="V85" s="59">
        <f t="shared" si="7"/>
        <v>0</v>
      </c>
    </row>
    <row r="86" spans="1:22" ht="24.75" customHeight="1">
      <c r="A86" s="87"/>
      <c r="B86" s="7" t="s">
        <v>13</v>
      </c>
      <c r="C86" s="26">
        <f>ต.ค!C86+พย!C86+ธค!C86+มค!C86+กพ!C86+มีค!C86</f>
        <v>12</v>
      </c>
      <c r="D86" s="26">
        <f>ต.ค!D86+พย!D86+ธค!D86+มค!D86+กพ!D86+มีค!D86</f>
        <v>13</v>
      </c>
      <c r="E86" s="4">
        <f t="shared" si="8"/>
        <v>7.5</v>
      </c>
      <c r="F86" s="26">
        <f>ต.ค!F86+พย!F86+ธค!F86+มค!F86+กพ!F86+มีค!F86</f>
        <v>8</v>
      </c>
      <c r="G86" s="26">
        <f>ต.ค!G86+พย!G86+ธค!G86+มค!G86+กพ!G86+มีค!G86</f>
        <v>0</v>
      </c>
      <c r="H86" s="26">
        <f>ต.ค!H86+พย!H86+ธค!H86+มค!H86+กพ!H86+มีค!H86</f>
        <v>2</v>
      </c>
      <c r="I86" s="26">
        <f>ต.ค!I86+พย!I86+ธค!I86+มค!I86+กพ!I86+มีค!I86</f>
        <v>0</v>
      </c>
      <c r="J86" s="26">
        <f>ต.ค!J86+พย!J86+ธค!J86+มค!J86+กพ!J86+มีค!J86</f>
        <v>0</v>
      </c>
      <c r="K86" s="26">
        <f>ต.ค!K86+พย!K86+ธค!K86+มค!K86+กพ!K86+มีค!K86</f>
        <v>0</v>
      </c>
      <c r="L86" s="26">
        <f>ต.ค!L86+พย!L86+ธค!L86+มค!L86+กพ!L86+มีค!L86</f>
        <v>0</v>
      </c>
      <c r="M86" s="5">
        <f t="shared" si="9"/>
        <v>2.5</v>
      </c>
      <c r="N86" s="28">
        <f t="shared" si="10"/>
        <v>75</v>
      </c>
      <c r="O86" s="26">
        <f>ต.ค!O86+พย!O86+ธค!O86+มค!O86+กพ!O86+มีค!O86</f>
        <v>0</v>
      </c>
      <c r="P86" s="26">
        <f>ต.ค!P86+พย!P86+ธค!P86+มค!P86+กพ!P86+มีค!P86</f>
        <v>3</v>
      </c>
      <c r="Q86" s="26">
        <f>ต.ค!Q86+พย!Q86+ธค!Q86+มค!Q86+กพ!Q86+มีค!Q86</f>
        <v>10</v>
      </c>
      <c r="R86" s="26">
        <f>ต.ค!R86+พย!R86+ธค!R86+มค!R86+กพ!R86+มีค!R86</f>
        <v>1</v>
      </c>
      <c r="S86" s="26">
        <f>ต.ค!S86+พย!S86+ธค!S86+มค!S86+กพ!S86+มีค!S86</f>
        <v>11</v>
      </c>
      <c r="T86" s="37">
        <f t="shared" si="12"/>
        <v>25</v>
      </c>
      <c r="U86" s="28">
        <f t="shared" si="11"/>
        <v>97.61904761904762</v>
      </c>
      <c r="V86" s="59">
        <f t="shared" si="7"/>
        <v>0</v>
      </c>
    </row>
    <row r="87" spans="1:22" ht="24.75" customHeight="1">
      <c r="A87" s="87"/>
      <c r="B87" s="7" t="s">
        <v>14</v>
      </c>
      <c r="C87" s="26">
        <f>ต.ค!C87+พย!C87+ธค!C87+มค!C87+กพ!C87+มีค!C87</f>
        <v>9</v>
      </c>
      <c r="D87" s="26">
        <f>ต.ค!D87+พย!D87+ธค!D87+มค!D87+กพ!D87+มีค!D87</f>
        <v>12</v>
      </c>
      <c r="E87" s="4">
        <f t="shared" si="8"/>
        <v>6.5892857142857144</v>
      </c>
      <c r="F87" s="26">
        <f>ต.ค!F87+พย!F87+ธค!F87+มค!F87+กพ!F87+มีค!F87</f>
        <v>6</v>
      </c>
      <c r="G87" s="26">
        <f>ต.ค!G87+พย!G87+ธค!G87+มค!G87+กพ!G87+มีค!G87</f>
        <v>0</v>
      </c>
      <c r="H87" s="26">
        <f>ต.ค!H87+พย!H87+ธค!H87+มค!H87+กพ!H87+มีค!H87</f>
        <v>1</v>
      </c>
      <c r="I87" s="26">
        <f>ต.ค!I87+พย!I87+ธค!I87+มค!I87+กพ!I87+มีค!I87</f>
        <v>0</v>
      </c>
      <c r="J87" s="26">
        <f>ต.ค!J87+พย!J87+ธค!J87+มค!J87+กพ!J87+มีค!J87</f>
        <v>0</v>
      </c>
      <c r="K87" s="26">
        <f>ต.ค!K87+พย!K87+ธค!K87+มค!K87+กพ!K87+มีค!K87</f>
        <v>0</v>
      </c>
      <c r="L87" s="26">
        <f>ต.ค!L87+พย!L87+ธค!L87+มค!L87+กพ!L87+มีค!L87</f>
        <v>0</v>
      </c>
      <c r="M87" s="5">
        <f t="shared" si="9"/>
        <v>0.41071428571428559</v>
      </c>
      <c r="N87" s="28">
        <f t="shared" si="10"/>
        <v>94.132653061224488</v>
      </c>
      <c r="O87" s="26">
        <f>ต.ค!O87+พย!O87+ธค!O87+มค!O87+กพ!O87+มีค!O87</f>
        <v>0</v>
      </c>
      <c r="P87" s="26">
        <f>ต.ค!P87+พย!P87+ธค!P87+มค!P87+กพ!P87+มีค!P87</f>
        <v>0</v>
      </c>
      <c r="Q87" s="26">
        <f>ต.ค!Q87+พย!Q87+ธค!Q87+มค!Q87+กพ!Q87+มีค!Q87</f>
        <v>11</v>
      </c>
      <c r="R87" s="26">
        <f>ต.ค!R87+พย!R87+ธค!R87+มค!R87+กพ!R87+มีค!R87</f>
        <v>3</v>
      </c>
      <c r="S87" s="26">
        <f>ต.ค!S87+พย!S87+ธค!S87+มค!S87+กพ!S87+มีค!S87</f>
        <v>7</v>
      </c>
      <c r="T87" s="37">
        <f t="shared" si="12"/>
        <v>21</v>
      </c>
      <c r="U87" s="28">
        <f t="shared" si="11"/>
        <v>113.60544217687074</v>
      </c>
      <c r="V87" s="59">
        <f t="shared" si="7"/>
        <v>0</v>
      </c>
    </row>
    <row r="88" spans="1:22" ht="24.75" customHeight="1">
      <c r="A88" s="87">
        <v>27</v>
      </c>
      <c r="B88" s="7" t="s">
        <v>12</v>
      </c>
      <c r="C88" s="26">
        <f>ต.ค!C88+พย!C88+ธค!C88+มค!C88+กพ!C88+มีค!C88</f>
        <v>10</v>
      </c>
      <c r="D88" s="26">
        <f>ต.ค!D88+พย!D88+ธค!D88+มค!D88+กพ!D88+มีค!D88</f>
        <v>12</v>
      </c>
      <c r="E88" s="4">
        <f t="shared" si="8"/>
        <v>6.75</v>
      </c>
      <c r="F88" s="26">
        <f>ต.ค!F88+พย!F88+ธค!F88+มค!F88+กพ!F88+มีค!F88</f>
        <v>6</v>
      </c>
      <c r="G88" s="26">
        <f>ต.ค!G88+พย!G88+ธค!G88+มค!G88+กพ!G88+มีค!G88</f>
        <v>0</v>
      </c>
      <c r="H88" s="26">
        <f>ต.ค!H88+พย!H88+ธค!H88+มค!H88+กพ!H88+มีค!H88</f>
        <v>0</v>
      </c>
      <c r="I88" s="26">
        <f>ต.ค!I88+พย!I88+ธค!I88+มค!I88+กพ!I88+มีค!I88</f>
        <v>0</v>
      </c>
      <c r="J88" s="26">
        <f>ต.ค!J88+พย!J88+ธค!J88+มค!J88+กพ!J88+มีค!J88</f>
        <v>0</v>
      </c>
      <c r="K88" s="26">
        <f>ต.ค!K88+พย!K88+ธค!K88+มค!K88+กพ!K88+มีค!K88</f>
        <v>0</v>
      </c>
      <c r="L88" s="26">
        <f>ต.ค!L88+พย!L88+ธค!L88+มค!L88+กพ!L88+มีค!L88</f>
        <v>0</v>
      </c>
      <c r="M88" s="5">
        <f t="shared" si="9"/>
        <v>-0.75</v>
      </c>
      <c r="N88" s="28">
        <f t="shared" si="10"/>
        <v>112.5</v>
      </c>
      <c r="O88" s="26">
        <f>ต.ค!O88+พย!O88+ธค!O88+มค!O88+กพ!O88+มีค!O88</f>
        <v>0</v>
      </c>
      <c r="P88" s="26">
        <f>ต.ค!P88+พย!P88+ธค!P88+มค!P88+กพ!P88+มีค!P88</f>
        <v>0</v>
      </c>
      <c r="Q88" s="26">
        <f>ต.ค!Q88+พย!Q88+ธค!Q88+มค!Q88+กพ!Q88+มีค!Q88</f>
        <v>12</v>
      </c>
      <c r="R88" s="26">
        <f>ต.ค!R88+พย!R88+ธค!R88+มค!R88+กพ!R88+มีค!R88</f>
        <v>2</v>
      </c>
      <c r="S88" s="26">
        <f>ต.ค!S88+พย!S88+ธค!S88+มค!S88+กพ!S88+มีค!S88</f>
        <v>8</v>
      </c>
      <c r="T88" s="37">
        <f t="shared" si="12"/>
        <v>22</v>
      </c>
      <c r="U88" s="28">
        <f t="shared" si="11"/>
        <v>140.47619047619045</v>
      </c>
      <c r="V88" s="59">
        <f t="shared" si="7"/>
        <v>0</v>
      </c>
    </row>
    <row r="89" spans="1:22" ht="24.75" customHeight="1">
      <c r="A89" s="87"/>
      <c r="B89" s="7" t="s">
        <v>13</v>
      </c>
      <c r="C89" s="26">
        <f>ต.ค!C89+พย!C89+ธค!C89+มค!C89+กพ!C89+มีค!C89</f>
        <v>11</v>
      </c>
      <c r="D89" s="26">
        <f>ต.ค!D89+พย!D89+ธค!D89+มค!D89+กพ!D89+มีค!D89</f>
        <v>10</v>
      </c>
      <c r="E89" s="4">
        <f t="shared" si="8"/>
        <v>6.0535714285714288</v>
      </c>
      <c r="F89" s="26">
        <f>ต.ค!F89+พย!F89+ธค!F89+มค!F89+กพ!F89+มีค!F89</f>
        <v>7</v>
      </c>
      <c r="G89" s="26">
        <f>ต.ค!G89+พย!G89+ธค!G89+มค!G89+กพ!G89+มีค!G89</f>
        <v>0</v>
      </c>
      <c r="H89" s="26">
        <f>ต.ค!H89+พย!H89+ธค!H89+มค!H89+กพ!H89+มีค!H89</f>
        <v>2</v>
      </c>
      <c r="I89" s="26">
        <f>ต.ค!I89+พย!I89+ธค!I89+มค!I89+กพ!I89+มีค!I89</f>
        <v>0</v>
      </c>
      <c r="J89" s="26">
        <f>ต.ค!J89+พย!J89+ธค!J89+มค!J89+กพ!J89+มีค!J89</f>
        <v>0</v>
      </c>
      <c r="K89" s="26">
        <f>ต.ค!K89+พย!K89+ธค!K89+มค!K89+กพ!K89+มีค!K89</f>
        <v>0</v>
      </c>
      <c r="L89" s="26">
        <f>ต.ค!L89+พย!L89+ธค!L89+มค!L89+กพ!L89+มีค!L89</f>
        <v>0</v>
      </c>
      <c r="M89" s="5">
        <f t="shared" si="9"/>
        <v>2.9464285714285712</v>
      </c>
      <c r="N89" s="28">
        <f t="shared" si="10"/>
        <v>67.261904761904773</v>
      </c>
      <c r="O89" s="26">
        <f>ต.ค!O89+พย!O89+ธค!O89+มค!O89+กพ!O89+มีค!O89</f>
        <v>0</v>
      </c>
      <c r="P89" s="26">
        <f>ต.ค!P89+พย!P89+ธค!P89+มค!P89+กพ!P89+มีค!P89</f>
        <v>1</v>
      </c>
      <c r="Q89" s="26">
        <f>ต.ค!Q89+พย!Q89+ธค!Q89+มค!Q89+กพ!Q89+มีค!Q89</f>
        <v>10</v>
      </c>
      <c r="R89" s="26">
        <f>ต.ค!R89+พย!R89+ธค!R89+มค!R89+กพ!R89+มีค!R89</f>
        <v>2</v>
      </c>
      <c r="S89" s="26">
        <f>ต.ค!S89+พย!S89+ธค!S89+มค!S89+กพ!S89+มีค!S89</f>
        <v>8</v>
      </c>
      <c r="T89" s="37">
        <f t="shared" si="12"/>
        <v>21</v>
      </c>
      <c r="U89" s="28">
        <f t="shared" si="11"/>
        <v>89.682539682539684</v>
      </c>
      <c r="V89" s="59">
        <f t="shared" si="7"/>
        <v>0</v>
      </c>
    </row>
    <row r="90" spans="1:22" ht="24.75" customHeight="1">
      <c r="A90" s="87"/>
      <c r="B90" s="7" t="s">
        <v>14</v>
      </c>
      <c r="C90" s="26">
        <f>ต.ค!C90+พย!C90+ธค!C90+มค!C90+กพ!C90+มีค!C90</f>
        <v>14</v>
      </c>
      <c r="D90" s="26">
        <f>ต.ค!D90+พย!D90+ธค!D90+มค!D90+กพ!D90+มีค!D90</f>
        <v>11</v>
      </c>
      <c r="E90" s="4">
        <f t="shared" si="8"/>
        <v>6.9642857142857144</v>
      </c>
      <c r="F90" s="26">
        <f>ต.ค!F90+พย!F90+ธค!F90+มค!F90+กพ!F90+มีค!F90</f>
        <v>7</v>
      </c>
      <c r="G90" s="26">
        <f>ต.ค!G90+พย!G90+ธค!G90+มค!G90+กพ!G90+มีค!G90</f>
        <v>0</v>
      </c>
      <c r="H90" s="26">
        <f>ต.ค!H90+พย!H90+ธค!H90+มค!H90+กพ!H90+มีค!H90</f>
        <v>1</v>
      </c>
      <c r="I90" s="26">
        <f>ต.ค!I90+พย!I90+ธค!I90+มค!I90+กพ!I90+มีค!I90</f>
        <v>0</v>
      </c>
      <c r="J90" s="26">
        <f>ต.ค!J90+พย!J90+ธค!J90+มค!J90+กพ!J90+มีค!J90</f>
        <v>0</v>
      </c>
      <c r="K90" s="26">
        <f>ต.ค!K90+พย!K90+ธค!K90+มค!K90+กพ!K90+มีค!K90</f>
        <v>0</v>
      </c>
      <c r="L90" s="26">
        <f>ต.ค!L90+พย!L90+ธค!L90+มค!L90+กพ!L90+มีค!L90</f>
        <v>0</v>
      </c>
      <c r="M90" s="5">
        <f t="shared" si="9"/>
        <v>1.0357142857142856</v>
      </c>
      <c r="N90" s="28">
        <f t="shared" si="10"/>
        <v>87.053571428571431</v>
      </c>
      <c r="O90" s="26">
        <f>ต.ค!O90+พย!O90+ธค!O90+มค!O90+กพ!O90+มีค!O90</f>
        <v>0</v>
      </c>
      <c r="P90" s="26">
        <f>ต.ค!P90+พย!P90+ธค!P90+มค!P90+กพ!P90+มีค!P90</f>
        <v>0</v>
      </c>
      <c r="Q90" s="26">
        <f>ต.ค!Q90+พย!Q90+ธค!Q90+มค!Q90+กพ!Q90+มีค!Q90</f>
        <v>16</v>
      </c>
      <c r="R90" s="26">
        <f>ต.ค!R90+พย!R90+ธค!R90+มค!R90+กพ!R90+มีค!R90</f>
        <v>2</v>
      </c>
      <c r="S90" s="26">
        <f>ต.ค!S90+พย!S90+ธค!S90+มค!S90+กพ!S90+มีค!S90</f>
        <v>7</v>
      </c>
      <c r="T90" s="37">
        <f t="shared" si="12"/>
        <v>25</v>
      </c>
      <c r="U90" s="28">
        <f t="shared" si="11"/>
        <v>111.30952380952381</v>
      </c>
      <c r="V90" s="59">
        <f t="shared" si="7"/>
        <v>0</v>
      </c>
    </row>
    <row r="91" spans="1:22" ht="24.75" customHeight="1">
      <c r="A91" s="87">
        <v>28</v>
      </c>
      <c r="B91" s="7" t="s">
        <v>12</v>
      </c>
      <c r="C91" s="26">
        <f>ต.ค!C91+พย!C91+ธค!C91+มค!C91+กพ!C91+มีค!C91</f>
        <v>14</v>
      </c>
      <c r="D91" s="26">
        <f>ต.ค!D91+พย!D91+ธค!D91+มค!D91+กพ!D91+มีค!D91</f>
        <v>12</v>
      </c>
      <c r="E91" s="4">
        <f t="shared" si="8"/>
        <v>7.3928571428571432</v>
      </c>
      <c r="F91" s="26">
        <f>ต.ค!F91+พย!F91+ธค!F91+มค!F91+กพ!F91+มีค!F91</f>
        <v>6</v>
      </c>
      <c r="G91" s="26">
        <f>ต.ค!G91+พย!G91+ธค!G91+มค!G91+กพ!G91+มีค!G91</f>
        <v>0</v>
      </c>
      <c r="H91" s="26">
        <f>ต.ค!H91+พย!H91+ธค!H91+มค!H91+กพ!H91+มีค!H91</f>
        <v>0</v>
      </c>
      <c r="I91" s="26">
        <f>ต.ค!I91+พย!I91+ธค!I91+มค!I91+กพ!I91+มีค!I91</f>
        <v>0</v>
      </c>
      <c r="J91" s="26">
        <f>ต.ค!J91+พย!J91+ธค!J91+มค!J91+กพ!J91+มีค!J91</f>
        <v>0</v>
      </c>
      <c r="K91" s="26">
        <f>ต.ค!K91+พย!K91+ธค!K91+มค!K91+กพ!K91+มีค!K91</f>
        <v>0</v>
      </c>
      <c r="L91" s="26">
        <f>ต.ค!L91+พย!L91+ธค!L91+มค!L91+กพ!L91+มีค!L91</f>
        <v>0</v>
      </c>
      <c r="M91" s="5">
        <f t="shared" si="9"/>
        <v>-1.3928571428571432</v>
      </c>
      <c r="N91" s="28">
        <f t="shared" si="10"/>
        <v>123.21428571428572</v>
      </c>
      <c r="O91" s="26">
        <f>ต.ค!O91+พย!O91+ธค!O91+มค!O91+กพ!O91+มีค!O91</f>
        <v>0</v>
      </c>
      <c r="P91" s="26">
        <f>ต.ค!P91+พย!P91+ธค!P91+มค!P91+กพ!P91+มีค!P91</f>
        <v>0</v>
      </c>
      <c r="Q91" s="26">
        <f>ต.ค!Q91+พย!Q91+ธค!Q91+มค!Q91+กพ!Q91+มีค!Q91</f>
        <v>16</v>
      </c>
      <c r="R91" s="26">
        <f>ต.ค!R91+พย!R91+ธค!R91+มค!R91+กพ!R91+มีค!R91</f>
        <v>2</v>
      </c>
      <c r="S91" s="26">
        <f>ต.ค!S91+พย!S91+ธค!S91+มค!S91+กพ!S91+มีค!S91</f>
        <v>8</v>
      </c>
      <c r="T91" s="37">
        <f t="shared" si="12"/>
        <v>26</v>
      </c>
      <c r="U91" s="28">
        <f t="shared" si="11"/>
        <v>157.93650793650792</v>
      </c>
      <c r="V91" s="59">
        <f t="shared" si="7"/>
        <v>0</v>
      </c>
    </row>
    <row r="92" spans="1:22" ht="24.75" customHeight="1">
      <c r="A92" s="87"/>
      <c r="B92" s="7" t="s">
        <v>13</v>
      </c>
      <c r="C92" s="26">
        <f>ต.ค!C92+พย!C92+ธค!C92+มค!C92+กพ!C92+มีค!C92</f>
        <v>16</v>
      </c>
      <c r="D92" s="26">
        <f>ต.ค!D92+พย!D92+ธค!D92+มค!D92+กพ!D92+มีค!D92</f>
        <v>11</v>
      </c>
      <c r="E92" s="4">
        <f t="shared" si="8"/>
        <v>7.2857142857142856</v>
      </c>
      <c r="F92" s="26">
        <f>ต.ค!F92+พย!F92+ธค!F92+มค!F92+กพ!F92+มีค!F92</f>
        <v>4</v>
      </c>
      <c r="G92" s="26">
        <f>ต.ค!G92+พย!G92+ธค!G92+มค!G92+กพ!G92+มีค!G92</f>
        <v>0</v>
      </c>
      <c r="H92" s="26">
        <f>ต.ค!H92+พย!H92+ธค!H92+มค!H92+กพ!H92+มีค!H92</f>
        <v>2</v>
      </c>
      <c r="I92" s="26">
        <f>ต.ค!I92+พย!I92+ธค!I92+มค!I92+กพ!I92+มีค!I92</f>
        <v>2</v>
      </c>
      <c r="J92" s="26">
        <f>ต.ค!J92+พย!J92+ธค!J92+มค!J92+กพ!J92+มีค!J92</f>
        <v>0</v>
      </c>
      <c r="K92" s="26">
        <f>ต.ค!K92+พย!K92+ธค!K92+มค!K92+กพ!K92+มีค!K92</f>
        <v>0</v>
      </c>
      <c r="L92" s="26">
        <f>ต.ค!L92+พย!L92+ธค!L92+มค!L92+กพ!L92+มีค!L92</f>
        <v>0</v>
      </c>
      <c r="M92" s="5">
        <f t="shared" si="9"/>
        <v>-1.2857142857142856</v>
      </c>
      <c r="N92" s="28">
        <f t="shared" si="10"/>
        <v>91.071428571428569</v>
      </c>
      <c r="O92" s="26">
        <f>ต.ค!O92+พย!O92+ธค!O92+มค!O92+กพ!O92+มีค!O92</f>
        <v>0</v>
      </c>
      <c r="P92" s="26">
        <f>ต.ค!P92+พย!P92+ธค!P92+มค!P92+กพ!P92+มีค!P92</f>
        <v>1</v>
      </c>
      <c r="Q92" s="26">
        <f>ต.ค!Q92+พย!Q92+ธค!Q92+มค!Q92+กพ!Q92+มีค!Q92</f>
        <v>18</v>
      </c>
      <c r="R92" s="26">
        <f>ต.ค!R92+พย!R92+ธค!R92+มค!R92+กพ!R92+มีค!R92</f>
        <v>1</v>
      </c>
      <c r="S92" s="26">
        <f>ต.ค!S92+พย!S92+ธค!S92+มค!S92+กพ!S92+มีค!S92</f>
        <v>8</v>
      </c>
      <c r="T92" s="37">
        <f t="shared" si="12"/>
        <v>28</v>
      </c>
      <c r="U92" s="28">
        <f t="shared" si="11"/>
        <v>122.61904761904762</v>
      </c>
      <c r="V92" s="59">
        <f t="shared" si="7"/>
        <v>-1</v>
      </c>
    </row>
    <row r="93" spans="1:22" ht="24.75" customHeight="1">
      <c r="A93" s="87"/>
      <c r="B93" s="7" t="s">
        <v>14</v>
      </c>
      <c r="C93" s="26">
        <f>ต.ค!C93+พย!C93+ธค!C93+มค!C93+กพ!C93+มีค!C93</f>
        <v>16</v>
      </c>
      <c r="D93" s="26">
        <f>ต.ค!D93+พย!D93+ธค!D93+มค!D93+กพ!D93+มีค!D93</f>
        <v>11</v>
      </c>
      <c r="E93" s="4">
        <f t="shared" si="8"/>
        <v>7.2857142857142856</v>
      </c>
      <c r="F93" s="26">
        <f>ต.ค!F93+พย!F93+ธค!F93+มค!F93+กพ!F93+มีค!F93</f>
        <v>6</v>
      </c>
      <c r="G93" s="26">
        <f>ต.ค!G93+พย!G93+ธค!G93+มค!G93+กพ!G93+มีค!G93</f>
        <v>0</v>
      </c>
      <c r="H93" s="26">
        <f>ต.ค!H93+พย!H93+ธค!H93+มค!H93+กพ!H93+มีค!H93</f>
        <v>0</v>
      </c>
      <c r="I93" s="26">
        <f>ต.ค!I93+พย!I93+ธค!I93+มค!I93+กพ!I93+มีค!I93</f>
        <v>0</v>
      </c>
      <c r="J93" s="26">
        <f>ต.ค!J93+พย!J93+ธค!J93+มค!J93+กพ!J93+มีค!J93</f>
        <v>0</v>
      </c>
      <c r="K93" s="26">
        <f>ต.ค!K93+พย!K93+ธค!K93+มค!K93+กพ!K93+มีค!K93</f>
        <v>0</v>
      </c>
      <c r="L93" s="26">
        <f>ต.ค!L93+พย!L93+ธค!L93+มค!L93+กพ!L93+มีค!L93</f>
        <v>0</v>
      </c>
      <c r="M93" s="5">
        <f t="shared" si="9"/>
        <v>-1.2857142857142856</v>
      </c>
      <c r="N93" s="28">
        <f t="shared" si="10"/>
        <v>121.42857142857142</v>
      </c>
      <c r="O93" s="26">
        <f>ต.ค!O93+พย!O93+ธค!O93+มค!O93+กพ!O93+มีค!O93</f>
        <v>0</v>
      </c>
      <c r="P93" s="26">
        <f>ต.ค!P93+พย!P93+ธค!P93+มค!P93+กพ!P93+มีค!P93</f>
        <v>0</v>
      </c>
      <c r="Q93" s="26">
        <f>ต.ค!Q93+พย!Q93+ธค!Q93+มค!Q93+กพ!Q93+มีค!Q93</f>
        <v>18</v>
      </c>
      <c r="R93" s="26">
        <f>ต.ค!R93+พย!R93+ธค!R93+มค!R93+กพ!R93+มีค!R93</f>
        <v>1</v>
      </c>
      <c r="S93" s="26">
        <f>ต.ค!S93+พย!S93+ธค!S93+มค!S93+กพ!S93+มีค!S93</f>
        <v>8</v>
      </c>
      <c r="T93" s="37">
        <f t="shared" si="12"/>
        <v>27</v>
      </c>
      <c r="U93" s="28">
        <f t="shared" si="11"/>
        <v>160.71428571428572</v>
      </c>
      <c r="V93" s="59">
        <f t="shared" si="7"/>
        <v>0</v>
      </c>
    </row>
    <row r="94" spans="1:22" ht="24.75" customHeight="1">
      <c r="A94" s="87">
        <v>29</v>
      </c>
      <c r="B94" s="7" t="s">
        <v>12</v>
      </c>
      <c r="C94" s="26">
        <f>ต.ค!C94+พย!C94+ธค!C94+มค!C94+กพ!C94+มีค!C94</f>
        <v>17</v>
      </c>
      <c r="D94" s="26">
        <f>ต.ค!D94+พย!D94+ธค!D94+มค!D94+กพ!D94+มีค!D94</f>
        <v>11</v>
      </c>
      <c r="E94" s="4">
        <f t="shared" si="8"/>
        <v>7.4464285714285712</v>
      </c>
      <c r="F94" s="26">
        <f>ต.ค!F94+พย!F94+ธค!F94+มค!F94+กพ!F94+มีค!F94</f>
        <v>6</v>
      </c>
      <c r="G94" s="26">
        <f>ต.ค!G94+พย!G94+ธค!G94+มค!G94+กพ!G94+มีค!G94</f>
        <v>0</v>
      </c>
      <c r="H94" s="26">
        <f>ต.ค!H94+พย!H94+ธค!H94+มค!H94+กพ!H94+มีค!H94</f>
        <v>0</v>
      </c>
      <c r="I94" s="26">
        <f>ต.ค!I94+พย!I94+ธค!I94+มค!I94+กพ!I94+มีค!I94</f>
        <v>0</v>
      </c>
      <c r="J94" s="26">
        <f>ต.ค!J94+พย!J94+ธค!J94+มค!J94+กพ!J94+มีค!J94</f>
        <v>0</v>
      </c>
      <c r="K94" s="26">
        <f>ต.ค!K94+พย!K94+ธค!K94+มค!K94+กพ!K94+มีค!K94</f>
        <v>0</v>
      </c>
      <c r="L94" s="26">
        <f>ต.ค!L94+พย!L94+ธค!L94+มค!L94+กพ!L94+มีค!L94</f>
        <v>0</v>
      </c>
      <c r="M94" s="5">
        <f t="shared" si="9"/>
        <v>-1.4464285714285712</v>
      </c>
      <c r="N94" s="28">
        <f t="shared" si="10"/>
        <v>124.10714285714286</v>
      </c>
      <c r="O94" s="26">
        <f>ต.ค!O94+พย!O94+ธค!O94+มค!O94+กพ!O94+มีค!O94</f>
        <v>0</v>
      </c>
      <c r="P94" s="26">
        <f>ต.ค!P94+พย!P94+ธค!P94+มค!P94+กพ!P94+มีค!P94</f>
        <v>0</v>
      </c>
      <c r="Q94" s="26">
        <f>ต.ค!Q94+พย!Q94+ธค!Q94+มค!Q94+กพ!Q94+มีค!Q94</f>
        <v>18</v>
      </c>
      <c r="R94" s="26">
        <f>ต.ค!R94+พย!R94+ธค!R94+มค!R94+กพ!R94+มีค!R94</f>
        <v>2</v>
      </c>
      <c r="S94" s="26">
        <f>ต.ค!S94+พย!S94+ธค!S94+มค!S94+กพ!S94+มีค!S94</f>
        <v>8</v>
      </c>
      <c r="T94" s="37">
        <f t="shared" si="12"/>
        <v>28</v>
      </c>
      <c r="U94" s="28">
        <f t="shared" si="11"/>
        <v>166.66666666666669</v>
      </c>
      <c r="V94" s="59">
        <f t="shared" si="7"/>
        <v>0</v>
      </c>
    </row>
    <row r="95" spans="1:22" ht="24.75" customHeight="1">
      <c r="A95" s="87"/>
      <c r="B95" s="7" t="s">
        <v>13</v>
      </c>
      <c r="C95" s="26">
        <f>ต.ค!C95+พย!C95+ธค!C95+มค!C95+กพ!C95+มีค!C95</f>
        <v>17</v>
      </c>
      <c r="D95" s="26">
        <f>ต.ค!D95+พย!D95+ธค!D95+มค!D95+กพ!D95+มีค!D95</f>
        <v>11</v>
      </c>
      <c r="E95" s="4">
        <f t="shared" si="8"/>
        <v>7.4464285714285712</v>
      </c>
      <c r="F95" s="26">
        <f>ต.ค!F95+พย!F95+ธค!F95+มค!F95+กพ!F95+มีค!F95</f>
        <v>4</v>
      </c>
      <c r="G95" s="26">
        <f>ต.ค!G95+พย!G95+ธค!G95+มค!G95+กพ!G95+มีค!G95</f>
        <v>0</v>
      </c>
      <c r="H95" s="26">
        <f>ต.ค!H95+พย!H95+ธค!H95+มค!H95+กพ!H95+มีค!H95</f>
        <v>1</v>
      </c>
      <c r="I95" s="26">
        <f>ต.ค!I95+พย!I95+ธค!I95+มค!I95+กพ!I95+มีค!I95</f>
        <v>2</v>
      </c>
      <c r="J95" s="26">
        <f>ต.ค!J95+พย!J95+ธค!J95+มค!J95+กพ!J95+มีค!J95</f>
        <v>0</v>
      </c>
      <c r="K95" s="26">
        <f>ต.ค!K95+พย!K95+ธค!K95+มค!K95+กพ!K95+มีค!K95</f>
        <v>0</v>
      </c>
      <c r="L95" s="26">
        <f>ต.ค!L95+พย!L95+ธค!L95+มค!L95+กพ!L95+มีค!L95</f>
        <v>0</v>
      </c>
      <c r="M95" s="5">
        <f t="shared" si="9"/>
        <v>-2.4464285714285712</v>
      </c>
      <c r="N95" s="28">
        <f t="shared" si="10"/>
        <v>106.37755102040816</v>
      </c>
      <c r="O95" s="26">
        <f>ต.ค!O95+พย!O95+ธค!O95+มค!O95+กพ!O95+มีค!O95</f>
        <v>0</v>
      </c>
      <c r="P95" s="26">
        <f>ต.ค!P95+พย!P95+ธค!P95+มค!P95+กพ!P95+มีค!P95</f>
        <v>0</v>
      </c>
      <c r="Q95" s="26">
        <f>ต.ค!Q95+พย!Q95+ธค!Q95+มค!Q95+กพ!Q95+มีค!Q95</f>
        <v>18</v>
      </c>
      <c r="R95" s="26">
        <f>ต.ค!R95+พย!R95+ธค!R95+มค!R95+กพ!R95+มีค!R95</f>
        <v>2</v>
      </c>
      <c r="S95" s="26">
        <f>ต.ค!S95+พย!S95+ธค!S95+มค!S95+กพ!S95+มีค!S95</f>
        <v>8</v>
      </c>
      <c r="T95" s="37">
        <f t="shared" si="12"/>
        <v>28</v>
      </c>
      <c r="U95" s="28">
        <f t="shared" si="11"/>
        <v>142.85714285714286</v>
      </c>
      <c r="V95" s="59">
        <f t="shared" si="7"/>
        <v>0</v>
      </c>
    </row>
    <row r="96" spans="1:22" ht="24.75" customHeight="1">
      <c r="A96" s="87"/>
      <c r="B96" s="7" t="s">
        <v>14</v>
      </c>
      <c r="C96" s="26">
        <f>ต.ค!C96+พย!C96+ธค!C96+มค!C96+กพ!C96+มีค!C96</f>
        <v>17</v>
      </c>
      <c r="D96" s="26">
        <f>ต.ค!D96+พย!D96+ธค!D96+มค!D96+กพ!D96+มีค!D96</f>
        <v>11</v>
      </c>
      <c r="E96" s="4">
        <f t="shared" si="8"/>
        <v>7.4464285714285712</v>
      </c>
      <c r="F96" s="26">
        <f>ต.ค!F96+พย!F96+ธค!F96+มค!F96+กพ!F96+มีค!F96</f>
        <v>5</v>
      </c>
      <c r="G96" s="26">
        <f>ต.ค!G96+พย!G96+ธค!G96+มค!G96+กพ!G96+มีค!G96</f>
        <v>0</v>
      </c>
      <c r="H96" s="26">
        <f>ต.ค!H96+พย!H96+ธค!H96+มค!H96+กพ!H96+มีค!H96</f>
        <v>1</v>
      </c>
      <c r="I96" s="26">
        <f>ต.ค!I96+พย!I96+ธค!I96+มค!I96+กพ!I96+มีค!I96</f>
        <v>1</v>
      </c>
      <c r="J96" s="26">
        <f>ต.ค!J96+พย!J96+ธค!J96+มค!J96+กพ!J96+มีค!J96</f>
        <v>0</v>
      </c>
      <c r="K96" s="26">
        <f>ต.ค!K96+พย!K96+ธค!K96+มค!K96+กพ!K96+มีค!K96</f>
        <v>0</v>
      </c>
      <c r="L96" s="26">
        <f>ต.ค!L96+พย!L96+ธค!L96+มค!L96+กพ!L96+มีค!L96</f>
        <v>0</v>
      </c>
      <c r="M96" s="5">
        <f t="shared" si="9"/>
        <v>-1.4464285714285712</v>
      </c>
      <c r="N96" s="28">
        <f t="shared" si="10"/>
        <v>106.37755102040816</v>
      </c>
      <c r="O96" s="26">
        <f>ต.ค!O96+พย!O96+ธค!O96+มค!O96+กพ!O96+มีค!O96</f>
        <v>0</v>
      </c>
      <c r="P96" s="26">
        <f>ต.ค!P96+พย!P96+ธค!P96+มค!P96+กพ!P96+มีค!P96</f>
        <v>0</v>
      </c>
      <c r="Q96" s="26">
        <f>ต.ค!Q96+พย!Q96+ธค!Q96+มค!Q96+กพ!Q96+มีค!Q96</f>
        <v>19</v>
      </c>
      <c r="R96" s="26">
        <f>ต.ค!R96+พย!R96+ธค!R96+มค!R96+กพ!R96+มีค!R96</f>
        <v>3</v>
      </c>
      <c r="S96" s="26">
        <f>ต.ค!S96+พย!S96+ธค!S96+มค!S96+กพ!S96+มีค!S96</f>
        <v>6</v>
      </c>
      <c r="T96" s="37">
        <f t="shared" si="12"/>
        <v>28</v>
      </c>
      <c r="U96" s="28">
        <f t="shared" si="11"/>
        <v>135.37414965986395</v>
      </c>
      <c r="V96" s="59">
        <f t="shared" si="7"/>
        <v>0</v>
      </c>
    </row>
    <row r="97" spans="1:22" ht="24.75" customHeight="1">
      <c r="A97" s="87">
        <v>30</v>
      </c>
      <c r="B97" s="7" t="s">
        <v>12</v>
      </c>
      <c r="C97" s="26">
        <f>ต.ค!C97+พย!C97+ธค!C97+มค!C97+กพ!C97+มีค!C97</f>
        <v>18</v>
      </c>
      <c r="D97" s="26">
        <f>ต.ค!D97+พย!D97+ธค!D97+มค!D97+กพ!D97+มีค!D97</f>
        <v>11</v>
      </c>
      <c r="E97" s="4">
        <f t="shared" si="8"/>
        <v>7.6071428571428568</v>
      </c>
      <c r="F97" s="26">
        <f>ต.ค!F97+พย!F97+ธค!F97+มค!F97+กพ!F97+มีค!F97</f>
        <v>5</v>
      </c>
      <c r="G97" s="26">
        <f>ต.ค!G97+พย!G97+ธค!G97+มค!G97+กพ!G97+มีค!G97</f>
        <v>0</v>
      </c>
      <c r="H97" s="26">
        <f>ต.ค!H97+พย!H97+ธค!H97+มค!H97+กพ!H97+มีค!H97</f>
        <v>0</v>
      </c>
      <c r="I97" s="26">
        <f>ต.ค!I97+พย!I97+ธค!I97+มค!I97+กพ!I97+มีค!I97</f>
        <v>1</v>
      </c>
      <c r="J97" s="26">
        <f>ต.ค!J97+พย!J97+ธค!J97+มค!J97+กพ!J97+มีค!J97</f>
        <v>0</v>
      </c>
      <c r="K97" s="26">
        <f>ต.ค!K97+พย!K97+ธค!K97+มค!K97+กพ!K97+มีค!K97</f>
        <v>0</v>
      </c>
      <c r="L97" s="26">
        <f>ต.ค!L97+พย!L97+ธค!L97+มค!L97+กพ!L97+มีค!L97</f>
        <v>0</v>
      </c>
      <c r="M97" s="5">
        <f t="shared" si="9"/>
        <v>-2.6071428571428568</v>
      </c>
      <c r="N97" s="28">
        <f t="shared" si="10"/>
        <v>126.78571428571428</v>
      </c>
      <c r="O97" s="26">
        <f>ต.ค!O97+พย!O97+ธค!O97+มค!O97+กพ!O97+มีค!O97</f>
        <v>0</v>
      </c>
      <c r="P97" s="26">
        <f>ต.ค!P97+พย!P97+ธค!P97+มค!P97+กพ!P97+มีค!P97</f>
        <v>0</v>
      </c>
      <c r="Q97" s="26">
        <f>ต.ค!Q97+พย!Q97+ธค!Q97+มค!Q97+กพ!Q97+มีค!Q97</f>
        <v>20</v>
      </c>
      <c r="R97" s="26">
        <f>ต.ค!R97+พย!R97+ธค!R97+มค!R97+กพ!R97+มีค!R97</f>
        <v>3</v>
      </c>
      <c r="S97" s="26">
        <f>ต.ค!S97+พย!S97+ธค!S97+มค!S97+กพ!S97+มีค!S97</f>
        <v>6</v>
      </c>
      <c r="T97" s="37">
        <f t="shared" si="12"/>
        <v>29</v>
      </c>
      <c r="U97" s="28">
        <f t="shared" si="11"/>
        <v>162.30158730158729</v>
      </c>
      <c r="V97" s="59">
        <f t="shared" si="7"/>
        <v>0</v>
      </c>
    </row>
    <row r="98" spans="1:22" ht="24.75" customHeight="1">
      <c r="A98" s="87"/>
      <c r="B98" s="7" t="s">
        <v>13</v>
      </c>
      <c r="C98" s="26">
        <f>ต.ค!C98+พย!C98+ธค!C98+มค!C98+กพ!C98+มีค!C98</f>
        <v>21</v>
      </c>
      <c r="D98" s="26">
        <f>ต.ค!D98+พย!D98+ธค!D98+มค!D98+กพ!D98+มีค!D98</f>
        <v>9</v>
      </c>
      <c r="E98" s="4">
        <f t="shared" si="8"/>
        <v>7.2321428571428568</v>
      </c>
      <c r="F98" s="26">
        <f>ต.ค!F98+พย!F98+ธค!F98+มค!F98+กพ!F98+มีค!F98</f>
        <v>6</v>
      </c>
      <c r="G98" s="26">
        <f>ต.ค!G98+พย!G98+ธค!G98+มค!G98+กพ!G98+มีค!G98</f>
        <v>0</v>
      </c>
      <c r="H98" s="26">
        <f>ต.ค!H98+พย!H98+ธค!H98+มค!H98+กพ!H98+มีค!H98</f>
        <v>1</v>
      </c>
      <c r="I98" s="26">
        <f>ต.ค!I98+พย!I98+ธค!I98+มค!I98+กพ!I98+มีค!I98</f>
        <v>0</v>
      </c>
      <c r="J98" s="26">
        <f>ต.ค!J98+พย!J98+ธค!J98+มค!J98+กพ!J98+มีค!J98</f>
        <v>0</v>
      </c>
      <c r="K98" s="26">
        <f>ต.ค!K98+พย!K98+ธค!K98+มค!K98+กพ!K98+มีค!K98</f>
        <v>0</v>
      </c>
      <c r="L98" s="26">
        <f>ต.ค!L98+พย!L98+ธค!L98+มค!L98+กพ!L98+มีค!L98</f>
        <v>0</v>
      </c>
      <c r="M98" s="5">
        <f t="shared" si="9"/>
        <v>-0.23214285714285676</v>
      </c>
      <c r="N98" s="28">
        <f t="shared" si="10"/>
        <v>103.31632653061224</v>
      </c>
      <c r="O98" s="26">
        <f>ต.ค!O98+พย!O98+ธค!O98+มค!O98+กพ!O98+มีค!O98</f>
        <v>0</v>
      </c>
      <c r="P98" s="26">
        <f>ต.ค!P98+พย!P98+ธค!P98+มค!P98+กพ!P98+มีค!P98</f>
        <v>7</v>
      </c>
      <c r="Q98" s="26">
        <f>ต.ค!Q98+พย!Q98+ธค!Q98+มค!Q98+กพ!Q98+มีค!Q98</f>
        <v>15</v>
      </c>
      <c r="R98" s="26">
        <f>ต.ค!R98+พย!R98+ธค!R98+มค!R98+กพ!R98+มีค!R98</f>
        <v>4</v>
      </c>
      <c r="S98" s="26">
        <f>ต.ค!S98+พย!S98+ธค!S98+มค!S98+กพ!S98+มีค!S98</f>
        <v>5</v>
      </c>
      <c r="T98" s="37">
        <f t="shared" si="12"/>
        <v>31</v>
      </c>
      <c r="U98" s="28">
        <f t="shared" si="11"/>
        <v>134.0136054421769</v>
      </c>
      <c r="V98" s="59">
        <f t="shared" si="7"/>
        <v>-1</v>
      </c>
    </row>
    <row r="99" spans="1:22" ht="24.75" customHeight="1">
      <c r="A99" s="87"/>
      <c r="B99" s="7" t="s">
        <v>14</v>
      </c>
      <c r="C99" s="26">
        <f>ต.ค!C99+พย!C99+ธค!C99+มค!C99+กพ!C99+มีค!C99</f>
        <v>16</v>
      </c>
      <c r="D99" s="26">
        <f>ต.ค!D99+พย!D99+ธค!D99+มค!D99+กพ!D99+มีค!D99</f>
        <v>9</v>
      </c>
      <c r="E99" s="4">
        <f t="shared" si="8"/>
        <v>6.4285714285714288</v>
      </c>
      <c r="F99" s="26">
        <f>ต.ค!F99+พย!F99+ธค!F99+มค!F99+กพ!F99+มีค!F99</f>
        <v>6</v>
      </c>
      <c r="G99" s="26">
        <f>ต.ค!G99+พย!G99+ธค!G99+มค!G99+กพ!G99+มีค!G99</f>
        <v>0</v>
      </c>
      <c r="H99" s="26">
        <f>ต.ค!H99+พย!H99+ธค!H99+มค!H99+กพ!H99+มีค!H99</f>
        <v>0</v>
      </c>
      <c r="I99" s="26">
        <f>ต.ค!I99+พย!I99+ธค!I99+มค!I99+กพ!I99+มีค!I99</f>
        <v>0</v>
      </c>
      <c r="J99" s="26">
        <f>ต.ค!J99+พย!J99+ธค!J99+มค!J99+กพ!J99+มีค!J99</f>
        <v>0</v>
      </c>
      <c r="K99" s="26">
        <f>ต.ค!K99+พย!K99+ธค!K99+มค!K99+กพ!K99+มีค!K99</f>
        <v>0</v>
      </c>
      <c r="L99" s="26">
        <f>ต.ค!L99+พย!L99+ธค!L99+มค!L99+กพ!L99+มีค!L99</f>
        <v>0</v>
      </c>
      <c r="M99" s="5">
        <f t="shared" si="9"/>
        <v>-0.42857142857142883</v>
      </c>
      <c r="N99" s="28">
        <f t="shared" si="10"/>
        <v>107.14285714285714</v>
      </c>
      <c r="O99" s="26">
        <f>ต.ค!O99+พย!O99+ธค!O99+มค!O99+กพ!O99+มีค!O99</f>
        <v>0</v>
      </c>
      <c r="P99" s="26">
        <f>ต.ค!P99+พย!P99+ธค!P99+มค!P99+กพ!P99+มีค!P99</f>
        <v>0</v>
      </c>
      <c r="Q99" s="26">
        <f>ต.ค!Q99+พย!Q99+ธค!Q99+มค!Q99+กพ!Q99+มีค!Q99</f>
        <v>18</v>
      </c>
      <c r="R99" s="26">
        <f>ต.ค!R99+พย!R99+ธค!R99+มค!R99+กพ!R99+มีค!R99</f>
        <v>3</v>
      </c>
      <c r="S99" s="26">
        <f>ต.ค!S99+พย!S99+ธค!S99+มค!S99+กพ!S99+มีค!S99</f>
        <v>4</v>
      </c>
      <c r="T99" s="37">
        <f t="shared" si="12"/>
        <v>25</v>
      </c>
      <c r="U99" s="28">
        <f t="shared" si="11"/>
        <v>134.52380952380955</v>
      </c>
      <c r="V99" s="59">
        <f t="shared" si="7"/>
        <v>0</v>
      </c>
    </row>
    <row r="100" spans="1:22" ht="24.75" customHeight="1">
      <c r="A100" s="87">
        <v>31</v>
      </c>
      <c r="B100" s="7" t="s">
        <v>12</v>
      </c>
      <c r="C100" s="26">
        <f>ต.ค!C100+พย!C100+ธค!C100+มค!C100+กพ!C100+มีค!C100</f>
        <v>6</v>
      </c>
      <c r="D100" s="26">
        <f>ต.ค!D100+พย!D100+ธค!D100+มค!D100+กพ!D100+มีค!D100</f>
        <v>5</v>
      </c>
      <c r="E100" s="4">
        <f t="shared" si="8"/>
        <v>3.1071428571428572</v>
      </c>
      <c r="F100" s="26">
        <f>ต.ค!F100+พย!F100+ธค!F100+มค!F100+กพ!F100+มีค!F100</f>
        <v>3</v>
      </c>
      <c r="G100" s="26">
        <f>ต.ค!G100+พย!G100+ธค!G100+มค!G100+กพ!G100+มีค!G100</f>
        <v>0</v>
      </c>
      <c r="H100" s="26">
        <f>ต.ค!H100+พย!H100+ธค!H100+มค!H100+กพ!H100+มีค!H100</f>
        <v>0</v>
      </c>
      <c r="I100" s="26">
        <f>ต.ค!I100+พย!I100+ธค!I100+มค!I100+กพ!I100+มีค!I100</f>
        <v>0</v>
      </c>
      <c r="J100" s="26">
        <f>ต.ค!J100+พย!J100+ธค!J100+มค!J100+กพ!J100+มีค!J100</f>
        <v>0</v>
      </c>
      <c r="K100" s="26">
        <f>ต.ค!K100+พย!K100+ธค!K100+มค!K100+กพ!K100+มีค!K100</f>
        <v>0</v>
      </c>
      <c r="L100" s="26">
        <f>ต.ค!L100+พย!L100+ธค!L100+มค!L100+กพ!L100+มีค!L100</f>
        <v>0</v>
      </c>
      <c r="M100" s="5">
        <f t="shared" si="9"/>
        <v>-0.10714285714285721</v>
      </c>
      <c r="N100" s="28">
        <f t="shared" si="10"/>
        <v>103.57142857142858</v>
      </c>
      <c r="O100" s="26">
        <f>ต.ค!O100+พย!O100+ธค!O100+มค!O100+กพ!O100+มีค!O100</f>
        <v>0</v>
      </c>
      <c r="P100" s="26">
        <f>ต.ค!P100+พย!P100+ธค!P100+มค!P100+กพ!P100+มีค!P100</f>
        <v>0</v>
      </c>
      <c r="Q100" s="26">
        <f>ต.ค!Q100+พย!Q100+ธค!Q100+มค!Q100+กพ!Q100+มีค!Q100</f>
        <v>9</v>
      </c>
      <c r="R100" s="26">
        <f>ต.ค!R100+พย!R100+ธค!R100+มค!R100+กพ!R100+มีค!R100</f>
        <v>1</v>
      </c>
      <c r="S100" s="26">
        <f>ต.ค!S100+พย!S100+ธค!S100+มค!S100+กพ!S100+มีค!S100</f>
        <v>1</v>
      </c>
      <c r="T100" s="37">
        <f t="shared" si="12"/>
        <v>11</v>
      </c>
      <c r="U100" s="28">
        <f t="shared" si="11"/>
        <v>109.52380952380953</v>
      </c>
      <c r="V100" s="59">
        <f t="shared" si="7"/>
        <v>0</v>
      </c>
    </row>
    <row r="101" spans="1:22" ht="24.75" customHeight="1">
      <c r="A101" s="87"/>
      <c r="B101" s="7" t="s">
        <v>13</v>
      </c>
      <c r="C101" s="26">
        <f>ต.ค!C101+พย!C101+ธค!C101+มค!C101+กพ!C101+มีค!C101</f>
        <v>6</v>
      </c>
      <c r="D101" s="26">
        <f>ต.ค!D101+พย!D101+ธค!D101+มค!D101+กพ!D101+มีค!D101</f>
        <v>5</v>
      </c>
      <c r="E101" s="4">
        <f t="shared" si="8"/>
        <v>3.1071428571428572</v>
      </c>
      <c r="F101" s="26">
        <f>ต.ค!F101+พย!F101+ธค!F101+มค!F101+กพ!F101+มีค!F101</f>
        <v>3</v>
      </c>
      <c r="G101" s="26">
        <f>ต.ค!G101+พย!G101+ธค!G101+มค!G101+กพ!G101+มีค!G101</f>
        <v>0</v>
      </c>
      <c r="H101" s="26">
        <f>ต.ค!H101+พย!H101+ธค!H101+มค!H101+กพ!H101+มีค!H101</f>
        <v>1</v>
      </c>
      <c r="I101" s="26">
        <f>ต.ค!I101+พย!I101+ธค!I101+มค!I101+กพ!I101+มีค!I101</f>
        <v>0</v>
      </c>
      <c r="J101" s="26">
        <f>ต.ค!J101+พย!J101+ธค!J101+มค!J101+กพ!J101+มีค!J101</f>
        <v>0</v>
      </c>
      <c r="K101" s="26">
        <f>ต.ค!K101+พย!K101+ธค!K101+มค!K101+กพ!K101+มีค!K101</f>
        <v>0</v>
      </c>
      <c r="L101" s="26">
        <f>ต.ค!L101+พย!L101+ธค!L101+มค!L101+กพ!L101+มีค!L101</f>
        <v>0</v>
      </c>
      <c r="M101" s="5">
        <f t="shared" si="9"/>
        <v>0.89285714285714279</v>
      </c>
      <c r="N101" s="28">
        <f t="shared" si="10"/>
        <v>77.678571428571431</v>
      </c>
      <c r="O101" s="26">
        <f>ต.ค!O101+พย!O101+ธค!O101+มค!O101+กพ!O101+มีค!O101</f>
        <v>0</v>
      </c>
      <c r="P101" s="26">
        <f>ต.ค!P101+พย!P101+ธค!P101+มค!P101+กพ!P101+มีค!P101</f>
        <v>2</v>
      </c>
      <c r="Q101" s="26">
        <f>ต.ค!Q101+พย!Q101+ธค!Q101+มค!Q101+กพ!Q101+มีค!Q101</f>
        <v>6</v>
      </c>
      <c r="R101" s="26">
        <f>ต.ค!R101+พย!R101+ธค!R101+มค!R101+กพ!R101+มีค!R101</f>
        <v>2</v>
      </c>
      <c r="S101" s="26">
        <f>ต.ค!S101+พย!S101+ธค!S101+มค!S101+กพ!S101+มีค!S101</f>
        <v>1</v>
      </c>
      <c r="T101" s="37">
        <f t="shared" si="12"/>
        <v>11</v>
      </c>
      <c r="U101" s="28">
        <f t="shared" si="11"/>
        <v>79.761904761904759</v>
      </c>
      <c r="V101" s="59">
        <f t="shared" si="7"/>
        <v>0</v>
      </c>
    </row>
    <row r="102" spans="1:22" ht="24.75" customHeight="1">
      <c r="A102" s="87"/>
      <c r="B102" s="7" t="s">
        <v>14</v>
      </c>
      <c r="C102" s="26">
        <f>ต.ค!C102+พย!C102+ธค!C102+มค!C102+กพ!C102+มีค!C102</f>
        <v>5</v>
      </c>
      <c r="D102" s="26">
        <f>ต.ค!D102+พย!D102+ธค!D102+มค!D102+กพ!D102+มีค!D102</f>
        <v>5</v>
      </c>
      <c r="E102" s="4">
        <f t="shared" si="8"/>
        <v>2.9464285714285716</v>
      </c>
      <c r="F102" s="26">
        <f>ต.ค!F102+พย!F102+ธค!F102+มค!F102+กพ!F102+มีค!F102</f>
        <v>3</v>
      </c>
      <c r="G102" s="26">
        <f>ต.ค!G102+พย!G102+ธค!G102+มค!G102+กพ!G102+มีค!G102</f>
        <v>0</v>
      </c>
      <c r="H102" s="26">
        <f>ต.ค!H102+พย!H102+ธค!H102+มค!H102+กพ!H102+มีค!H102</f>
        <v>1</v>
      </c>
      <c r="I102" s="26">
        <f>ต.ค!I102+พย!I102+ธค!I102+มค!I102+กพ!I102+มีค!I102</f>
        <v>0</v>
      </c>
      <c r="J102" s="26">
        <f>ต.ค!J102+พย!J102+ธค!J102+มค!J102+กพ!J102+มีค!J102</f>
        <v>0</v>
      </c>
      <c r="K102" s="26">
        <f>ต.ค!K102+พย!K102+ธค!K102+มค!K102+กพ!K102+มีค!K102</f>
        <v>0</v>
      </c>
      <c r="L102" s="26">
        <f>ต.ค!L102+พย!L102+ธค!L102+มค!L102+กพ!L102+มีค!L102</f>
        <v>0</v>
      </c>
      <c r="M102" s="5">
        <f t="shared" si="9"/>
        <v>1.0535714285714284</v>
      </c>
      <c r="N102" s="28">
        <f t="shared" si="10"/>
        <v>73.660714285714292</v>
      </c>
      <c r="O102" s="26">
        <f>ต.ค!O102+พย!O102+ธค!O102+มค!O102+กพ!O102+มีค!O102</f>
        <v>0</v>
      </c>
      <c r="P102" s="26">
        <f>ต.ค!P102+พย!P102+ธค!P102+มค!P102+กพ!P102+มีค!P102</f>
        <v>0</v>
      </c>
      <c r="Q102" s="26">
        <f>ต.ค!Q102+พย!Q102+ธค!Q102+มค!Q102+กพ!Q102+มีค!Q102</f>
        <v>7</v>
      </c>
      <c r="R102" s="26">
        <f>ต.ค!R102+พย!R102+ธค!R102+มค!R102+กพ!R102+มีค!R102</f>
        <v>2</v>
      </c>
      <c r="S102" s="26">
        <f>ต.ค!S102+พย!S102+ธค!S102+มค!S102+กพ!S102+มีค!S102</f>
        <v>1</v>
      </c>
      <c r="T102" s="37">
        <f t="shared" si="12"/>
        <v>10</v>
      </c>
      <c r="U102" s="28">
        <f t="shared" si="11"/>
        <v>77.976190476190482</v>
      </c>
      <c r="V102" s="59">
        <f t="shared" si="7"/>
        <v>0</v>
      </c>
    </row>
    <row r="103" spans="1:22" ht="24.75" customHeight="1">
      <c r="A103" s="87" t="s">
        <v>41</v>
      </c>
      <c r="B103" s="1" t="s">
        <v>12</v>
      </c>
      <c r="C103" s="37">
        <f>C10+C13+C16+C19+C22+C25+C28+C31+C34+C37+C40+C43+C46+C49+C52+C55+C58+C61+C64+C67+C70+C73+C76+C79+C82+C85+C88+C91+C94+C97+C100</f>
        <v>413</v>
      </c>
      <c r="D103" s="37">
        <f>D10+D13+D16+D19+D22+D25+D28+D31+D34+D37+D40+D43+D46+D49+D52+D55+D58+D61+D64+D67+D70+D73+D76+D79+D82+D85+D88+D91+D94+D97+D100</f>
        <v>331</v>
      </c>
      <c r="E103" s="4">
        <f>((($B$3*C103)+(12*D103))*$E$4)/7</f>
        <v>208.23214285714286</v>
      </c>
      <c r="F103" s="4">
        <f t="shared" ref="F103:L105" si="13">F10+F13+F16+F19+F22+F25+F28+F31+F34+F37+F40+F43+F46+F49+F52+F55+F58+F61+F64+F67+F70+F73+F76+F79+F82+F85+F88+F91+F94+F97+F100</f>
        <v>180</v>
      </c>
      <c r="G103" s="1">
        <f t="shared" si="13"/>
        <v>0</v>
      </c>
      <c r="H103" s="1">
        <f t="shared" si="13"/>
        <v>0</v>
      </c>
      <c r="I103" s="1">
        <f t="shared" si="13"/>
        <v>9</v>
      </c>
      <c r="J103" s="1">
        <f t="shared" si="13"/>
        <v>0</v>
      </c>
      <c r="K103" s="1">
        <f t="shared" si="13"/>
        <v>0</v>
      </c>
      <c r="L103" s="1">
        <f t="shared" si="13"/>
        <v>0</v>
      </c>
      <c r="M103" s="5">
        <f t="shared" si="9"/>
        <v>-28.232142857142861</v>
      </c>
      <c r="N103" s="28">
        <f t="shared" si="10"/>
        <v>110.17573696145124</v>
      </c>
      <c r="O103" s="1">
        <f t="shared" ref="O103:S105" si="14">O10+O13+O16+O19+O22+O25+O28+O31+O34+O37+O40+O43+O46+O49+O52+O55+O58+O61+O64+O67+O70+O73+O76+O79+O82+O85+O88+O91+O94+O97+O100</f>
        <v>0</v>
      </c>
      <c r="P103" s="1">
        <f t="shared" si="14"/>
        <v>0</v>
      </c>
      <c r="Q103" s="1">
        <f t="shared" si="14"/>
        <v>449</v>
      </c>
      <c r="R103" s="1">
        <f t="shared" si="14"/>
        <v>78</v>
      </c>
      <c r="S103" s="1">
        <f>S10+S13+S16+S19+S22+S25+S28+S31+S34+S37+S40+S43+S46+S49+S52+S55+S58+S61+S64+S67+S70+S73+S76+S79+S82+S85+S88+S91+S94+S97+S100</f>
        <v>218</v>
      </c>
      <c r="T103" s="37">
        <f t="shared" si="12"/>
        <v>745</v>
      </c>
      <c r="U103" s="28">
        <f t="shared" si="11"/>
        <v>142.86974048878812</v>
      </c>
      <c r="V103" s="59">
        <f t="shared" si="7"/>
        <v>-1</v>
      </c>
    </row>
    <row r="104" spans="1:22" ht="24.75" customHeight="1">
      <c r="A104" s="87"/>
      <c r="B104" s="1" t="s">
        <v>13</v>
      </c>
      <c r="C104" s="37">
        <f t="shared" ref="C104:D105" si="15">C11+C14+C17+C20+C23+C26+C29+C32+C35+C38+C41+C44+C47+C50+C53+C56+C59+C62+C65+C68+C71+C74+C77+C80+C83+C86+C89+C92+C95+C98+C101</f>
        <v>440</v>
      </c>
      <c r="D104" s="37">
        <f t="shared" si="15"/>
        <v>327</v>
      </c>
      <c r="E104" s="4">
        <f t="shared" ref="E104:E105" si="16">((($B$3*C104)+(12*D104))*$E$4)/7</f>
        <v>210.85714285714286</v>
      </c>
      <c r="F104" s="4">
        <f>F11+F14+F17+F20+F23+F26+F29+F32+F35+F38+F41+F44+F47+F50+F53+F56+F59+F62+F65+F68+F71+F74+F77+F80+F83+F86+F89+F92+F95+F98+F101</f>
        <v>173</v>
      </c>
      <c r="G104" s="1">
        <f t="shared" si="13"/>
        <v>0</v>
      </c>
      <c r="H104" s="1">
        <f t="shared" ref="H104" si="17">H11+H14+H17+H20+H23+H26+H29+H32+H35+H38+H41+H44+H47+H50+H53+H56+H59+H62+H65+H68+H71+H74+H77+H80+H83+H86+H89+H92+H95+H98+H101</f>
        <v>28</v>
      </c>
      <c r="I104" s="1">
        <f t="shared" ref="I104:L104" si="18">I11+I14+I17+I20+I23+I26+I29+I32+I35+I38+I41+I44+I47+I50+I53+I56+I59+I62+I65+I68+I71+I74+I77+I80+I83+I86+I89+I92+I95+I98+I101</f>
        <v>30</v>
      </c>
      <c r="J104" s="1">
        <f t="shared" si="18"/>
        <v>0</v>
      </c>
      <c r="K104" s="1">
        <f t="shared" si="18"/>
        <v>16</v>
      </c>
      <c r="L104" s="1">
        <f t="shared" si="18"/>
        <v>0</v>
      </c>
      <c r="M104" s="5">
        <f t="shared" si="9"/>
        <v>-9.8571428571428612</v>
      </c>
      <c r="N104" s="28">
        <f t="shared" si="10"/>
        <v>85.367264314632735</v>
      </c>
      <c r="O104" s="1">
        <f t="shared" si="14"/>
        <v>0</v>
      </c>
      <c r="P104" s="1">
        <f t="shared" si="14"/>
        <v>80</v>
      </c>
      <c r="Q104" s="1">
        <f t="shared" si="14"/>
        <v>399</v>
      </c>
      <c r="R104" s="1">
        <f t="shared" si="14"/>
        <v>69</v>
      </c>
      <c r="S104" s="1">
        <f t="shared" si="14"/>
        <v>221</v>
      </c>
      <c r="T104" s="37">
        <f t="shared" si="12"/>
        <v>769</v>
      </c>
      <c r="U104" s="28">
        <f t="shared" si="11"/>
        <v>108.81048775785618</v>
      </c>
      <c r="V104" s="59">
        <f t="shared" si="7"/>
        <v>-2</v>
      </c>
    </row>
    <row r="105" spans="1:22" ht="24.75" customHeight="1">
      <c r="A105" s="87"/>
      <c r="B105" s="1" t="s">
        <v>14</v>
      </c>
      <c r="C105" s="37">
        <f t="shared" si="15"/>
        <v>398</v>
      </c>
      <c r="D105" s="37">
        <f t="shared" si="15"/>
        <v>321</v>
      </c>
      <c r="E105" s="4">
        <f t="shared" si="16"/>
        <v>201.53571428571428</v>
      </c>
      <c r="F105" s="4" t="e">
        <f t="shared" si="13"/>
        <v>#REF!</v>
      </c>
      <c r="G105" s="1">
        <f t="shared" si="13"/>
        <v>0</v>
      </c>
      <c r="H105" s="1">
        <f t="shared" ref="H105" si="19">H12+H15+H18+H21+H24+H27+H30+H33+H36+H39+H42+H45+H48+H51+H54+H57+H60+H63+H66+H69+H72+H75+H78+H81+H84+H87+H90+H93+H96+H99+H102</f>
        <v>17</v>
      </c>
      <c r="I105" s="1">
        <f t="shared" ref="I105:L105" si="20">I12+I15+I18+I21+I24+I27+I30+I33+I36+I39+I42+I45+I48+I51+I54+I57+I60+I63+I66+I69+I72+I75+I78+I81+I84+I87+I90+I93+I96+I99+I102</f>
        <v>13</v>
      </c>
      <c r="J105" s="1">
        <f t="shared" si="20"/>
        <v>0</v>
      </c>
      <c r="K105" s="1">
        <f t="shared" si="20"/>
        <v>4</v>
      </c>
      <c r="L105" s="1">
        <f t="shared" si="20"/>
        <v>0</v>
      </c>
      <c r="M105" s="5" t="e">
        <f t="shared" si="9"/>
        <v>#REF!</v>
      </c>
      <c r="N105" s="28" t="e">
        <f t="shared" si="10"/>
        <v>#REF!</v>
      </c>
      <c r="O105" s="1">
        <f t="shared" si="14"/>
        <v>0</v>
      </c>
      <c r="P105" s="1">
        <f t="shared" si="14"/>
        <v>0</v>
      </c>
      <c r="Q105" s="1">
        <f t="shared" si="14"/>
        <v>429</v>
      </c>
      <c r="R105" s="1">
        <f t="shared" si="14"/>
        <v>80</v>
      </c>
      <c r="S105" s="1">
        <f t="shared" si="14"/>
        <v>208</v>
      </c>
      <c r="T105" s="37">
        <f t="shared" si="12"/>
        <v>717</v>
      </c>
      <c r="U105" s="28" t="e">
        <f t="shared" si="11"/>
        <v>#REF!</v>
      </c>
      <c r="V105" s="59">
        <f t="shared" si="7"/>
        <v>2</v>
      </c>
    </row>
    <row r="106" spans="1:22" ht="24.75" customHeight="1">
      <c r="A106" s="7" t="s">
        <v>42</v>
      </c>
      <c r="B106" s="7"/>
      <c r="C106" s="29">
        <f>SUM(C103:C105)/3</f>
        <v>417</v>
      </c>
      <c r="D106" s="29">
        <f>SUM(D103:D105)/3</f>
        <v>326.33333333333331</v>
      </c>
      <c r="E106" s="62"/>
      <c r="F106" s="25" t="e">
        <f t="shared" ref="F106:L106" si="21">SUM(F103:F105)</f>
        <v>#REF!</v>
      </c>
      <c r="G106" s="25">
        <f t="shared" si="21"/>
        <v>0</v>
      </c>
      <c r="H106" s="25">
        <f t="shared" si="21"/>
        <v>45</v>
      </c>
      <c r="I106" s="25">
        <f t="shared" si="21"/>
        <v>52</v>
      </c>
      <c r="J106" s="25">
        <f t="shared" si="21"/>
        <v>0</v>
      </c>
      <c r="K106" s="25">
        <f t="shared" si="21"/>
        <v>20</v>
      </c>
      <c r="L106" s="25">
        <f t="shared" si="21"/>
        <v>0</v>
      </c>
      <c r="M106" s="5" t="e">
        <f t="shared" si="9"/>
        <v>#REF!</v>
      </c>
      <c r="N106" s="25"/>
      <c r="O106" s="25">
        <f>SUM(O103:O105)/3</f>
        <v>0</v>
      </c>
      <c r="P106" s="25">
        <f t="shared" ref="P106:S106" si="22">SUM(P103:P105)/3</f>
        <v>26.666666666666668</v>
      </c>
      <c r="Q106" s="25">
        <f t="shared" si="22"/>
        <v>425.66666666666669</v>
      </c>
      <c r="R106" s="25">
        <f t="shared" si="22"/>
        <v>75.666666666666671</v>
      </c>
      <c r="S106" s="25">
        <f t="shared" si="22"/>
        <v>215.66666666666666</v>
      </c>
      <c r="T106" s="37">
        <f t="shared" si="12"/>
        <v>743.66666666666663</v>
      </c>
      <c r="U106" s="28" t="e">
        <f t="shared" si="11"/>
        <v>#REF!</v>
      </c>
      <c r="V106" s="59">
        <f t="shared" si="7"/>
        <v>-0.33333333333337123</v>
      </c>
    </row>
  </sheetData>
  <mergeCells count="76">
    <mergeCell ref="M7:M9"/>
    <mergeCell ref="N7:N9"/>
    <mergeCell ref="O8:O9"/>
    <mergeCell ref="O7:S7"/>
    <mergeCell ref="P8:P9"/>
    <mergeCell ref="Q8:Q9"/>
    <mergeCell ref="R8:R9"/>
    <mergeCell ref="S8:S9"/>
    <mergeCell ref="A94:A96"/>
    <mergeCell ref="A97:A99"/>
    <mergeCell ref="A100:A102"/>
    <mergeCell ref="A103:A105"/>
    <mergeCell ref="A76:A78"/>
    <mergeCell ref="A79:A81"/>
    <mergeCell ref="A82:A84"/>
    <mergeCell ref="A85:A87"/>
    <mergeCell ref="A88:A90"/>
    <mergeCell ref="A91:A93"/>
    <mergeCell ref="A73:A75"/>
    <mergeCell ref="A40:A42"/>
    <mergeCell ref="A43:A45"/>
    <mergeCell ref="A46:A48"/>
    <mergeCell ref="A49:A51"/>
    <mergeCell ref="A52:A54"/>
    <mergeCell ref="A55:A57"/>
    <mergeCell ref="A58:A60"/>
    <mergeCell ref="A61:A63"/>
    <mergeCell ref="A64:A66"/>
    <mergeCell ref="A67:A69"/>
    <mergeCell ref="A70:A72"/>
    <mergeCell ref="A37:A3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7:A9"/>
    <mergeCell ref="A5:B5"/>
    <mergeCell ref="A6:B6"/>
    <mergeCell ref="F5:L5"/>
    <mergeCell ref="B7:B9"/>
    <mergeCell ref="C7:C9"/>
    <mergeCell ref="E7:E9"/>
    <mergeCell ref="L7:L9"/>
    <mergeCell ref="D7:D9"/>
    <mergeCell ref="C6:D6"/>
    <mergeCell ref="F6:H6"/>
    <mergeCell ref="I6:K6"/>
    <mergeCell ref="F7:K7"/>
    <mergeCell ref="I8:K8"/>
    <mergeCell ref="F8:H8"/>
    <mergeCell ref="A1:N1"/>
    <mergeCell ref="A2:N2"/>
    <mergeCell ref="A3:A4"/>
    <mergeCell ref="B3:B4"/>
    <mergeCell ref="C3:C4"/>
    <mergeCell ref="I3:L3"/>
    <mergeCell ref="I4:L4"/>
    <mergeCell ref="M3:N3"/>
    <mergeCell ref="M4:N4"/>
    <mergeCell ref="E3:H3"/>
    <mergeCell ref="E4:H4"/>
    <mergeCell ref="T7:T9"/>
    <mergeCell ref="U7:U9"/>
    <mergeCell ref="O6:Q6"/>
    <mergeCell ref="R6:S6"/>
    <mergeCell ref="O3:P3"/>
    <mergeCell ref="Q3:R3"/>
    <mergeCell ref="O4:P4"/>
    <mergeCell ref="Q4:R4"/>
    <mergeCell ref="O5:P5"/>
    <mergeCell ref="Q5:R5"/>
  </mergeCell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106"/>
  <sheetViews>
    <sheetView zoomScale="85" zoomScaleNormal="85" workbookViewId="0">
      <pane xSplit="2" ySplit="9" topLeftCell="C95" activePane="bottomRight" state="frozen"/>
      <selection pane="topRight" activeCell="C1" sqref="C1"/>
      <selection pane="bottomLeft" activeCell="A10" sqref="A10"/>
      <selection pane="bottomRight" activeCell="M10" sqref="M10:M106"/>
    </sheetView>
  </sheetViews>
  <sheetFormatPr defaultColWidth="9" defaultRowHeight="21.75" customHeight="1"/>
  <cols>
    <col min="1" max="1" width="10.33203125" style="2" customWidth="1"/>
    <col min="2" max="2" width="4.109375" style="2" customWidth="1"/>
    <col min="3" max="3" width="8.33203125" style="2" customWidth="1"/>
    <col min="4" max="4" width="8.6640625" style="2" customWidth="1"/>
    <col min="5" max="5" width="7.44140625" style="2" customWidth="1"/>
    <col min="6" max="6" width="7.77734375" style="2" customWidth="1"/>
    <col min="7" max="8" width="6" style="2" customWidth="1"/>
    <col min="9" max="9" width="5.33203125" style="2" bestFit="1" customWidth="1"/>
    <col min="10" max="11" width="6.33203125" style="2" customWidth="1"/>
    <col min="12" max="12" width="6" style="2" customWidth="1"/>
    <col min="13" max="13" width="6.88671875" style="2" bestFit="1" customWidth="1"/>
    <col min="14" max="14" width="7.88671875" style="2" bestFit="1" customWidth="1"/>
    <col min="15" max="15" width="5.33203125" style="2" customWidth="1"/>
    <col min="16" max="17" width="6.33203125" style="2" customWidth="1"/>
    <col min="18" max="18" width="5" style="2" customWidth="1"/>
    <col min="19" max="19" width="7.21875" style="2" customWidth="1"/>
    <col min="20" max="20" width="7.33203125" style="2" customWidth="1"/>
    <col min="21" max="21" width="6.77734375" style="2" customWidth="1"/>
    <col min="22" max="22" width="4.109375" style="2" bestFit="1" customWidth="1"/>
    <col min="23" max="16384" width="9" style="2"/>
  </cols>
  <sheetData>
    <row r="1" spans="1:22" ht="21.75" customHeight="1">
      <c r="A1" s="90" t="s">
        <v>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</row>
    <row r="2" spans="1:22" ht="21.75" customHeight="1">
      <c r="A2" s="90" t="s">
        <v>65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</row>
    <row r="3" spans="1:22" ht="21.75" customHeight="1">
      <c r="A3" s="91" t="s">
        <v>10</v>
      </c>
      <c r="B3" s="92">
        <v>4.5</v>
      </c>
      <c r="C3" s="93" t="s">
        <v>11</v>
      </c>
      <c r="D3" s="38"/>
      <c r="E3" s="116" t="s">
        <v>12</v>
      </c>
      <c r="F3" s="95"/>
      <c r="G3" s="95"/>
      <c r="H3" s="96"/>
      <c r="I3" s="93" t="s">
        <v>13</v>
      </c>
      <c r="J3" s="93"/>
      <c r="K3" s="93"/>
      <c r="L3" s="93"/>
      <c r="M3" s="95" t="s">
        <v>14</v>
      </c>
      <c r="N3" s="96"/>
      <c r="O3" s="113" t="s">
        <v>15</v>
      </c>
      <c r="P3" s="113"/>
      <c r="Q3" s="115">
        <f>((F103+F105)*240)+((G103+G105)*180)</f>
        <v>0</v>
      </c>
      <c r="R3" s="115"/>
      <c r="S3" s="7" t="s">
        <v>16</v>
      </c>
    </row>
    <row r="4" spans="1:22" ht="21.75" customHeight="1">
      <c r="A4" s="91"/>
      <c r="B4" s="92"/>
      <c r="C4" s="93"/>
      <c r="D4" s="38"/>
      <c r="E4" s="114">
        <v>0.25</v>
      </c>
      <c r="F4" s="97"/>
      <c r="G4" s="97"/>
      <c r="H4" s="98"/>
      <c r="I4" s="94">
        <v>0.4</v>
      </c>
      <c r="J4" s="94"/>
      <c r="K4" s="94"/>
      <c r="L4" s="94"/>
      <c r="M4" s="97">
        <v>0.35</v>
      </c>
      <c r="N4" s="98"/>
      <c r="O4" s="113" t="s">
        <v>17</v>
      </c>
      <c r="P4" s="113"/>
      <c r="Q4" s="115">
        <f>((I103+L103+I104+L104+I105+L105)*660)+((J103+J105+J104)*530)</f>
        <v>0</v>
      </c>
      <c r="R4" s="115"/>
      <c r="S4" s="7" t="s">
        <v>16</v>
      </c>
    </row>
    <row r="5" spans="1:22" ht="21.75" customHeight="1">
      <c r="A5" s="99" t="s">
        <v>18</v>
      </c>
      <c r="B5" s="99"/>
      <c r="C5" s="103"/>
      <c r="D5" s="104"/>
      <c r="E5" s="35" t="s">
        <v>19</v>
      </c>
      <c r="F5" s="114" t="s">
        <v>20</v>
      </c>
      <c r="G5" s="97"/>
      <c r="H5" s="97"/>
      <c r="I5" s="97"/>
      <c r="J5" s="97"/>
      <c r="K5" s="97"/>
      <c r="L5" s="97"/>
      <c r="M5" s="6"/>
      <c r="N5" s="34" t="s">
        <v>21</v>
      </c>
      <c r="O5" s="113"/>
      <c r="P5" s="113"/>
      <c r="Q5" s="115"/>
      <c r="R5" s="115"/>
      <c r="S5" s="7"/>
    </row>
    <row r="6" spans="1:22" ht="21.75" customHeight="1">
      <c r="A6" s="99" t="s">
        <v>23</v>
      </c>
      <c r="B6" s="99"/>
      <c r="C6" s="105" t="e">
        <f>((C106*12)/(M5*7)+((D106*12)/(M5*7)))</f>
        <v>#DIV/0!</v>
      </c>
      <c r="D6" s="106"/>
      <c r="E6" s="35" t="s">
        <v>19</v>
      </c>
      <c r="F6" s="80" t="s">
        <v>24</v>
      </c>
      <c r="G6" s="81"/>
      <c r="H6" s="82"/>
      <c r="I6" s="77" t="e">
        <f>C5-C6</f>
        <v>#DIV/0!</v>
      </c>
      <c r="J6" s="78"/>
      <c r="K6" s="79"/>
      <c r="L6" s="39" t="s">
        <v>19</v>
      </c>
      <c r="M6" s="36" t="s">
        <v>25</v>
      </c>
      <c r="N6" s="27" t="e">
        <f>((((C106*4.5)+(D106*12))/((F106+G106+H106+I106+J106+K106+L106)*7)))*100</f>
        <v>#DIV/0!</v>
      </c>
      <c r="O6" s="71" t="s">
        <v>26</v>
      </c>
      <c r="P6" s="71"/>
      <c r="Q6" s="71"/>
      <c r="R6" s="72" t="e">
        <f>U106</f>
        <v>#DIV/0!</v>
      </c>
      <c r="S6" s="73"/>
    </row>
    <row r="7" spans="1:22" ht="21.75" customHeight="1">
      <c r="A7" s="65" t="s">
        <v>27</v>
      </c>
      <c r="B7" s="65" t="s">
        <v>28</v>
      </c>
      <c r="C7" s="100" t="s">
        <v>77</v>
      </c>
      <c r="D7" s="100" t="s">
        <v>78</v>
      </c>
      <c r="E7" s="65" t="s">
        <v>30</v>
      </c>
      <c r="F7" s="91" t="s">
        <v>31</v>
      </c>
      <c r="G7" s="91"/>
      <c r="H7" s="91"/>
      <c r="I7" s="91"/>
      <c r="J7" s="91"/>
      <c r="K7" s="91"/>
      <c r="L7" s="65" t="s">
        <v>32</v>
      </c>
      <c r="M7" s="65" t="s">
        <v>33</v>
      </c>
      <c r="N7" s="68" t="s">
        <v>25</v>
      </c>
      <c r="O7" s="87" t="s">
        <v>34</v>
      </c>
      <c r="P7" s="87"/>
      <c r="Q7" s="87"/>
      <c r="R7" s="87"/>
      <c r="S7" s="87"/>
      <c r="T7" s="83" t="s">
        <v>35</v>
      </c>
      <c r="U7" s="85" t="s">
        <v>26</v>
      </c>
    </row>
    <row r="8" spans="1:22" ht="21.75" customHeight="1">
      <c r="A8" s="66"/>
      <c r="B8" s="66"/>
      <c r="C8" s="101"/>
      <c r="D8" s="101"/>
      <c r="E8" s="66"/>
      <c r="F8" s="120" t="s">
        <v>37</v>
      </c>
      <c r="G8" s="121"/>
      <c r="H8" s="122"/>
      <c r="I8" s="123" t="s">
        <v>38</v>
      </c>
      <c r="J8" s="123"/>
      <c r="K8" s="123"/>
      <c r="L8" s="66"/>
      <c r="M8" s="66"/>
      <c r="N8" s="69"/>
      <c r="O8" s="88">
        <v>1</v>
      </c>
      <c r="P8" s="88">
        <v>2</v>
      </c>
      <c r="Q8" s="88">
        <v>3</v>
      </c>
      <c r="R8" s="88">
        <v>4</v>
      </c>
      <c r="S8" s="88">
        <v>5</v>
      </c>
      <c r="T8" s="83"/>
      <c r="U8" s="85"/>
    </row>
    <row r="9" spans="1:22" ht="21.75" customHeight="1">
      <c r="A9" s="67"/>
      <c r="B9" s="67"/>
      <c r="C9" s="102"/>
      <c r="D9" s="102"/>
      <c r="E9" s="67"/>
      <c r="F9" s="24" t="s">
        <v>39</v>
      </c>
      <c r="G9" s="24" t="s">
        <v>40</v>
      </c>
      <c r="H9" s="24" t="s">
        <v>76</v>
      </c>
      <c r="I9" s="57" t="s">
        <v>39</v>
      </c>
      <c r="J9" s="57" t="s">
        <v>40</v>
      </c>
      <c r="K9" s="57" t="s">
        <v>76</v>
      </c>
      <c r="L9" s="67"/>
      <c r="M9" s="67"/>
      <c r="N9" s="70"/>
      <c r="O9" s="89"/>
      <c r="P9" s="89"/>
      <c r="Q9" s="89"/>
      <c r="R9" s="89"/>
      <c r="S9" s="89"/>
      <c r="T9" s="84"/>
      <c r="U9" s="86"/>
    </row>
    <row r="10" spans="1:22" ht="21.75" customHeight="1">
      <c r="A10" s="87">
        <v>1</v>
      </c>
      <c r="B10" s="7" t="s">
        <v>12</v>
      </c>
      <c r="C10" s="3"/>
      <c r="D10" s="3"/>
      <c r="E10" s="4">
        <f>((($B$3*C10)+(12*D10))*$E$4)/7</f>
        <v>0</v>
      </c>
      <c r="F10" s="3"/>
      <c r="G10" s="3"/>
      <c r="H10" s="3"/>
      <c r="I10" s="3"/>
      <c r="J10" s="3"/>
      <c r="K10" s="3"/>
      <c r="L10" s="3"/>
      <c r="M10" s="5">
        <f>(F10+G10+H10+L10)-E10</f>
        <v>0</v>
      </c>
      <c r="N10" s="28" t="e">
        <f>(((C10*4.5)+(12*D10))*$E$4)/((F10+G10+H10+I10+J10+K10+L10)*7)*100</f>
        <v>#DIV/0!</v>
      </c>
      <c r="O10" s="7"/>
      <c r="P10" s="7"/>
      <c r="Q10" s="7"/>
      <c r="R10" s="7"/>
      <c r="S10" s="3"/>
      <c r="T10" s="37"/>
      <c r="U10" s="28" t="e">
        <f>((((O10*1.5+(P10*3.5)+(Q10*5.5)+(R10*7.5)+(S10*12)))/3)/((F10+G10+H10+I10+J10+K10+L10)*7))*100</f>
        <v>#DIV/0!</v>
      </c>
      <c r="V10" s="59">
        <f>C10+D10-T10</f>
        <v>0</v>
      </c>
    </row>
    <row r="11" spans="1:22" ht="21.75" customHeight="1">
      <c r="A11" s="87"/>
      <c r="B11" s="7" t="s">
        <v>13</v>
      </c>
      <c r="C11" s="3"/>
      <c r="D11" s="3"/>
      <c r="E11" s="4">
        <f t="shared" ref="E11:E74" si="0">((($B$3*C11)+(12*D11))*$E$4)/7</f>
        <v>0</v>
      </c>
      <c r="F11" s="3"/>
      <c r="G11" s="3"/>
      <c r="H11" s="3"/>
      <c r="I11" s="3"/>
      <c r="J11" s="3"/>
      <c r="K11" s="3"/>
      <c r="L11" s="3"/>
      <c r="M11" s="5">
        <f t="shared" ref="M11:M74" si="1">(F11+G11+H11+L11)-E11</f>
        <v>0</v>
      </c>
      <c r="N11" s="28" t="e">
        <f t="shared" ref="N11:N74" si="2">(((C11*4.5)+(12*D11))*$E$4)/((F11+G11+H11+I11+J11+K11+L11)*7)*100</f>
        <v>#DIV/0!</v>
      </c>
      <c r="O11" s="7"/>
      <c r="P11" s="7"/>
      <c r="Q11" s="7"/>
      <c r="R11" s="7"/>
      <c r="S11" s="3"/>
      <c r="T11" s="37"/>
      <c r="U11" s="28" t="e">
        <f t="shared" ref="U11:U74" si="3">((((O11*1.5+(P11*3.5)+(Q11*5.5)+(R11*7.5)+(S11*12)))/3)/((F11+G11+H11+I11+J11+K11+L11)*7))*100</f>
        <v>#DIV/0!</v>
      </c>
      <c r="V11" s="59">
        <f t="shared" ref="V11:V74" si="4">C11+D11-T11</f>
        <v>0</v>
      </c>
    </row>
    <row r="12" spans="1:22" ht="21.75" customHeight="1">
      <c r="A12" s="87"/>
      <c r="B12" s="7" t="s">
        <v>14</v>
      </c>
      <c r="C12" s="3"/>
      <c r="D12" s="3"/>
      <c r="E12" s="4">
        <f t="shared" si="0"/>
        <v>0</v>
      </c>
      <c r="F12" s="3"/>
      <c r="G12" s="3"/>
      <c r="H12" s="3"/>
      <c r="I12" s="3"/>
      <c r="J12" s="3"/>
      <c r="K12" s="3"/>
      <c r="L12" s="3"/>
      <c r="M12" s="5">
        <f t="shared" si="1"/>
        <v>0</v>
      </c>
      <c r="N12" s="28" t="e">
        <f t="shared" si="2"/>
        <v>#DIV/0!</v>
      </c>
      <c r="O12" s="7"/>
      <c r="P12" s="7"/>
      <c r="Q12" s="7"/>
      <c r="R12" s="7"/>
      <c r="S12" s="3"/>
      <c r="T12" s="37"/>
      <c r="U12" s="28" t="e">
        <f t="shared" si="3"/>
        <v>#DIV/0!</v>
      </c>
      <c r="V12" s="59">
        <f t="shared" si="4"/>
        <v>0</v>
      </c>
    </row>
    <row r="13" spans="1:22" ht="21.75" customHeight="1">
      <c r="A13" s="87">
        <v>2</v>
      </c>
      <c r="B13" s="7" t="s">
        <v>12</v>
      </c>
      <c r="C13" s="3"/>
      <c r="D13" s="3"/>
      <c r="E13" s="4">
        <f t="shared" si="0"/>
        <v>0</v>
      </c>
      <c r="F13" s="3"/>
      <c r="G13" s="3"/>
      <c r="H13" s="3"/>
      <c r="I13" s="3"/>
      <c r="J13" s="3"/>
      <c r="K13" s="3"/>
      <c r="L13" s="3"/>
      <c r="M13" s="5">
        <f t="shared" si="1"/>
        <v>0</v>
      </c>
      <c r="N13" s="28" t="e">
        <f t="shared" si="2"/>
        <v>#DIV/0!</v>
      </c>
      <c r="O13" s="7"/>
      <c r="P13" s="7"/>
      <c r="Q13" s="7"/>
      <c r="R13" s="7"/>
      <c r="S13" s="3"/>
      <c r="T13" s="37"/>
      <c r="U13" s="28" t="e">
        <f t="shared" si="3"/>
        <v>#DIV/0!</v>
      </c>
      <c r="V13" s="59">
        <f t="shared" si="4"/>
        <v>0</v>
      </c>
    </row>
    <row r="14" spans="1:22" ht="21.75" customHeight="1">
      <c r="A14" s="87"/>
      <c r="B14" s="7" t="s">
        <v>13</v>
      </c>
      <c r="C14" s="3"/>
      <c r="D14" s="3"/>
      <c r="E14" s="4">
        <f t="shared" si="0"/>
        <v>0</v>
      </c>
      <c r="F14" s="3"/>
      <c r="G14" s="3"/>
      <c r="H14" s="3"/>
      <c r="I14" s="3"/>
      <c r="J14" s="3"/>
      <c r="K14" s="3"/>
      <c r="L14" s="3"/>
      <c r="M14" s="5">
        <f t="shared" si="1"/>
        <v>0</v>
      </c>
      <c r="N14" s="28" t="e">
        <f t="shared" si="2"/>
        <v>#DIV/0!</v>
      </c>
      <c r="O14" s="7"/>
      <c r="P14" s="7"/>
      <c r="Q14" s="7"/>
      <c r="R14" s="7"/>
      <c r="S14" s="3"/>
      <c r="T14" s="37"/>
      <c r="U14" s="28" t="e">
        <f t="shared" si="3"/>
        <v>#DIV/0!</v>
      </c>
      <c r="V14" s="59">
        <f t="shared" si="4"/>
        <v>0</v>
      </c>
    </row>
    <row r="15" spans="1:22" ht="21.75" customHeight="1">
      <c r="A15" s="87"/>
      <c r="B15" s="7" t="s">
        <v>14</v>
      </c>
      <c r="C15" s="3"/>
      <c r="D15" s="3"/>
      <c r="E15" s="4">
        <f t="shared" si="0"/>
        <v>0</v>
      </c>
      <c r="F15" s="3"/>
      <c r="G15" s="3"/>
      <c r="H15" s="3"/>
      <c r="I15" s="3"/>
      <c r="J15" s="3"/>
      <c r="K15" s="3"/>
      <c r="L15" s="3"/>
      <c r="M15" s="5">
        <f t="shared" si="1"/>
        <v>0</v>
      </c>
      <c r="N15" s="28" t="e">
        <f t="shared" si="2"/>
        <v>#DIV/0!</v>
      </c>
      <c r="O15" s="7"/>
      <c r="P15" s="7"/>
      <c r="Q15" s="7"/>
      <c r="R15" s="7"/>
      <c r="S15" s="3"/>
      <c r="T15" s="37"/>
      <c r="U15" s="28" t="e">
        <f t="shared" si="3"/>
        <v>#DIV/0!</v>
      </c>
      <c r="V15" s="59">
        <f t="shared" si="4"/>
        <v>0</v>
      </c>
    </row>
    <row r="16" spans="1:22" ht="21.75" customHeight="1">
      <c r="A16" s="87">
        <v>3</v>
      </c>
      <c r="B16" s="7" t="s">
        <v>12</v>
      </c>
      <c r="C16" s="3"/>
      <c r="D16" s="3"/>
      <c r="E16" s="4">
        <f t="shared" si="0"/>
        <v>0</v>
      </c>
      <c r="F16" s="3"/>
      <c r="G16" s="3"/>
      <c r="H16" s="3"/>
      <c r="I16" s="3"/>
      <c r="J16" s="3"/>
      <c r="K16" s="3"/>
      <c r="L16" s="3"/>
      <c r="M16" s="5">
        <f t="shared" si="1"/>
        <v>0</v>
      </c>
      <c r="N16" s="28" t="e">
        <f t="shared" si="2"/>
        <v>#DIV/0!</v>
      </c>
      <c r="O16" s="7"/>
      <c r="P16" s="7"/>
      <c r="Q16" s="7"/>
      <c r="R16" s="7"/>
      <c r="S16" s="3"/>
      <c r="T16" s="37"/>
      <c r="U16" s="28" t="e">
        <f t="shared" si="3"/>
        <v>#DIV/0!</v>
      </c>
      <c r="V16" s="59">
        <f t="shared" si="4"/>
        <v>0</v>
      </c>
    </row>
    <row r="17" spans="1:22" ht="21.75" customHeight="1">
      <c r="A17" s="87"/>
      <c r="B17" s="7" t="s">
        <v>13</v>
      </c>
      <c r="C17" s="3"/>
      <c r="D17" s="3"/>
      <c r="E17" s="4">
        <f t="shared" si="0"/>
        <v>0</v>
      </c>
      <c r="F17" s="3"/>
      <c r="G17" s="3"/>
      <c r="H17" s="3"/>
      <c r="I17" s="3"/>
      <c r="J17" s="3"/>
      <c r="K17" s="3"/>
      <c r="L17" s="3"/>
      <c r="M17" s="5">
        <f t="shared" si="1"/>
        <v>0</v>
      </c>
      <c r="N17" s="28" t="e">
        <f t="shared" si="2"/>
        <v>#DIV/0!</v>
      </c>
      <c r="O17" s="7"/>
      <c r="P17" s="7"/>
      <c r="Q17" s="7"/>
      <c r="R17" s="7"/>
      <c r="S17" s="3"/>
      <c r="T17" s="37"/>
      <c r="U17" s="28" t="e">
        <f t="shared" si="3"/>
        <v>#DIV/0!</v>
      </c>
      <c r="V17" s="59">
        <f t="shared" si="4"/>
        <v>0</v>
      </c>
    </row>
    <row r="18" spans="1:22" ht="21.75" customHeight="1">
      <c r="A18" s="87"/>
      <c r="B18" s="7" t="s">
        <v>14</v>
      </c>
      <c r="C18" s="3"/>
      <c r="D18" s="3"/>
      <c r="E18" s="4">
        <f t="shared" si="0"/>
        <v>0</v>
      </c>
      <c r="F18" s="3"/>
      <c r="G18" s="3"/>
      <c r="H18" s="3"/>
      <c r="I18" s="3"/>
      <c r="J18" s="3"/>
      <c r="K18" s="3"/>
      <c r="L18" s="3"/>
      <c r="M18" s="5">
        <f t="shared" si="1"/>
        <v>0</v>
      </c>
      <c r="N18" s="28" t="e">
        <f t="shared" si="2"/>
        <v>#DIV/0!</v>
      </c>
      <c r="O18" s="7"/>
      <c r="P18" s="7"/>
      <c r="Q18" s="7"/>
      <c r="R18" s="7"/>
      <c r="S18" s="3"/>
      <c r="T18" s="37"/>
      <c r="U18" s="28" t="e">
        <f t="shared" si="3"/>
        <v>#DIV/0!</v>
      </c>
      <c r="V18" s="59">
        <f t="shared" si="4"/>
        <v>0</v>
      </c>
    </row>
    <row r="19" spans="1:22" ht="21.75" customHeight="1">
      <c r="A19" s="87">
        <v>4</v>
      </c>
      <c r="B19" s="7" t="s">
        <v>12</v>
      </c>
      <c r="C19" s="3"/>
      <c r="D19" s="3"/>
      <c r="E19" s="4">
        <f t="shared" si="0"/>
        <v>0</v>
      </c>
      <c r="F19" s="3"/>
      <c r="G19" s="3"/>
      <c r="H19" s="3"/>
      <c r="I19" s="3"/>
      <c r="J19" s="3"/>
      <c r="K19" s="3"/>
      <c r="L19" s="3"/>
      <c r="M19" s="5">
        <f t="shared" si="1"/>
        <v>0</v>
      </c>
      <c r="N19" s="28" t="e">
        <f t="shared" si="2"/>
        <v>#DIV/0!</v>
      </c>
      <c r="O19" s="7"/>
      <c r="P19" s="7"/>
      <c r="Q19" s="7"/>
      <c r="R19" s="7"/>
      <c r="S19" s="3"/>
      <c r="T19" s="37"/>
      <c r="U19" s="28" t="e">
        <f t="shared" si="3"/>
        <v>#DIV/0!</v>
      </c>
      <c r="V19" s="59">
        <f t="shared" si="4"/>
        <v>0</v>
      </c>
    </row>
    <row r="20" spans="1:22" ht="21.75" customHeight="1">
      <c r="A20" s="87"/>
      <c r="B20" s="7" t="s">
        <v>13</v>
      </c>
      <c r="C20" s="3"/>
      <c r="D20" s="3"/>
      <c r="E20" s="4">
        <f t="shared" si="0"/>
        <v>0</v>
      </c>
      <c r="F20" s="3"/>
      <c r="G20" s="3"/>
      <c r="H20" s="3"/>
      <c r="I20" s="3"/>
      <c r="J20" s="3"/>
      <c r="K20" s="3"/>
      <c r="L20" s="3"/>
      <c r="M20" s="5">
        <f t="shared" si="1"/>
        <v>0</v>
      </c>
      <c r="N20" s="28" t="e">
        <f t="shared" si="2"/>
        <v>#DIV/0!</v>
      </c>
      <c r="O20" s="7"/>
      <c r="P20" s="7"/>
      <c r="Q20" s="7"/>
      <c r="R20" s="7"/>
      <c r="S20" s="3"/>
      <c r="T20" s="37"/>
      <c r="U20" s="28" t="e">
        <f t="shared" si="3"/>
        <v>#DIV/0!</v>
      </c>
      <c r="V20" s="59">
        <f t="shared" si="4"/>
        <v>0</v>
      </c>
    </row>
    <row r="21" spans="1:22" ht="21.75" customHeight="1">
      <c r="A21" s="87"/>
      <c r="B21" s="7" t="s">
        <v>14</v>
      </c>
      <c r="C21" s="3"/>
      <c r="D21" s="3"/>
      <c r="E21" s="4">
        <f t="shared" si="0"/>
        <v>0</v>
      </c>
      <c r="F21" s="3"/>
      <c r="G21" s="3"/>
      <c r="H21" s="3"/>
      <c r="I21" s="3"/>
      <c r="J21" s="3"/>
      <c r="K21" s="3"/>
      <c r="L21" s="3"/>
      <c r="M21" s="5">
        <f t="shared" si="1"/>
        <v>0</v>
      </c>
      <c r="N21" s="28" t="e">
        <f t="shared" si="2"/>
        <v>#DIV/0!</v>
      </c>
      <c r="O21" s="7"/>
      <c r="P21" s="7"/>
      <c r="Q21" s="7"/>
      <c r="R21" s="7"/>
      <c r="S21" s="3"/>
      <c r="T21" s="37"/>
      <c r="U21" s="28" t="e">
        <f t="shared" si="3"/>
        <v>#DIV/0!</v>
      </c>
      <c r="V21" s="59">
        <f t="shared" si="4"/>
        <v>0</v>
      </c>
    </row>
    <row r="22" spans="1:22" ht="21.75" customHeight="1">
      <c r="A22" s="87">
        <v>5</v>
      </c>
      <c r="B22" s="7" t="s">
        <v>12</v>
      </c>
      <c r="C22" s="3"/>
      <c r="D22" s="3"/>
      <c r="E22" s="4">
        <f t="shared" si="0"/>
        <v>0</v>
      </c>
      <c r="F22" s="3"/>
      <c r="G22" s="3"/>
      <c r="H22" s="3"/>
      <c r="I22" s="3"/>
      <c r="J22" s="3"/>
      <c r="K22" s="3"/>
      <c r="L22" s="3"/>
      <c r="M22" s="5">
        <f t="shared" si="1"/>
        <v>0</v>
      </c>
      <c r="N22" s="28" t="e">
        <f t="shared" si="2"/>
        <v>#DIV/0!</v>
      </c>
      <c r="O22" s="7"/>
      <c r="P22" s="7"/>
      <c r="Q22" s="7"/>
      <c r="R22" s="7"/>
      <c r="S22" s="3"/>
      <c r="T22" s="37"/>
      <c r="U22" s="28" t="e">
        <f t="shared" si="3"/>
        <v>#DIV/0!</v>
      </c>
      <c r="V22" s="59">
        <f t="shared" si="4"/>
        <v>0</v>
      </c>
    </row>
    <row r="23" spans="1:22" ht="21.75" customHeight="1">
      <c r="A23" s="87"/>
      <c r="B23" s="7" t="s">
        <v>13</v>
      </c>
      <c r="C23" s="3"/>
      <c r="D23" s="3"/>
      <c r="E23" s="4">
        <f t="shared" si="0"/>
        <v>0</v>
      </c>
      <c r="F23" s="3"/>
      <c r="G23" s="3"/>
      <c r="H23" s="3"/>
      <c r="I23" s="3"/>
      <c r="J23" s="3"/>
      <c r="K23" s="3"/>
      <c r="L23" s="3"/>
      <c r="M23" s="5">
        <f t="shared" si="1"/>
        <v>0</v>
      </c>
      <c r="N23" s="28" t="e">
        <f t="shared" si="2"/>
        <v>#DIV/0!</v>
      </c>
      <c r="O23" s="7"/>
      <c r="P23" s="7"/>
      <c r="Q23" s="7"/>
      <c r="R23" s="7"/>
      <c r="S23" s="3"/>
      <c r="T23" s="37"/>
      <c r="U23" s="28" t="e">
        <f t="shared" si="3"/>
        <v>#DIV/0!</v>
      </c>
      <c r="V23" s="59">
        <f t="shared" si="4"/>
        <v>0</v>
      </c>
    </row>
    <row r="24" spans="1:22" ht="21.75" customHeight="1">
      <c r="A24" s="87"/>
      <c r="B24" s="7" t="s">
        <v>14</v>
      </c>
      <c r="C24" s="3"/>
      <c r="D24" s="3"/>
      <c r="E24" s="4">
        <f t="shared" si="0"/>
        <v>0</v>
      </c>
      <c r="F24" s="3"/>
      <c r="G24" s="3"/>
      <c r="H24" s="3"/>
      <c r="I24" s="3"/>
      <c r="J24" s="3"/>
      <c r="K24" s="3"/>
      <c r="L24" s="3"/>
      <c r="M24" s="5">
        <f t="shared" si="1"/>
        <v>0</v>
      </c>
      <c r="N24" s="28" t="e">
        <f t="shared" si="2"/>
        <v>#DIV/0!</v>
      </c>
      <c r="O24" s="7"/>
      <c r="P24" s="7"/>
      <c r="Q24" s="7"/>
      <c r="R24" s="7"/>
      <c r="S24" s="3"/>
      <c r="T24" s="37"/>
      <c r="U24" s="28" t="e">
        <f t="shared" si="3"/>
        <v>#DIV/0!</v>
      </c>
      <c r="V24" s="59">
        <f t="shared" si="4"/>
        <v>0</v>
      </c>
    </row>
    <row r="25" spans="1:22" ht="21.75" customHeight="1">
      <c r="A25" s="87">
        <v>6</v>
      </c>
      <c r="B25" s="7" t="s">
        <v>12</v>
      </c>
      <c r="C25" s="3"/>
      <c r="D25" s="3"/>
      <c r="E25" s="4">
        <f t="shared" si="0"/>
        <v>0</v>
      </c>
      <c r="F25" s="3"/>
      <c r="G25" s="3"/>
      <c r="H25" s="3"/>
      <c r="I25" s="3"/>
      <c r="J25" s="3"/>
      <c r="K25" s="3"/>
      <c r="L25" s="3"/>
      <c r="M25" s="5">
        <f t="shared" si="1"/>
        <v>0</v>
      </c>
      <c r="N25" s="28" t="e">
        <f t="shared" si="2"/>
        <v>#DIV/0!</v>
      </c>
      <c r="O25" s="7"/>
      <c r="P25" s="7"/>
      <c r="Q25" s="7"/>
      <c r="R25" s="7"/>
      <c r="S25" s="3"/>
      <c r="T25" s="37"/>
      <c r="U25" s="28" t="e">
        <f t="shared" si="3"/>
        <v>#DIV/0!</v>
      </c>
      <c r="V25" s="59">
        <f t="shared" si="4"/>
        <v>0</v>
      </c>
    </row>
    <row r="26" spans="1:22" ht="21.75" customHeight="1">
      <c r="A26" s="87"/>
      <c r="B26" s="7" t="s">
        <v>13</v>
      </c>
      <c r="C26" s="3"/>
      <c r="D26" s="3"/>
      <c r="E26" s="4">
        <f t="shared" si="0"/>
        <v>0</v>
      </c>
      <c r="F26" s="3"/>
      <c r="G26" s="3"/>
      <c r="H26" s="3"/>
      <c r="I26" s="3"/>
      <c r="J26" s="3"/>
      <c r="K26" s="3"/>
      <c r="L26" s="3"/>
      <c r="M26" s="5">
        <f t="shared" si="1"/>
        <v>0</v>
      </c>
      <c r="N26" s="28" t="e">
        <f t="shared" si="2"/>
        <v>#DIV/0!</v>
      </c>
      <c r="O26" s="7"/>
      <c r="P26" s="7"/>
      <c r="Q26" s="7"/>
      <c r="R26" s="7"/>
      <c r="S26" s="3"/>
      <c r="T26" s="37"/>
      <c r="U26" s="28" t="e">
        <f t="shared" si="3"/>
        <v>#DIV/0!</v>
      </c>
      <c r="V26" s="59">
        <f t="shared" si="4"/>
        <v>0</v>
      </c>
    </row>
    <row r="27" spans="1:22" ht="21.75" customHeight="1">
      <c r="A27" s="87"/>
      <c r="B27" s="7" t="s">
        <v>14</v>
      </c>
      <c r="C27" s="3"/>
      <c r="D27" s="3"/>
      <c r="E27" s="4">
        <f t="shared" si="0"/>
        <v>0</v>
      </c>
      <c r="F27" s="3"/>
      <c r="G27" s="3"/>
      <c r="H27" s="3"/>
      <c r="I27" s="3"/>
      <c r="J27" s="3"/>
      <c r="K27" s="3"/>
      <c r="L27" s="3"/>
      <c r="M27" s="5">
        <f t="shared" si="1"/>
        <v>0</v>
      </c>
      <c r="N27" s="28" t="e">
        <f t="shared" si="2"/>
        <v>#DIV/0!</v>
      </c>
      <c r="O27" s="7"/>
      <c r="P27" s="7"/>
      <c r="Q27" s="7"/>
      <c r="R27" s="7"/>
      <c r="S27" s="3"/>
      <c r="T27" s="37"/>
      <c r="U27" s="28" t="e">
        <f t="shared" si="3"/>
        <v>#DIV/0!</v>
      </c>
      <c r="V27" s="59">
        <f t="shared" si="4"/>
        <v>0</v>
      </c>
    </row>
    <row r="28" spans="1:22" ht="21.75" customHeight="1">
      <c r="A28" s="87">
        <v>7</v>
      </c>
      <c r="B28" s="7" t="s">
        <v>12</v>
      </c>
      <c r="C28" s="3"/>
      <c r="D28" s="3"/>
      <c r="E28" s="4">
        <f t="shared" si="0"/>
        <v>0</v>
      </c>
      <c r="F28" s="3"/>
      <c r="G28" s="3"/>
      <c r="H28" s="3"/>
      <c r="I28" s="3"/>
      <c r="J28" s="3"/>
      <c r="K28" s="3"/>
      <c r="L28" s="3"/>
      <c r="M28" s="5">
        <f t="shared" si="1"/>
        <v>0</v>
      </c>
      <c r="N28" s="28" t="e">
        <f t="shared" si="2"/>
        <v>#DIV/0!</v>
      </c>
      <c r="O28" s="7"/>
      <c r="P28" s="7"/>
      <c r="Q28" s="7"/>
      <c r="R28" s="7"/>
      <c r="S28" s="3"/>
      <c r="T28" s="37"/>
      <c r="U28" s="28" t="e">
        <f t="shared" si="3"/>
        <v>#DIV/0!</v>
      </c>
      <c r="V28" s="59">
        <f t="shared" si="4"/>
        <v>0</v>
      </c>
    </row>
    <row r="29" spans="1:22" ht="21.75" customHeight="1">
      <c r="A29" s="87"/>
      <c r="B29" s="7" t="s">
        <v>13</v>
      </c>
      <c r="C29" s="3"/>
      <c r="D29" s="3"/>
      <c r="E29" s="4">
        <f t="shared" si="0"/>
        <v>0</v>
      </c>
      <c r="F29" s="3"/>
      <c r="G29" s="3"/>
      <c r="H29" s="3"/>
      <c r="I29" s="3"/>
      <c r="J29" s="3"/>
      <c r="K29" s="3"/>
      <c r="L29" s="3"/>
      <c r="M29" s="5">
        <f t="shared" si="1"/>
        <v>0</v>
      </c>
      <c r="N29" s="28" t="e">
        <f t="shared" si="2"/>
        <v>#DIV/0!</v>
      </c>
      <c r="O29" s="7"/>
      <c r="P29" s="7"/>
      <c r="Q29" s="7"/>
      <c r="R29" s="7"/>
      <c r="S29" s="3"/>
      <c r="T29" s="37"/>
      <c r="U29" s="28" t="e">
        <f t="shared" si="3"/>
        <v>#DIV/0!</v>
      </c>
      <c r="V29" s="59">
        <f t="shared" si="4"/>
        <v>0</v>
      </c>
    </row>
    <row r="30" spans="1:22" ht="21.75" customHeight="1">
      <c r="A30" s="87"/>
      <c r="B30" s="7" t="s">
        <v>14</v>
      </c>
      <c r="C30" s="3"/>
      <c r="D30" s="3"/>
      <c r="E30" s="4">
        <f t="shared" si="0"/>
        <v>0</v>
      </c>
      <c r="F30" s="3"/>
      <c r="G30" s="3"/>
      <c r="H30" s="3"/>
      <c r="I30" s="3"/>
      <c r="J30" s="3"/>
      <c r="K30" s="3"/>
      <c r="L30" s="3"/>
      <c r="M30" s="5">
        <f t="shared" si="1"/>
        <v>0</v>
      </c>
      <c r="N30" s="28" t="e">
        <f t="shared" si="2"/>
        <v>#DIV/0!</v>
      </c>
      <c r="O30" s="7"/>
      <c r="P30" s="7"/>
      <c r="Q30" s="7"/>
      <c r="R30" s="7"/>
      <c r="S30" s="3"/>
      <c r="T30" s="37"/>
      <c r="U30" s="28" t="e">
        <f t="shared" si="3"/>
        <v>#DIV/0!</v>
      </c>
      <c r="V30" s="59">
        <f t="shared" si="4"/>
        <v>0</v>
      </c>
    </row>
    <row r="31" spans="1:22" ht="21.75" customHeight="1">
      <c r="A31" s="87">
        <v>8</v>
      </c>
      <c r="B31" s="7" t="s">
        <v>12</v>
      </c>
      <c r="C31" s="3"/>
      <c r="D31" s="3"/>
      <c r="E31" s="4">
        <f t="shared" si="0"/>
        <v>0</v>
      </c>
      <c r="F31" s="3"/>
      <c r="G31" s="3"/>
      <c r="H31" s="3"/>
      <c r="I31" s="3"/>
      <c r="J31" s="3"/>
      <c r="K31" s="3"/>
      <c r="L31" s="3"/>
      <c r="M31" s="5">
        <f t="shared" si="1"/>
        <v>0</v>
      </c>
      <c r="N31" s="28" t="e">
        <f t="shared" si="2"/>
        <v>#DIV/0!</v>
      </c>
      <c r="O31" s="7"/>
      <c r="P31" s="7"/>
      <c r="Q31" s="7"/>
      <c r="R31" s="7"/>
      <c r="S31" s="3"/>
      <c r="T31" s="37"/>
      <c r="U31" s="28" t="e">
        <f t="shared" si="3"/>
        <v>#DIV/0!</v>
      </c>
      <c r="V31" s="59">
        <f t="shared" si="4"/>
        <v>0</v>
      </c>
    </row>
    <row r="32" spans="1:22" ht="21.75" customHeight="1">
      <c r="A32" s="87"/>
      <c r="B32" s="7" t="s">
        <v>13</v>
      </c>
      <c r="C32" s="3"/>
      <c r="D32" s="3"/>
      <c r="E32" s="4">
        <f t="shared" si="0"/>
        <v>0</v>
      </c>
      <c r="F32" s="3"/>
      <c r="G32" s="3"/>
      <c r="H32" s="3"/>
      <c r="I32" s="3"/>
      <c r="J32" s="3"/>
      <c r="K32" s="3"/>
      <c r="L32" s="3"/>
      <c r="M32" s="5">
        <f t="shared" si="1"/>
        <v>0</v>
      </c>
      <c r="N32" s="28" t="e">
        <f t="shared" si="2"/>
        <v>#DIV/0!</v>
      </c>
      <c r="O32" s="7"/>
      <c r="P32" s="7"/>
      <c r="Q32" s="7"/>
      <c r="R32" s="7"/>
      <c r="S32" s="3"/>
      <c r="T32" s="37"/>
      <c r="U32" s="28" t="e">
        <f t="shared" si="3"/>
        <v>#DIV/0!</v>
      </c>
      <c r="V32" s="59">
        <f t="shared" si="4"/>
        <v>0</v>
      </c>
    </row>
    <row r="33" spans="1:22" ht="21.75" customHeight="1">
      <c r="A33" s="87"/>
      <c r="B33" s="7" t="s">
        <v>14</v>
      </c>
      <c r="C33" s="3"/>
      <c r="D33" s="3"/>
      <c r="E33" s="4">
        <f t="shared" si="0"/>
        <v>0</v>
      </c>
      <c r="F33" s="3"/>
      <c r="G33" s="3"/>
      <c r="H33" s="3"/>
      <c r="I33" s="3"/>
      <c r="J33" s="3"/>
      <c r="K33" s="3"/>
      <c r="L33" s="3"/>
      <c r="M33" s="5">
        <f t="shared" si="1"/>
        <v>0</v>
      </c>
      <c r="N33" s="28" t="e">
        <f t="shared" si="2"/>
        <v>#DIV/0!</v>
      </c>
      <c r="O33" s="7"/>
      <c r="P33" s="7"/>
      <c r="Q33" s="7"/>
      <c r="R33" s="7"/>
      <c r="S33" s="3"/>
      <c r="T33" s="37"/>
      <c r="U33" s="28" t="e">
        <f t="shared" si="3"/>
        <v>#DIV/0!</v>
      </c>
      <c r="V33" s="59">
        <f t="shared" si="4"/>
        <v>0</v>
      </c>
    </row>
    <row r="34" spans="1:22" ht="21.75" customHeight="1">
      <c r="A34" s="87">
        <v>9</v>
      </c>
      <c r="B34" s="7" t="s">
        <v>12</v>
      </c>
      <c r="C34" s="3"/>
      <c r="D34" s="3"/>
      <c r="E34" s="4">
        <f t="shared" si="0"/>
        <v>0</v>
      </c>
      <c r="F34" s="3"/>
      <c r="G34" s="3"/>
      <c r="H34" s="3"/>
      <c r="I34" s="3"/>
      <c r="J34" s="3"/>
      <c r="K34" s="3"/>
      <c r="L34" s="3"/>
      <c r="M34" s="5">
        <f t="shared" si="1"/>
        <v>0</v>
      </c>
      <c r="N34" s="28" t="e">
        <f t="shared" si="2"/>
        <v>#DIV/0!</v>
      </c>
      <c r="O34" s="7"/>
      <c r="P34" s="7"/>
      <c r="Q34" s="7"/>
      <c r="R34" s="7"/>
      <c r="S34" s="3"/>
      <c r="T34" s="37"/>
      <c r="U34" s="28" t="e">
        <f t="shared" si="3"/>
        <v>#DIV/0!</v>
      </c>
      <c r="V34" s="59">
        <f t="shared" si="4"/>
        <v>0</v>
      </c>
    </row>
    <row r="35" spans="1:22" ht="21.75" customHeight="1">
      <c r="A35" s="87"/>
      <c r="B35" s="7" t="s">
        <v>13</v>
      </c>
      <c r="C35" s="3"/>
      <c r="D35" s="3"/>
      <c r="E35" s="4">
        <f t="shared" si="0"/>
        <v>0</v>
      </c>
      <c r="F35" s="3"/>
      <c r="G35" s="3"/>
      <c r="H35" s="3"/>
      <c r="I35" s="3"/>
      <c r="J35" s="3"/>
      <c r="K35" s="3"/>
      <c r="L35" s="3"/>
      <c r="M35" s="5">
        <f t="shared" si="1"/>
        <v>0</v>
      </c>
      <c r="N35" s="28" t="e">
        <f t="shared" si="2"/>
        <v>#DIV/0!</v>
      </c>
      <c r="O35" s="7"/>
      <c r="P35" s="7"/>
      <c r="Q35" s="7"/>
      <c r="R35" s="7"/>
      <c r="S35" s="3"/>
      <c r="T35" s="37"/>
      <c r="U35" s="28" t="e">
        <f t="shared" si="3"/>
        <v>#DIV/0!</v>
      </c>
      <c r="V35" s="59">
        <f t="shared" si="4"/>
        <v>0</v>
      </c>
    </row>
    <row r="36" spans="1:22" ht="21.75" customHeight="1">
      <c r="A36" s="87"/>
      <c r="B36" s="7" t="s">
        <v>14</v>
      </c>
      <c r="C36" s="3"/>
      <c r="D36" s="3"/>
      <c r="E36" s="4">
        <f t="shared" si="0"/>
        <v>0</v>
      </c>
      <c r="F36" s="3"/>
      <c r="G36" s="3"/>
      <c r="H36" s="3"/>
      <c r="I36" s="3"/>
      <c r="J36" s="3"/>
      <c r="K36" s="3"/>
      <c r="L36" s="3"/>
      <c r="M36" s="5">
        <f t="shared" si="1"/>
        <v>0</v>
      </c>
      <c r="N36" s="28" t="e">
        <f t="shared" si="2"/>
        <v>#DIV/0!</v>
      </c>
      <c r="O36" s="7"/>
      <c r="P36" s="7"/>
      <c r="Q36" s="7"/>
      <c r="R36" s="7"/>
      <c r="S36" s="3"/>
      <c r="T36" s="37"/>
      <c r="U36" s="28" t="e">
        <f t="shared" si="3"/>
        <v>#DIV/0!</v>
      </c>
      <c r="V36" s="59">
        <f t="shared" si="4"/>
        <v>0</v>
      </c>
    </row>
    <row r="37" spans="1:22" ht="21.75" customHeight="1">
      <c r="A37" s="87">
        <v>10</v>
      </c>
      <c r="B37" s="7" t="s">
        <v>12</v>
      </c>
      <c r="C37" s="3"/>
      <c r="D37" s="3"/>
      <c r="E37" s="4">
        <f t="shared" si="0"/>
        <v>0</v>
      </c>
      <c r="F37" s="3"/>
      <c r="G37" s="3"/>
      <c r="H37" s="3"/>
      <c r="I37" s="3"/>
      <c r="J37" s="3"/>
      <c r="K37" s="3"/>
      <c r="L37" s="3"/>
      <c r="M37" s="5">
        <f t="shared" si="1"/>
        <v>0</v>
      </c>
      <c r="N37" s="28" t="e">
        <f t="shared" si="2"/>
        <v>#DIV/0!</v>
      </c>
      <c r="O37" s="7"/>
      <c r="P37" s="7"/>
      <c r="Q37" s="7"/>
      <c r="R37" s="7"/>
      <c r="S37" s="3"/>
      <c r="T37" s="37"/>
      <c r="U37" s="28" t="e">
        <f t="shared" si="3"/>
        <v>#DIV/0!</v>
      </c>
      <c r="V37" s="59">
        <f t="shared" si="4"/>
        <v>0</v>
      </c>
    </row>
    <row r="38" spans="1:22" ht="21.75" customHeight="1">
      <c r="A38" s="87"/>
      <c r="B38" s="7" t="s">
        <v>13</v>
      </c>
      <c r="C38" s="3"/>
      <c r="D38" s="3"/>
      <c r="E38" s="4">
        <f t="shared" si="0"/>
        <v>0</v>
      </c>
      <c r="F38" s="3"/>
      <c r="G38" s="3"/>
      <c r="H38" s="3"/>
      <c r="I38" s="3"/>
      <c r="J38" s="3"/>
      <c r="K38" s="3"/>
      <c r="L38" s="3"/>
      <c r="M38" s="5">
        <f t="shared" si="1"/>
        <v>0</v>
      </c>
      <c r="N38" s="28" t="e">
        <f t="shared" si="2"/>
        <v>#DIV/0!</v>
      </c>
      <c r="O38" s="7"/>
      <c r="P38" s="7"/>
      <c r="Q38" s="7"/>
      <c r="R38" s="7"/>
      <c r="S38" s="3"/>
      <c r="T38" s="37"/>
      <c r="U38" s="28" t="e">
        <f t="shared" si="3"/>
        <v>#DIV/0!</v>
      </c>
      <c r="V38" s="59">
        <f t="shared" si="4"/>
        <v>0</v>
      </c>
    </row>
    <row r="39" spans="1:22" ht="21.75" customHeight="1">
      <c r="A39" s="87"/>
      <c r="B39" s="7" t="s">
        <v>14</v>
      </c>
      <c r="C39" s="3"/>
      <c r="D39" s="3"/>
      <c r="E39" s="4">
        <f t="shared" si="0"/>
        <v>0</v>
      </c>
      <c r="F39" s="3"/>
      <c r="G39" s="3"/>
      <c r="H39" s="3"/>
      <c r="I39" s="3"/>
      <c r="J39" s="3"/>
      <c r="K39" s="3"/>
      <c r="L39" s="3"/>
      <c r="M39" s="5">
        <f t="shared" si="1"/>
        <v>0</v>
      </c>
      <c r="N39" s="28" t="e">
        <f t="shared" si="2"/>
        <v>#DIV/0!</v>
      </c>
      <c r="O39" s="7"/>
      <c r="P39" s="7"/>
      <c r="Q39" s="7"/>
      <c r="R39" s="7"/>
      <c r="S39" s="3"/>
      <c r="T39" s="37"/>
      <c r="U39" s="28" t="e">
        <f t="shared" si="3"/>
        <v>#DIV/0!</v>
      </c>
      <c r="V39" s="59">
        <f t="shared" si="4"/>
        <v>0</v>
      </c>
    </row>
    <row r="40" spans="1:22" ht="21.75" customHeight="1">
      <c r="A40" s="87">
        <v>11</v>
      </c>
      <c r="B40" s="7" t="s">
        <v>12</v>
      </c>
      <c r="C40" s="3"/>
      <c r="D40" s="3"/>
      <c r="E40" s="4">
        <f t="shared" si="0"/>
        <v>0</v>
      </c>
      <c r="F40" s="3"/>
      <c r="G40" s="3"/>
      <c r="H40" s="3"/>
      <c r="I40" s="3"/>
      <c r="J40" s="3"/>
      <c r="K40" s="3"/>
      <c r="L40" s="3"/>
      <c r="M40" s="5">
        <f t="shared" si="1"/>
        <v>0</v>
      </c>
      <c r="N40" s="28" t="e">
        <f t="shared" si="2"/>
        <v>#DIV/0!</v>
      </c>
      <c r="O40" s="7"/>
      <c r="P40" s="7"/>
      <c r="Q40" s="7"/>
      <c r="R40" s="7"/>
      <c r="S40" s="3"/>
      <c r="T40" s="37"/>
      <c r="U40" s="28" t="e">
        <f t="shared" si="3"/>
        <v>#DIV/0!</v>
      </c>
      <c r="V40" s="59">
        <f t="shared" si="4"/>
        <v>0</v>
      </c>
    </row>
    <row r="41" spans="1:22" ht="21.75" customHeight="1">
      <c r="A41" s="87"/>
      <c r="B41" s="7" t="s">
        <v>13</v>
      </c>
      <c r="C41" s="3"/>
      <c r="D41" s="3"/>
      <c r="E41" s="4">
        <f t="shared" si="0"/>
        <v>0</v>
      </c>
      <c r="F41" s="3"/>
      <c r="G41" s="3"/>
      <c r="H41" s="3"/>
      <c r="I41" s="3"/>
      <c r="J41" s="3"/>
      <c r="K41" s="3"/>
      <c r="L41" s="3"/>
      <c r="M41" s="5">
        <f t="shared" si="1"/>
        <v>0</v>
      </c>
      <c r="N41" s="28" t="e">
        <f t="shared" si="2"/>
        <v>#DIV/0!</v>
      </c>
      <c r="O41" s="7"/>
      <c r="P41" s="7"/>
      <c r="Q41" s="7"/>
      <c r="R41" s="7"/>
      <c r="S41" s="3"/>
      <c r="T41" s="37"/>
      <c r="U41" s="28" t="e">
        <f t="shared" si="3"/>
        <v>#DIV/0!</v>
      </c>
      <c r="V41" s="59">
        <f t="shared" si="4"/>
        <v>0</v>
      </c>
    </row>
    <row r="42" spans="1:22" ht="21.75" customHeight="1">
      <c r="A42" s="87"/>
      <c r="B42" s="7" t="s">
        <v>14</v>
      </c>
      <c r="C42" s="3"/>
      <c r="D42" s="3"/>
      <c r="E42" s="4">
        <f t="shared" si="0"/>
        <v>0</v>
      </c>
      <c r="F42" s="3"/>
      <c r="G42" s="3"/>
      <c r="H42" s="3"/>
      <c r="I42" s="3"/>
      <c r="J42" s="3"/>
      <c r="K42" s="3"/>
      <c r="L42" s="3"/>
      <c r="M42" s="5">
        <f t="shared" si="1"/>
        <v>0</v>
      </c>
      <c r="N42" s="28" t="e">
        <f t="shared" si="2"/>
        <v>#DIV/0!</v>
      </c>
      <c r="O42" s="7"/>
      <c r="P42" s="7"/>
      <c r="Q42" s="7"/>
      <c r="R42" s="7"/>
      <c r="S42" s="3"/>
      <c r="T42" s="37"/>
      <c r="U42" s="28" t="e">
        <f t="shared" si="3"/>
        <v>#DIV/0!</v>
      </c>
      <c r="V42" s="59">
        <f t="shared" si="4"/>
        <v>0</v>
      </c>
    </row>
    <row r="43" spans="1:22" ht="21.75" customHeight="1">
      <c r="A43" s="87">
        <v>12</v>
      </c>
      <c r="B43" s="7" t="s">
        <v>12</v>
      </c>
      <c r="C43" s="3"/>
      <c r="D43" s="3"/>
      <c r="E43" s="4">
        <f t="shared" si="0"/>
        <v>0</v>
      </c>
      <c r="F43" s="3"/>
      <c r="G43" s="3"/>
      <c r="H43" s="3"/>
      <c r="I43" s="3"/>
      <c r="J43" s="3"/>
      <c r="K43" s="3"/>
      <c r="L43" s="3"/>
      <c r="M43" s="5">
        <f t="shared" si="1"/>
        <v>0</v>
      </c>
      <c r="N43" s="28" t="e">
        <f t="shared" si="2"/>
        <v>#DIV/0!</v>
      </c>
      <c r="O43" s="7"/>
      <c r="P43" s="7"/>
      <c r="Q43" s="7"/>
      <c r="R43" s="7"/>
      <c r="S43" s="3"/>
      <c r="T43" s="37"/>
      <c r="U43" s="28" t="e">
        <f t="shared" si="3"/>
        <v>#DIV/0!</v>
      </c>
      <c r="V43" s="59">
        <f t="shared" si="4"/>
        <v>0</v>
      </c>
    </row>
    <row r="44" spans="1:22" ht="21.75" customHeight="1">
      <c r="A44" s="87"/>
      <c r="B44" s="7" t="s">
        <v>13</v>
      </c>
      <c r="C44" s="3"/>
      <c r="D44" s="3"/>
      <c r="E44" s="4">
        <f t="shared" si="0"/>
        <v>0</v>
      </c>
      <c r="F44" s="3"/>
      <c r="G44" s="3"/>
      <c r="H44" s="3"/>
      <c r="I44" s="3"/>
      <c r="J44" s="3"/>
      <c r="K44" s="3"/>
      <c r="L44" s="3"/>
      <c r="M44" s="5">
        <f t="shared" si="1"/>
        <v>0</v>
      </c>
      <c r="N44" s="28" t="e">
        <f t="shared" si="2"/>
        <v>#DIV/0!</v>
      </c>
      <c r="O44" s="7"/>
      <c r="P44" s="7"/>
      <c r="Q44" s="7"/>
      <c r="R44" s="7"/>
      <c r="S44" s="3"/>
      <c r="T44" s="37"/>
      <c r="U44" s="28" t="e">
        <f t="shared" si="3"/>
        <v>#DIV/0!</v>
      </c>
      <c r="V44" s="59">
        <f t="shared" si="4"/>
        <v>0</v>
      </c>
    </row>
    <row r="45" spans="1:22" ht="21.75" customHeight="1">
      <c r="A45" s="87"/>
      <c r="B45" s="7" t="s">
        <v>14</v>
      </c>
      <c r="C45" s="3"/>
      <c r="D45" s="3"/>
      <c r="E45" s="4">
        <f t="shared" si="0"/>
        <v>0</v>
      </c>
      <c r="F45" s="3"/>
      <c r="G45" s="3"/>
      <c r="H45" s="3"/>
      <c r="I45" s="3"/>
      <c r="J45" s="3"/>
      <c r="K45" s="3"/>
      <c r="L45" s="3"/>
      <c r="M45" s="5">
        <f t="shared" si="1"/>
        <v>0</v>
      </c>
      <c r="N45" s="28" t="e">
        <f t="shared" si="2"/>
        <v>#DIV/0!</v>
      </c>
      <c r="O45" s="7"/>
      <c r="P45" s="7"/>
      <c r="Q45" s="7"/>
      <c r="R45" s="7"/>
      <c r="S45" s="3"/>
      <c r="T45" s="37"/>
      <c r="U45" s="28" t="e">
        <f t="shared" si="3"/>
        <v>#DIV/0!</v>
      </c>
      <c r="V45" s="59">
        <f t="shared" si="4"/>
        <v>0</v>
      </c>
    </row>
    <row r="46" spans="1:22" ht="21.75" customHeight="1">
      <c r="A46" s="87">
        <v>13</v>
      </c>
      <c r="B46" s="7" t="s">
        <v>12</v>
      </c>
      <c r="C46" s="3"/>
      <c r="D46" s="3"/>
      <c r="E46" s="4">
        <f t="shared" si="0"/>
        <v>0</v>
      </c>
      <c r="F46" s="3"/>
      <c r="G46" s="3"/>
      <c r="H46" s="3"/>
      <c r="I46" s="3"/>
      <c r="J46" s="3"/>
      <c r="K46" s="3"/>
      <c r="L46" s="3"/>
      <c r="M46" s="5">
        <f t="shared" si="1"/>
        <v>0</v>
      </c>
      <c r="N46" s="28" t="e">
        <f t="shared" si="2"/>
        <v>#DIV/0!</v>
      </c>
      <c r="O46" s="7"/>
      <c r="P46" s="7"/>
      <c r="Q46" s="7"/>
      <c r="R46" s="7"/>
      <c r="S46" s="3"/>
      <c r="T46" s="37"/>
      <c r="U46" s="28" t="e">
        <f t="shared" si="3"/>
        <v>#DIV/0!</v>
      </c>
      <c r="V46" s="59">
        <f t="shared" si="4"/>
        <v>0</v>
      </c>
    </row>
    <row r="47" spans="1:22" ht="21.75" customHeight="1">
      <c r="A47" s="87"/>
      <c r="B47" s="7" t="s">
        <v>13</v>
      </c>
      <c r="C47" s="3"/>
      <c r="D47" s="3"/>
      <c r="E47" s="4">
        <f t="shared" si="0"/>
        <v>0</v>
      </c>
      <c r="F47" s="3"/>
      <c r="G47" s="3"/>
      <c r="H47" s="3"/>
      <c r="I47" s="3"/>
      <c r="J47" s="3"/>
      <c r="K47" s="3"/>
      <c r="L47" s="3"/>
      <c r="M47" s="5">
        <f t="shared" si="1"/>
        <v>0</v>
      </c>
      <c r="N47" s="28" t="e">
        <f t="shared" si="2"/>
        <v>#DIV/0!</v>
      </c>
      <c r="O47" s="7"/>
      <c r="P47" s="7"/>
      <c r="Q47" s="7"/>
      <c r="R47" s="7"/>
      <c r="S47" s="3"/>
      <c r="T47" s="37"/>
      <c r="U47" s="28" t="e">
        <f t="shared" si="3"/>
        <v>#DIV/0!</v>
      </c>
      <c r="V47" s="59">
        <f t="shared" si="4"/>
        <v>0</v>
      </c>
    </row>
    <row r="48" spans="1:22" ht="21.75" customHeight="1">
      <c r="A48" s="87"/>
      <c r="B48" s="7" t="s">
        <v>14</v>
      </c>
      <c r="C48" s="3"/>
      <c r="D48" s="3"/>
      <c r="E48" s="4">
        <f t="shared" si="0"/>
        <v>0</v>
      </c>
      <c r="F48" s="3"/>
      <c r="G48" s="3"/>
      <c r="H48" s="3"/>
      <c r="I48" s="3"/>
      <c r="J48" s="3"/>
      <c r="K48" s="3"/>
      <c r="L48" s="3"/>
      <c r="M48" s="5">
        <f t="shared" si="1"/>
        <v>0</v>
      </c>
      <c r="N48" s="28" t="e">
        <f t="shared" si="2"/>
        <v>#DIV/0!</v>
      </c>
      <c r="O48" s="7"/>
      <c r="P48" s="7"/>
      <c r="Q48" s="7"/>
      <c r="R48" s="7"/>
      <c r="S48" s="3"/>
      <c r="T48" s="37"/>
      <c r="U48" s="28" t="e">
        <f t="shared" si="3"/>
        <v>#DIV/0!</v>
      </c>
      <c r="V48" s="59">
        <f t="shared" si="4"/>
        <v>0</v>
      </c>
    </row>
    <row r="49" spans="1:22" ht="21.75" customHeight="1">
      <c r="A49" s="87">
        <v>14</v>
      </c>
      <c r="B49" s="7" t="s">
        <v>12</v>
      </c>
      <c r="C49" s="3"/>
      <c r="D49" s="3"/>
      <c r="E49" s="4">
        <f t="shared" si="0"/>
        <v>0</v>
      </c>
      <c r="F49" s="3"/>
      <c r="G49" s="3"/>
      <c r="H49" s="3"/>
      <c r="I49" s="3"/>
      <c r="J49" s="3"/>
      <c r="K49" s="3"/>
      <c r="L49" s="3"/>
      <c r="M49" s="5">
        <f t="shared" si="1"/>
        <v>0</v>
      </c>
      <c r="N49" s="28" t="e">
        <f t="shared" si="2"/>
        <v>#DIV/0!</v>
      </c>
      <c r="O49" s="7"/>
      <c r="P49" s="7"/>
      <c r="Q49" s="7"/>
      <c r="R49" s="7"/>
      <c r="S49" s="3"/>
      <c r="T49" s="37"/>
      <c r="U49" s="28" t="e">
        <f t="shared" si="3"/>
        <v>#DIV/0!</v>
      </c>
      <c r="V49" s="59">
        <f t="shared" si="4"/>
        <v>0</v>
      </c>
    </row>
    <row r="50" spans="1:22" ht="21.75" customHeight="1">
      <c r="A50" s="87"/>
      <c r="B50" s="7" t="s">
        <v>13</v>
      </c>
      <c r="C50" s="3"/>
      <c r="D50" s="3"/>
      <c r="E50" s="4">
        <f t="shared" si="0"/>
        <v>0</v>
      </c>
      <c r="F50" s="3"/>
      <c r="G50" s="3"/>
      <c r="H50" s="3"/>
      <c r="I50" s="3"/>
      <c r="J50" s="3"/>
      <c r="K50" s="3"/>
      <c r="L50" s="3"/>
      <c r="M50" s="5">
        <f t="shared" si="1"/>
        <v>0</v>
      </c>
      <c r="N50" s="28" t="e">
        <f t="shared" si="2"/>
        <v>#DIV/0!</v>
      </c>
      <c r="O50" s="7"/>
      <c r="P50" s="7"/>
      <c r="Q50" s="7"/>
      <c r="R50" s="7"/>
      <c r="S50" s="3"/>
      <c r="T50" s="37"/>
      <c r="U50" s="28" t="e">
        <f t="shared" si="3"/>
        <v>#DIV/0!</v>
      </c>
      <c r="V50" s="59">
        <f t="shared" si="4"/>
        <v>0</v>
      </c>
    </row>
    <row r="51" spans="1:22" ht="21.75" customHeight="1">
      <c r="A51" s="87"/>
      <c r="B51" s="7" t="s">
        <v>14</v>
      </c>
      <c r="C51" s="3"/>
      <c r="D51" s="3"/>
      <c r="E51" s="4">
        <f t="shared" si="0"/>
        <v>0</v>
      </c>
      <c r="F51" s="3"/>
      <c r="G51" s="3"/>
      <c r="H51" s="3"/>
      <c r="I51" s="3"/>
      <c r="J51" s="3"/>
      <c r="K51" s="3"/>
      <c r="L51" s="3"/>
      <c r="M51" s="5">
        <f t="shared" si="1"/>
        <v>0</v>
      </c>
      <c r="N51" s="28" t="e">
        <f t="shared" si="2"/>
        <v>#DIV/0!</v>
      </c>
      <c r="O51" s="7"/>
      <c r="P51" s="7"/>
      <c r="Q51" s="7"/>
      <c r="R51" s="7"/>
      <c r="S51" s="3"/>
      <c r="T51" s="37"/>
      <c r="U51" s="28" t="e">
        <f t="shared" si="3"/>
        <v>#DIV/0!</v>
      </c>
      <c r="V51" s="59">
        <f t="shared" si="4"/>
        <v>0</v>
      </c>
    </row>
    <row r="52" spans="1:22" ht="21.75" customHeight="1">
      <c r="A52" s="87">
        <v>15</v>
      </c>
      <c r="B52" s="7" t="s">
        <v>12</v>
      </c>
      <c r="C52" s="3"/>
      <c r="D52" s="3"/>
      <c r="E52" s="4">
        <f t="shared" si="0"/>
        <v>0</v>
      </c>
      <c r="F52" s="3"/>
      <c r="G52" s="3"/>
      <c r="H52" s="3"/>
      <c r="I52" s="3"/>
      <c r="J52" s="3"/>
      <c r="K52" s="3"/>
      <c r="L52" s="3"/>
      <c r="M52" s="5">
        <f t="shared" si="1"/>
        <v>0</v>
      </c>
      <c r="N52" s="28" t="e">
        <f t="shared" si="2"/>
        <v>#DIV/0!</v>
      </c>
      <c r="O52" s="7"/>
      <c r="P52" s="7"/>
      <c r="Q52" s="7"/>
      <c r="R52" s="7"/>
      <c r="S52" s="3"/>
      <c r="T52" s="37"/>
      <c r="U52" s="28" t="e">
        <f t="shared" si="3"/>
        <v>#DIV/0!</v>
      </c>
      <c r="V52" s="59">
        <f t="shared" si="4"/>
        <v>0</v>
      </c>
    </row>
    <row r="53" spans="1:22" ht="21.75" customHeight="1">
      <c r="A53" s="87"/>
      <c r="B53" s="7" t="s">
        <v>13</v>
      </c>
      <c r="C53" s="3"/>
      <c r="D53" s="3"/>
      <c r="E53" s="4">
        <f t="shared" si="0"/>
        <v>0</v>
      </c>
      <c r="F53" s="3"/>
      <c r="G53" s="3"/>
      <c r="H53" s="3"/>
      <c r="I53" s="3"/>
      <c r="J53" s="3"/>
      <c r="K53" s="3"/>
      <c r="L53" s="3"/>
      <c r="M53" s="5">
        <f t="shared" si="1"/>
        <v>0</v>
      </c>
      <c r="N53" s="28" t="e">
        <f t="shared" si="2"/>
        <v>#DIV/0!</v>
      </c>
      <c r="O53" s="7"/>
      <c r="P53" s="7"/>
      <c r="Q53" s="7"/>
      <c r="R53" s="7"/>
      <c r="S53" s="3"/>
      <c r="T53" s="37"/>
      <c r="U53" s="28" t="e">
        <f t="shared" si="3"/>
        <v>#DIV/0!</v>
      </c>
      <c r="V53" s="59">
        <f t="shared" si="4"/>
        <v>0</v>
      </c>
    </row>
    <row r="54" spans="1:22" ht="21.75" customHeight="1">
      <c r="A54" s="87"/>
      <c r="B54" s="7" t="s">
        <v>14</v>
      </c>
      <c r="C54" s="3"/>
      <c r="D54" s="3"/>
      <c r="E54" s="4">
        <f t="shared" si="0"/>
        <v>0</v>
      </c>
      <c r="F54" s="3"/>
      <c r="G54" s="3"/>
      <c r="H54" s="3"/>
      <c r="I54" s="3"/>
      <c r="J54" s="3"/>
      <c r="K54" s="3"/>
      <c r="L54" s="3"/>
      <c r="M54" s="5">
        <f t="shared" si="1"/>
        <v>0</v>
      </c>
      <c r="N54" s="28" t="e">
        <f t="shared" si="2"/>
        <v>#DIV/0!</v>
      </c>
      <c r="O54" s="7"/>
      <c r="P54" s="7"/>
      <c r="Q54" s="7"/>
      <c r="R54" s="7"/>
      <c r="S54" s="3"/>
      <c r="T54" s="37"/>
      <c r="U54" s="28" t="e">
        <f t="shared" si="3"/>
        <v>#DIV/0!</v>
      </c>
      <c r="V54" s="59">
        <f t="shared" si="4"/>
        <v>0</v>
      </c>
    </row>
    <row r="55" spans="1:22" ht="21.75" customHeight="1">
      <c r="A55" s="87">
        <v>16</v>
      </c>
      <c r="B55" s="7" t="s">
        <v>12</v>
      </c>
      <c r="C55" s="3"/>
      <c r="D55" s="3"/>
      <c r="E55" s="4">
        <f t="shared" si="0"/>
        <v>0</v>
      </c>
      <c r="F55" s="3"/>
      <c r="G55" s="3"/>
      <c r="H55" s="3"/>
      <c r="I55" s="3"/>
      <c r="J55" s="3"/>
      <c r="K55" s="3"/>
      <c r="L55" s="3"/>
      <c r="M55" s="5">
        <f t="shared" si="1"/>
        <v>0</v>
      </c>
      <c r="N55" s="28" t="e">
        <f t="shared" si="2"/>
        <v>#DIV/0!</v>
      </c>
      <c r="O55" s="7"/>
      <c r="P55" s="7"/>
      <c r="Q55" s="7"/>
      <c r="R55" s="7"/>
      <c r="S55" s="3"/>
      <c r="T55" s="37"/>
      <c r="U55" s="28" t="e">
        <f t="shared" si="3"/>
        <v>#DIV/0!</v>
      </c>
      <c r="V55" s="59">
        <f t="shared" si="4"/>
        <v>0</v>
      </c>
    </row>
    <row r="56" spans="1:22" ht="21.75" customHeight="1">
      <c r="A56" s="87"/>
      <c r="B56" s="7" t="s">
        <v>13</v>
      </c>
      <c r="C56" s="3"/>
      <c r="D56" s="3"/>
      <c r="E56" s="4">
        <f t="shared" si="0"/>
        <v>0</v>
      </c>
      <c r="F56" s="3"/>
      <c r="G56" s="3"/>
      <c r="H56" s="3"/>
      <c r="I56" s="3"/>
      <c r="J56" s="3"/>
      <c r="K56" s="3"/>
      <c r="L56" s="3"/>
      <c r="M56" s="5">
        <f t="shared" si="1"/>
        <v>0</v>
      </c>
      <c r="N56" s="28" t="e">
        <f t="shared" si="2"/>
        <v>#DIV/0!</v>
      </c>
      <c r="O56" s="7"/>
      <c r="P56" s="7"/>
      <c r="Q56" s="7"/>
      <c r="R56" s="7"/>
      <c r="S56" s="3"/>
      <c r="T56" s="37"/>
      <c r="U56" s="28" t="e">
        <f t="shared" si="3"/>
        <v>#DIV/0!</v>
      </c>
      <c r="V56" s="59">
        <f t="shared" si="4"/>
        <v>0</v>
      </c>
    </row>
    <row r="57" spans="1:22" ht="21.75" customHeight="1">
      <c r="A57" s="87"/>
      <c r="B57" s="7" t="s">
        <v>14</v>
      </c>
      <c r="C57" s="3"/>
      <c r="D57" s="3"/>
      <c r="E57" s="4">
        <f t="shared" si="0"/>
        <v>0</v>
      </c>
      <c r="F57" s="3"/>
      <c r="G57" s="3"/>
      <c r="H57" s="3"/>
      <c r="I57" s="3"/>
      <c r="J57" s="3"/>
      <c r="K57" s="3"/>
      <c r="L57" s="3"/>
      <c r="M57" s="5">
        <f t="shared" si="1"/>
        <v>0</v>
      </c>
      <c r="N57" s="28" t="e">
        <f t="shared" si="2"/>
        <v>#DIV/0!</v>
      </c>
      <c r="O57" s="7"/>
      <c r="P57" s="7"/>
      <c r="Q57" s="7"/>
      <c r="R57" s="7"/>
      <c r="S57" s="3"/>
      <c r="T57" s="37"/>
      <c r="U57" s="28" t="e">
        <f t="shared" si="3"/>
        <v>#DIV/0!</v>
      </c>
      <c r="V57" s="59">
        <f t="shared" si="4"/>
        <v>0</v>
      </c>
    </row>
    <row r="58" spans="1:22" ht="21.75" customHeight="1">
      <c r="A58" s="87">
        <v>17</v>
      </c>
      <c r="B58" s="7" t="s">
        <v>12</v>
      </c>
      <c r="C58" s="3"/>
      <c r="D58" s="3"/>
      <c r="E58" s="4">
        <f t="shared" si="0"/>
        <v>0</v>
      </c>
      <c r="F58" s="3"/>
      <c r="G58" s="3"/>
      <c r="H58" s="3"/>
      <c r="I58" s="3"/>
      <c r="J58" s="3"/>
      <c r="K58" s="3"/>
      <c r="L58" s="3"/>
      <c r="M58" s="5">
        <f t="shared" si="1"/>
        <v>0</v>
      </c>
      <c r="N58" s="28" t="e">
        <f t="shared" si="2"/>
        <v>#DIV/0!</v>
      </c>
      <c r="O58" s="7"/>
      <c r="P58" s="7"/>
      <c r="Q58" s="7"/>
      <c r="R58" s="7"/>
      <c r="S58" s="3"/>
      <c r="T58" s="37"/>
      <c r="U58" s="28" t="e">
        <f t="shared" si="3"/>
        <v>#DIV/0!</v>
      </c>
      <c r="V58" s="59">
        <f t="shared" si="4"/>
        <v>0</v>
      </c>
    </row>
    <row r="59" spans="1:22" ht="21.75" customHeight="1">
      <c r="A59" s="87"/>
      <c r="B59" s="7" t="s">
        <v>13</v>
      </c>
      <c r="C59" s="3"/>
      <c r="D59" s="3"/>
      <c r="E59" s="4">
        <f t="shared" si="0"/>
        <v>0</v>
      </c>
      <c r="F59" s="3"/>
      <c r="G59" s="3"/>
      <c r="H59" s="3"/>
      <c r="I59" s="3"/>
      <c r="J59" s="3"/>
      <c r="K59" s="3"/>
      <c r="L59" s="3"/>
      <c r="M59" s="5">
        <f t="shared" si="1"/>
        <v>0</v>
      </c>
      <c r="N59" s="28" t="e">
        <f t="shared" si="2"/>
        <v>#DIV/0!</v>
      </c>
      <c r="O59" s="7"/>
      <c r="P59" s="7"/>
      <c r="Q59" s="7"/>
      <c r="R59" s="7"/>
      <c r="S59" s="3"/>
      <c r="T59" s="37"/>
      <c r="U59" s="28" t="e">
        <f t="shared" si="3"/>
        <v>#DIV/0!</v>
      </c>
      <c r="V59" s="59">
        <f t="shared" si="4"/>
        <v>0</v>
      </c>
    </row>
    <row r="60" spans="1:22" ht="21.75" customHeight="1">
      <c r="A60" s="87"/>
      <c r="B60" s="7" t="s">
        <v>14</v>
      </c>
      <c r="C60" s="3"/>
      <c r="D60" s="3"/>
      <c r="E60" s="4">
        <f t="shared" si="0"/>
        <v>0</v>
      </c>
      <c r="F60" s="3"/>
      <c r="G60" s="3"/>
      <c r="H60" s="3"/>
      <c r="I60" s="3"/>
      <c r="J60" s="3"/>
      <c r="K60" s="3"/>
      <c r="L60" s="3"/>
      <c r="M60" s="5">
        <f t="shared" si="1"/>
        <v>0</v>
      </c>
      <c r="N60" s="28" t="e">
        <f t="shared" si="2"/>
        <v>#DIV/0!</v>
      </c>
      <c r="O60" s="7"/>
      <c r="P60" s="7"/>
      <c r="Q60" s="7"/>
      <c r="R60" s="7"/>
      <c r="S60" s="3"/>
      <c r="T60" s="37"/>
      <c r="U60" s="28" t="e">
        <f t="shared" si="3"/>
        <v>#DIV/0!</v>
      </c>
      <c r="V60" s="59">
        <f t="shared" si="4"/>
        <v>0</v>
      </c>
    </row>
    <row r="61" spans="1:22" ht="21.75" customHeight="1">
      <c r="A61" s="87">
        <v>18</v>
      </c>
      <c r="B61" s="7" t="s">
        <v>12</v>
      </c>
      <c r="C61" s="3"/>
      <c r="D61" s="3"/>
      <c r="E61" s="4">
        <f t="shared" si="0"/>
        <v>0</v>
      </c>
      <c r="F61" s="3"/>
      <c r="G61" s="3"/>
      <c r="H61" s="3"/>
      <c r="I61" s="3"/>
      <c r="J61" s="3"/>
      <c r="K61" s="3"/>
      <c r="L61" s="3"/>
      <c r="M61" s="5">
        <f t="shared" si="1"/>
        <v>0</v>
      </c>
      <c r="N61" s="28" t="e">
        <f t="shared" si="2"/>
        <v>#DIV/0!</v>
      </c>
      <c r="O61" s="7"/>
      <c r="P61" s="7"/>
      <c r="Q61" s="7"/>
      <c r="R61" s="7"/>
      <c r="S61" s="3"/>
      <c r="T61" s="37"/>
      <c r="U61" s="28" t="e">
        <f t="shared" si="3"/>
        <v>#DIV/0!</v>
      </c>
      <c r="V61" s="59">
        <f t="shared" si="4"/>
        <v>0</v>
      </c>
    </row>
    <row r="62" spans="1:22" ht="21.75" customHeight="1">
      <c r="A62" s="87"/>
      <c r="B62" s="7" t="s">
        <v>13</v>
      </c>
      <c r="C62" s="3"/>
      <c r="D62" s="3"/>
      <c r="E62" s="4">
        <f t="shared" si="0"/>
        <v>0</v>
      </c>
      <c r="F62" s="3"/>
      <c r="G62" s="3"/>
      <c r="H62" s="3"/>
      <c r="I62" s="3"/>
      <c r="J62" s="3"/>
      <c r="K62" s="3"/>
      <c r="L62" s="3"/>
      <c r="M62" s="5">
        <f t="shared" si="1"/>
        <v>0</v>
      </c>
      <c r="N62" s="28" t="e">
        <f t="shared" si="2"/>
        <v>#DIV/0!</v>
      </c>
      <c r="O62" s="7"/>
      <c r="P62" s="7"/>
      <c r="Q62" s="7"/>
      <c r="R62" s="7"/>
      <c r="S62" s="3"/>
      <c r="T62" s="37"/>
      <c r="U62" s="28" t="e">
        <f t="shared" si="3"/>
        <v>#DIV/0!</v>
      </c>
      <c r="V62" s="59">
        <f t="shared" si="4"/>
        <v>0</v>
      </c>
    </row>
    <row r="63" spans="1:22" ht="21.75" customHeight="1">
      <c r="A63" s="87"/>
      <c r="B63" s="7" t="s">
        <v>14</v>
      </c>
      <c r="C63" s="3"/>
      <c r="D63" s="3"/>
      <c r="E63" s="4">
        <f t="shared" si="0"/>
        <v>0</v>
      </c>
      <c r="F63" s="3"/>
      <c r="G63" s="3"/>
      <c r="H63" s="3"/>
      <c r="I63" s="3"/>
      <c r="J63" s="3"/>
      <c r="K63" s="3"/>
      <c r="L63" s="3"/>
      <c r="M63" s="5">
        <f t="shared" si="1"/>
        <v>0</v>
      </c>
      <c r="N63" s="28" t="e">
        <f t="shared" si="2"/>
        <v>#DIV/0!</v>
      </c>
      <c r="O63" s="7"/>
      <c r="P63" s="7"/>
      <c r="Q63" s="7"/>
      <c r="R63" s="7"/>
      <c r="S63" s="3"/>
      <c r="T63" s="37"/>
      <c r="U63" s="28" t="e">
        <f t="shared" si="3"/>
        <v>#DIV/0!</v>
      </c>
      <c r="V63" s="59">
        <f t="shared" si="4"/>
        <v>0</v>
      </c>
    </row>
    <row r="64" spans="1:22" ht="21.75" customHeight="1">
      <c r="A64" s="87">
        <v>19</v>
      </c>
      <c r="B64" s="7" t="s">
        <v>12</v>
      </c>
      <c r="C64" s="3"/>
      <c r="D64" s="3"/>
      <c r="E64" s="4">
        <f t="shared" si="0"/>
        <v>0</v>
      </c>
      <c r="F64" s="3"/>
      <c r="G64" s="3"/>
      <c r="H64" s="3"/>
      <c r="I64" s="3"/>
      <c r="J64" s="3"/>
      <c r="K64" s="3"/>
      <c r="L64" s="3"/>
      <c r="M64" s="5">
        <f t="shared" si="1"/>
        <v>0</v>
      </c>
      <c r="N64" s="28" t="e">
        <f t="shared" si="2"/>
        <v>#DIV/0!</v>
      </c>
      <c r="O64" s="7"/>
      <c r="P64" s="7"/>
      <c r="Q64" s="7"/>
      <c r="R64" s="7"/>
      <c r="S64" s="3"/>
      <c r="T64" s="37"/>
      <c r="U64" s="28" t="e">
        <f t="shared" si="3"/>
        <v>#DIV/0!</v>
      </c>
      <c r="V64" s="59">
        <f t="shared" si="4"/>
        <v>0</v>
      </c>
    </row>
    <row r="65" spans="1:22" ht="21.75" customHeight="1">
      <c r="A65" s="87"/>
      <c r="B65" s="7" t="s">
        <v>13</v>
      </c>
      <c r="C65" s="3"/>
      <c r="D65" s="3"/>
      <c r="E65" s="4">
        <f t="shared" si="0"/>
        <v>0</v>
      </c>
      <c r="F65" s="3"/>
      <c r="G65" s="3"/>
      <c r="H65" s="3"/>
      <c r="I65" s="3"/>
      <c r="J65" s="3"/>
      <c r="K65" s="3"/>
      <c r="L65" s="3"/>
      <c r="M65" s="5">
        <f t="shared" si="1"/>
        <v>0</v>
      </c>
      <c r="N65" s="28" t="e">
        <f t="shared" si="2"/>
        <v>#DIV/0!</v>
      </c>
      <c r="O65" s="7"/>
      <c r="P65" s="7"/>
      <c r="Q65" s="7"/>
      <c r="R65" s="7"/>
      <c r="S65" s="3"/>
      <c r="T65" s="37"/>
      <c r="U65" s="28" t="e">
        <f t="shared" si="3"/>
        <v>#DIV/0!</v>
      </c>
      <c r="V65" s="59">
        <f t="shared" si="4"/>
        <v>0</v>
      </c>
    </row>
    <row r="66" spans="1:22" ht="21.75" customHeight="1">
      <c r="A66" s="87"/>
      <c r="B66" s="7" t="s">
        <v>14</v>
      </c>
      <c r="C66" s="3"/>
      <c r="D66" s="3"/>
      <c r="E66" s="4">
        <f t="shared" si="0"/>
        <v>0</v>
      </c>
      <c r="F66" s="3"/>
      <c r="G66" s="3"/>
      <c r="H66" s="3"/>
      <c r="I66" s="3"/>
      <c r="J66" s="3"/>
      <c r="K66" s="3"/>
      <c r="L66" s="3"/>
      <c r="M66" s="5">
        <f t="shared" si="1"/>
        <v>0</v>
      </c>
      <c r="N66" s="28" t="e">
        <f t="shared" si="2"/>
        <v>#DIV/0!</v>
      </c>
      <c r="O66" s="7"/>
      <c r="P66" s="7"/>
      <c r="Q66" s="7"/>
      <c r="R66" s="7"/>
      <c r="S66" s="3"/>
      <c r="T66" s="37"/>
      <c r="U66" s="28" t="e">
        <f t="shared" si="3"/>
        <v>#DIV/0!</v>
      </c>
      <c r="V66" s="59">
        <f t="shared" si="4"/>
        <v>0</v>
      </c>
    </row>
    <row r="67" spans="1:22" ht="21.75" customHeight="1">
      <c r="A67" s="87">
        <v>20</v>
      </c>
      <c r="B67" s="7" t="s">
        <v>12</v>
      </c>
      <c r="C67" s="3"/>
      <c r="D67" s="3"/>
      <c r="E67" s="4">
        <f t="shared" si="0"/>
        <v>0</v>
      </c>
      <c r="F67" s="3"/>
      <c r="G67" s="3"/>
      <c r="H67" s="3"/>
      <c r="I67" s="3"/>
      <c r="J67" s="3"/>
      <c r="K67" s="3"/>
      <c r="L67" s="3"/>
      <c r="M67" s="5">
        <f t="shared" si="1"/>
        <v>0</v>
      </c>
      <c r="N67" s="28" t="e">
        <f t="shared" si="2"/>
        <v>#DIV/0!</v>
      </c>
      <c r="O67" s="7"/>
      <c r="P67" s="7"/>
      <c r="Q67" s="7"/>
      <c r="R67" s="7"/>
      <c r="S67" s="3"/>
      <c r="T67" s="37"/>
      <c r="U67" s="28" t="e">
        <f t="shared" si="3"/>
        <v>#DIV/0!</v>
      </c>
      <c r="V67" s="59">
        <f t="shared" si="4"/>
        <v>0</v>
      </c>
    </row>
    <row r="68" spans="1:22" ht="21.75" customHeight="1">
      <c r="A68" s="87"/>
      <c r="B68" s="7" t="s">
        <v>13</v>
      </c>
      <c r="C68" s="3"/>
      <c r="D68" s="3"/>
      <c r="E68" s="4">
        <f t="shared" si="0"/>
        <v>0</v>
      </c>
      <c r="F68" s="3"/>
      <c r="G68" s="3"/>
      <c r="H68" s="3"/>
      <c r="I68" s="3"/>
      <c r="J68" s="3"/>
      <c r="K68" s="3"/>
      <c r="L68" s="3"/>
      <c r="M68" s="5">
        <f t="shared" si="1"/>
        <v>0</v>
      </c>
      <c r="N68" s="28" t="e">
        <f t="shared" si="2"/>
        <v>#DIV/0!</v>
      </c>
      <c r="O68" s="7"/>
      <c r="P68" s="7"/>
      <c r="Q68" s="7"/>
      <c r="R68" s="7"/>
      <c r="S68" s="3"/>
      <c r="T68" s="37"/>
      <c r="U68" s="28" t="e">
        <f t="shared" si="3"/>
        <v>#DIV/0!</v>
      </c>
      <c r="V68" s="59">
        <f t="shared" si="4"/>
        <v>0</v>
      </c>
    </row>
    <row r="69" spans="1:22" ht="21.75" customHeight="1">
      <c r="A69" s="87"/>
      <c r="B69" s="7" t="s">
        <v>14</v>
      </c>
      <c r="C69" s="3"/>
      <c r="D69" s="3"/>
      <c r="E69" s="4">
        <f t="shared" si="0"/>
        <v>0</v>
      </c>
      <c r="F69" s="3"/>
      <c r="G69" s="3"/>
      <c r="H69" s="3"/>
      <c r="I69" s="3"/>
      <c r="J69" s="3"/>
      <c r="K69" s="3"/>
      <c r="L69" s="3"/>
      <c r="M69" s="5">
        <f t="shared" si="1"/>
        <v>0</v>
      </c>
      <c r="N69" s="28" t="e">
        <f t="shared" si="2"/>
        <v>#DIV/0!</v>
      </c>
      <c r="O69" s="7"/>
      <c r="P69" s="7"/>
      <c r="Q69" s="7"/>
      <c r="R69" s="7"/>
      <c r="S69" s="3"/>
      <c r="T69" s="37"/>
      <c r="U69" s="28" t="e">
        <f t="shared" si="3"/>
        <v>#DIV/0!</v>
      </c>
      <c r="V69" s="59">
        <f t="shared" si="4"/>
        <v>0</v>
      </c>
    </row>
    <row r="70" spans="1:22" ht="21.75" customHeight="1">
      <c r="A70" s="87">
        <v>21</v>
      </c>
      <c r="B70" s="7" t="s">
        <v>12</v>
      </c>
      <c r="C70" s="3"/>
      <c r="D70" s="3"/>
      <c r="E70" s="4">
        <f t="shared" si="0"/>
        <v>0</v>
      </c>
      <c r="F70" s="3"/>
      <c r="G70" s="3"/>
      <c r="H70" s="3"/>
      <c r="I70" s="3"/>
      <c r="J70" s="3"/>
      <c r="K70" s="3"/>
      <c r="L70" s="3"/>
      <c r="M70" s="5">
        <f t="shared" si="1"/>
        <v>0</v>
      </c>
      <c r="N70" s="28" t="e">
        <f t="shared" si="2"/>
        <v>#DIV/0!</v>
      </c>
      <c r="O70" s="7"/>
      <c r="P70" s="7"/>
      <c r="Q70" s="7"/>
      <c r="R70" s="7"/>
      <c r="S70" s="3"/>
      <c r="T70" s="37"/>
      <c r="U70" s="28" t="e">
        <f t="shared" si="3"/>
        <v>#DIV/0!</v>
      </c>
      <c r="V70" s="59">
        <f t="shared" si="4"/>
        <v>0</v>
      </c>
    </row>
    <row r="71" spans="1:22" ht="21.75" customHeight="1">
      <c r="A71" s="87"/>
      <c r="B71" s="7" t="s">
        <v>13</v>
      </c>
      <c r="C71" s="3"/>
      <c r="D71" s="3"/>
      <c r="E71" s="4">
        <f t="shared" si="0"/>
        <v>0</v>
      </c>
      <c r="F71" s="3"/>
      <c r="G71" s="3"/>
      <c r="H71" s="3"/>
      <c r="I71" s="3"/>
      <c r="J71" s="3"/>
      <c r="K71" s="3"/>
      <c r="L71" s="3"/>
      <c r="M71" s="5">
        <f t="shared" si="1"/>
        <v>0</v>
      </c>
      <c r="N71" s="28" t="e">
        <f t="shared" si="2"/>
        <v>#DIV/0!</v>
      </c>
      <c r="O71" s="7"/>
      <c r="P71" s="7"/>
      <c r="Q71" s="7"/>
      <c r="R71" s="7"/>
      <c r="S71" s="3"/>
      <c r="T71" s="37"/>
      <c r="U71" s="28" t="e">
        <f t="shared" si="3"/>
        <v>#DIV/0!</v>
      </c>
      <c r="V71" s="59">
        <f t="shared" si="4"/>
        <v>0</v>
      </c>
    </row>
    <row r="72" spans="1:22" ht="21.75" customHeight="1">
      <c r="A72" s="87"/>
      <c r="B72" s="7" t="s">
        <v>14</v>
      </c>
      <c r="C72" s="3"/>
      <c r="D72" s="3"/>
      <c r="E72" s="4">
        <f t="shared" si="0"/>
        <v>0</v>
      </c>
      <c r="F72" s="3"/>
      <c r="G72" s="3"/>
      <c r="H72" s="3"/>
      <c r="I72" s="3"/>
      <c r="J72" s="3"/>
      <c r="K72" s="3"/>
      <c r="L72" s="3"/>
      <c r="M72" s="5">
        <f t="shared" si="1"/>
        <v>0</v>
      </c>
      <c r="N72" s="28" t="e">
        <f t="shared" si="2"/>
        <v>#DIV/0!</v>
      </c>
      <c r="O72" s="7"/>
      <c r="P72" s="7"/>
      <c r="Q72" s="7"/>
      <c r="R72" s="7"/>
      <c r="S72" s="3"/>
      <c r="T72" s="37"/>
      <c r="U72" s="28" t="e">
        <f t="shared" si="3"/>
        <v>#DIV/0!</v>
      </c>
      <c r="V72" s="59">
        <f t="shared" si="4"/>
        <v>0</v>
      </c>
    </row>
    <row r="73" spans="1:22" ht="21.75" customHeight="1">
      <c r="A73" s="87">
        <v>22</v>
      </c>
      <c r="B73" s="7" t="s">
        <v>12</v>
      </c>
      <c r="C73" s="3"/>
      <c r="D73" s="3"/>
      <c r="E73" s="4">
        <f t="shared" si="0"/>
        <v>0</v>
      </c>
      <c r="F73" s="3"/>
      <c r="G73" s="3"/>
      <c r="H73" s="3"/>
      <c r="I73" s="3"/>
      <c r="J73" s="3"/>
      <c r="K73" s="3"/>
      <c r="L73" s="3"/>
      <c r="M73" s="5">
        <f t="shared" si="1"/>
        <v>0</v>
      </c>
      <c r="N73" s="28" t="e">
        <f t="shared" si="2"/>
        <v>#DIV/0!</v>
      </c>
      <c r="O73" s="7"/>
      <c r="P73" s="7"/>
      <c r="Q73" s="7"/>
      <c r="R73" s="7"/>
      <c r="S73" s="3"/>
      <c r="T73" s="37"/>
      <c r="U73" s="28" t="e">
        <f t="shared" si="3"/>
        <v>#DIV/0!</v>
      </c>
      <c r="V73" s="59">
        <f t="shared" si="4"/>
        <v>0</v>
      </c>
    </row>
    <row r="74" spans="1:22" ht="21.75" customHeight="1">
      <c r="A74" s="87"/>
      <c r="B74" s="7" t="s">
        <v>13</v>
      </c>
      <c r="C74" s="3"/>
      <c r="D74" s="3"/>
      <c r="E74" s="4">
        <f t="shared" si="0"/>
        <v>0</v>
      </c>
      <c r="F74" s="3"/>
      <c r="G74" s="3"/>
      <c r="H74" s="3"/>
      <c r="I74" s="3"/>
      <c r="J74" s="3"/>
      <c r="K74" s="3"/>
      <c r="L74" s="3"/>
      <c r="M74" s="5">
        <f t="shared" si="1"/>
        <v>0</v>
      </c>
      <c r="N74" s="28" t="e">
        <f t="shared" si="2"/>
        <v>#DIV/0!</v>
      </c>
      <c r="O74" s="7"/>
      <c r="P74" s="7"/>
      <c r="Q74" s="7"/>
      <c r="R74" s="7"/>
      <c r="S74" s="3"/>
      <c r="T74" s="37"/>
      <c r="U74" s="28" t="e">
        <f t="shared" si="3"/>
        <v>#DIV/0!</v>
      </c>
      <c r="V74" s="59">
        <f t="shared" si="4"/>
        <v>0</v>
      </c>
    </row>
    <row r="75" spans="1:22" ht="21.75" customHeight="1">
      <c r="A75" s="87"/>
      <c r="B75" s="7" t="s">
        <v>14</v>
      </c>
      <c r="C75" s="3"/>
      <c r="D75" s="3"/>
      <c r="E75" s="4">
        <f t="shared" ref="E75:E102" si="5">((($B$3*C75)+(12*D75))*$E$4)/7</f>
        <v>0</v>
      </c>
      <c r="F75" s="3"/>
      <c r="G75" s="3"/>
      <c r="H75" s="3"/>
      <c r="I75" s="3"/>
      <c r="J75" s="3"/>
      <c r="K75" s="3"/>
      <c r="L75" s="3"/>
      <c r="M75" s="5">
        <f t="shared" ref="M75:M106" si="6">(F75+G75+H75+L75)-E75</f>
        <v>0</v>
      </c>
      <c r="N75" s="28" t="e">
        <f t="shared" ref="N75:N105" si="7">(((C75*4.5)+(12*D75))*$E$4)/((F75+G75+H75+I75+J75+K75+L75)*7)*100</f>
        <v>#DIV/0!</v>
      </c>
      <c r="O75" s="7"/>
      <c r="P75" s="7"/>
      <c r="Q75" s="7"/>
      <c r="R75" s="7"/>
      <c r="S75" s="3"/>
      <c r="T75" s="37"/>
      <c r="U75" s="28" t="e">
        <f t="shared" ref="U75:U106" si="8">((((O75*1.5+(P75*3.5)+(Q75*5.5)+(R75*7.5)+(S75*12)))/3)/((F75+G75+H75+I75+J75+K75+L75)*7))*100</f>
        <v>#DIV/0!</v>
      </c>
      <c r="V75" s="59">
        <f t="shared" ref="V75:V106" si="9">C75+D75-T75</f>
        <v>0</v>
      </c>
    </row>
    <row r="76" spans="1:22" ht="21.75" customHeight="1">
      <c r="A76" s="87">
        <v>23</v>
      </c>
      <c r="B76" s="7" t="s">
        <v>12</v>
      </c>
      <c r="C76" s="3"/>
      <c r="D76" s="3"/>
      <c r="E76" s="4">
        <f t="shared" si="5"/>
        <v>0</v>
      </c>
      <c r="F76" s="3"/>
      <c r="G76" s="3"/>
      <c r="H76" s="3"/>
      <c r="I76" s="3"/>
      <c r="J76" s="3"/>
      <c r="K76" s="3"/>
      <c r="L76" s="3"/>
      <c r="M76" s="5">
        <f t="shared" si="6"/>
        <v>0</v>
      </c>
      <c r="N76" s="28" t="e">
        <f t="shared" si="7"/>
        <v>#DIV/0!</v>
      </c>
      <c r="O76" s="7"/>
      <c r="P76" s="7"/>
      <c r="Q76" s="7"/>
      <c r="R76" s="7"/>
      <c r="S76" s="3"/>
      <c r="T76" s="37"/>
      <c r="U76" s="28" t="e">
        <f t="shared" si="8"/>
        <v>#DIV/0!</v>
      </c>
      <c r="V76" s="59">
        <f t="shared" si="9"/>
        <v>0</v>
      </c>
    </row>
    <row r="77" spans="1:22" ht="21.75" customHeight="1">
      <c r="A77" s="87"/>
      <c r="B77" s="7" t="s">
        <v>13</v>
      </c>
      <c r="C77" s="3"/>
      <c r="D77" s="3"/>
      <c r="E77" s="4">
        <f t="shared" si="5"/>
        <v>0</v>
      </c>
      <c r="F77" s="3"/>
      <c r="G77" s="3"/>
      <c r="H77" s="3"/>
      <c r="I77" s="3"/>
      <c r="J77" s="3"/>
      <c r="K77" s="3"/>
      <c r="L77" s="3"/>
      <c r="M77" s="5">
        <f t="shared" si="6"/>
        <v>0</v>
      </c>
      <c r="N77" s="28" t="e">
        <f t="shared" si="7"/>
        <v>#DIV/0!</v>
      </c>
      <c r="O77" s="7"/>
      <c r="P77" s="7"/>
      <c r="Q77" s="7"/>
      <c r="R77" s="7"/>
      <c r="S77" s="3"/>
      <c r="T77" s="37"/>
      <c r="U77" s="28" t="e">
        <f t="shared" si="8"/>
        <v>#DIV/0!</v>
      </c>
      <c r="V77" s="59">
        <f t="shared" si="9"/>
        <v>0</v>
      </c>
    </row>
    <row r="78" spans="1:22" ht="21.75" customHeight="1">
      <c r="A78" s="87"/>
      <c r="B78" s="7" t="s">
        <v>14</v>
      </c>
      <c r="C78" s="3"/>
      <c r="D78" s="3"/>
      <c r="E78" s="4">
        <f t="shared" si="5"/>
        <v>0</v>
      </c>
      <c r="F78" s="3"/>
      <c r="G78" s="3"/>
      <c r="H78" s="3"/>
      <c r="I78" s="3"/>
      <c r="J78" s="3"/>
      <c r="K78" s="3"/>
      <c r="L78" s="3"/>
      <c r="M78" s="5">
        <f t="shared" si="6"/>
        <v>0</v>
      </c>
      <c r="N78" s="28" t="e">
        <f t="shared" si="7"/>
        <v>#DIV/0!</v>
      </c>
      <c r="O78" s="7"/>
      <c r="P78" s="7"/>
      <c r="Q78" s="7"/>
      <c r="R78" s="7"/>
      <c r="S78" s="3"/>
      <c r="T78" s="37"/>
      <c r="U78" s="28" t="e">
        <f t="shared" si="8"/>
        <v>#DIV/0!</v>
      </c>
      <c r="V78" s="59">
        <f t="shared" si="9"/>
        <v>0</v>
      </c>
    </row>
    <row r="79" spans="1:22" ht="21.75" customHeight="1">
      <c r="A79" s="87">
        <v>24</v>
      </c>
      <c r="B79" s="7" t="s">
        <v>12</v>
      </c>
      <c r="C79" s="3"/>
      <c r="D79" s="3"/>
      <c r="E79" s="4">
        <f t="shared" si="5"/>
        <v>0</v>
      </c>
      <c r="F79" s="3"/>
      <c r="G79" s="3"/>
      <c r="H79" s="3"/>
      <c r="I79" s="3"/>
      <c r="J79" s="3"/>
      <c r="K79" s="3"/>
      <c r="L79" s="3"/>
      <c r="M79" s="5">
        <f t="shared" si="6"/>
        <v>0</v>
      </c>
      <c r="N79" s="28" t="e">
        <f t="shared" si="7"/>
        <v>#DIV/0!</v>
      </c>
      <c r="O79" s="7"/>
      <c r="P79" s="7"/>
      <c r="Q79" s="7"/>
      <c r="R79" s="7"/>
      <c r="S79" s="3"/>
      <c r="T79" s="37"/>
      <c r="U79" s="28" t="e">
        <f t="shared" si="8"/>
        <v>#DIV/0!</v>
      </c>
      <c r="V79" s="59">
        <f t="shared" si="9"/>
        <v>0</v>
      </c>
    </row>
    <row r="80" spans="1:22" ht="21.75" customHeight="1">
      <c r="A80" s="87"/>
      <c r="B80" s="7" t="s">
        <v>13</v>
      </c>
      <c r="C80" s="3"/>
      <c r="D80" s="3"/>
      <c r="E80" s="4">
        <f t="shared" si="5"/>
        <v>0</v>
      </c>
      <c r="F80" s="3"/>
      <c r="G80" s="3"/>
      <c r="H80" s="3"/>
      <c r="I80" s="3"/>
      <c r="J80" s="3"/>
      <c r="K80" s="3"/>
      <c r="L80" s="3"/>
      <c r="M80" s="5">
        <f t="shared" si="6"/>
        <v>0</v>
      </c>
      <c r="N80" s="28" t="e">
        <f t="shared" si="7"/>
        <v>#DIV/0!</v>
      </c>
      <c r="O80" s="7"/>
      <c r="P80" s="7"/>
      <c r="Q80" s="7"/>
      <c r="R80" s="7"/>
      <c r="S80" s="3"/>
      <c r="T80" s="37"/>
      <c r="U80" s="28" t="e">
        <f t="shared" si="8"/>
        <v>#DIV/0!</v>
      </c>
      <c r="V80" s="59">
        <f t="shared" si="9"/>
        <v>0</v>
      </c>
    </row>
    <row r="81" spans="1:22" ht="21.75" customHeight="1">
      <c r="A81" s="87"/>
      <c r="B81" s="7" t="s">
        <v>14</v>
      </c>
      <c r="C81" s="3"/>
      <c r="D81" s="3"/>
      <c r="E81" s="4">
        <f t="shared" si="5"/>
        <v>0</v>
      </c>
      <c r="F81" s="3"/>
      <c r="G81" s="3"/>
      <c r="H81" s="3"/>
      <c r="I81" s="3"/>
      <c r="J81" s="3"/>
      <c r="K81" s="3"/>
      <c r="L81" s="3"/>
      <c r="M81" s="5">
        <f t="shared" si="6"/>
        <v>0</v>
      </c>
      <c r="N81" s="28" t="e">
        <f t="shared" si="7"/>
        <v>#DIV/0!</v>
      </c>
      <c r="O81" s="7"/>
      <c r="P81" s="7"/>
      <c r="Q81" s="7"/>
      <c r="R81" s="7"/>
      <c r="S81" s="3"/>
      <c r="T81" s="37"/>
      <c r="U81" s="28" t="e">
        <f t="shared" si="8"/>
        <v>#DIV/0!</v>
      </c>
      <c r="V81" s="59">
        <f t="shared" si="9"/>
        <v>0</v>
      </c>
    </row>
    <row r="82" spans="1:22" ht="21.75" customHeight="1">
      <c r="A82" s="87">
        <v>25</v>
      </c>
      <c r="B82" s="7" t="s">
        <v>12</v>
      </c>
      <c r="C82" s="3"/>
      <c r="D82" s="3"/>
      <c r="E82" s="4">
        <f t="shared" si="5"/>
        <v>0</v>
      </c>
      <c r="F82" s="3"/>
      <c r="G82" s="3"/>
      <c r="H82" s="3"/>
      <c r="I82" s="3"/>
      <c r="J82" s="3"/>
      <c r="K82" s="3"/>
      <c r="L82" s="3"/>
      <c r="M82" s="5">
        <f t="shared" si="6"/>
        <v>0</v>
      </c>
      <c r="N82" s="28" t="e">
        <f t="shared" si="7"/>
        <v>#DIV/0!</v>
      </c>
      <c r="O82" s="7"/>
      <c r="P82" s="7"/>
      <c r="Q82" s="7"/>
      <c r="R82" s="7"/>
      <c r="S82" s="3"/>
      <c r="T82" s="37"/>
      <c r="U82" s="28" t="e">
        <f t="shared" si="8"/>
        <v>#DIV/0!</v>
      </c>
      <c r="V82" s="59">
        <f t="shared" si="9"/>
        <v>0</v>
      </c>
    </row>
    <row r="83" spans="1:22" ht="21.75" customHeight="1">
      <c r="A83" s="87"/>
      <c r="B83" s="7" t="s">
        <v>13</v>
      </c>
      <c r="C83" s="3"/>
      <c r="D83" s="3"/>
      <c r="E83" s="4">
        <f t="shared" si="5"/>
        <v>0</v>
      </c>
      <c r="F83" s="3"/>
      <c r="G83" s="3"/>
      <c r="H83" s="3"/>
      <c r="I83" s="3"/>
      <c r="J83" s="3"/>
      <c r="K83" s="3"/>
      <c r="L83" s="3"/>
      <c r="M83" s="5">
        <f t="shared" si="6"/>
        <v>0</v>
      </c>
      <c r="N83" s="28" t="e">
        <f t="shared" si="7"/>
        <v>#DIV/0!</v>
      </c>
      <c r="O83" s="7"/>
      <c r="P83" s="7"/>
      <c r="Q83" s="7"/>
      <c r="R83" s="7"/>
      <c r="S83" s="3"/>
      <c r="T83" s="37"/>
      <c r="U83" s="28" t="e">
        <f t="shared" si="8"/>
        <v>#DIV/0!</v>
      </c>
      <c r="V83" s="59">
        <f t="shared" si="9"/>
        <v>0</v>
      </c>
    </row>
    <row r="84" spans="1:22" ht="21.75" customHeight="1">
      <c r="A84" s="87"/>
      <c r="B84" s="7" t="s">
        <v>14</v>
      </c>
      <c r="C84" s="3"/>
      <c r="D84" s="3"/>
      <c r="E84" s="4">
        <f t="shared" si="5"/>
        <v>0</v>
      </c>
      <c r="F84" s="3"/>
      <c r="G84" s="3"/>
      <c r="H84" s="3"/>
      <c r="I84" s="3"/>
      <c r="J84" s="3"/>
      <c r="K84" s="3"/>
      <c r="L84" s="3"/>
      <c r="M84" s="5">
        <f t="shared" si="6"/>
        <v>0</v>
      </c>
      <c r="N84" s="28" t="e">
        <f t="shared" si="7"/>
        <v>#DIV/0!</v>
      </c>
      <c r="O84" s="7"/>
      <c r="P84" s="7"/>
      <c r="Q84" s="7"/>
      <c r="R84" s="7"/>
      <c r="S84" s="3"/>
      <c r="T84" s="37"/>
      <c r="U84" s="28" t="e">
        <f t="shared" si="8"/>
        <v>#DIV/0!</v>
      </c>
      <c r="V84" s="59">
        <f t="shared" si="9"/>
        <v>0</v>
      </c>
    </row>
    <row r="85" spans="1:22" ht="21.75" customHeight="1">
      <c r="A85" s="87">
        <v>26</v>
      </c>
      <c r="B85" s="7" t="s">
        <v>12</v>
      </c>
      <c r="C85" s="3"/>
      <c r="D85" s="3"/>
      <c r="E85" s="4">
        <f t="shared" si="5"/>
        <v>0</v>
      </c>
      <c r="F85" s="3"/>
      <c r="G85" s="3"/>
      <c r="H85" s="3"/>
      <c r="I85" s="3"/>
      <c r="J85" s="3"/>
      <c r="K85" s="3"/>
      <c r="L85" s="3"/>
      <c r="M85" s="5">
        <f t="shared" si="6"/>
        <v>0</v>
      </c>
      <c r="N85" s="28" t="e">
        <f t="shared" si="7"/>
        <v>#DIV/0!</v>
      </c>
      <c r="O85" s="7"/>
      <c r="P85" s="7"/>
      <c r="Q85" s="7"/>
      <c r="R85" s="7"/>
      <c r="S85" s="3"/>
      <c r="T85" s="37"/>
      <c r="U85" s="28" t="e">
        <f t="shared" si="8"/>
        <v>#DIV/0!</v>
      </c>
      <c r="V85" s="59">
        <f t="shared" si="9"/>
        <v>0</v>
      </c>
    </row>
    <row r="86" spans="1:22" ht="21.75" customHeight="1">
      <c r="A86" s="87"/>
      <c r="B86" s="7" t="s">
        <v>13</v>
      </c>
      <c r="C86" s="3"/>
      <c r="D86" s="3"/>
      <c r="E86" s="4">
        <f t="shared" si="5"/>
        <v>0</v>
      </c>
      <c r="F86" s="3"/>
      <c r="G86" s="3"/>
      <c r="H86" s="3"/>
      <c r="I86" s="3"/>
      <c r="J86" s="3"/>
      <c r="K86" s="3"/>
      <c r="L86" s="3"/>
      <c r="M86" s="5">
        <f t="shared" si="6"/>
        <v>0</v>
      </c>
      <c r="N86" s="28" t="e">
        <f t="shared" si="7"/>
        <v>#DIV/0!</v>
      </c>
      <c r="O86" s="7"/>
      <c r="P86" s="7"/>
      <c r="Q86" s="7"/>
      <c r="R86" s="7"/>
      <c r="S86" s="3"/>
      <c r="T86" s="37"/>
      <c r="U86" s="28" t="e">
        <f t="shared" si="8"/>
        <v>#DIV/0!</v>
      </c>
      <c r="V86" s="59">
        <f t="shared" si="9"/>
        <v>0</v>
      </c>
    </row>
    <row r="87" spans="1:22" ht="21.75" customHeight="1">
      <c r="A87" s="87"/>
      <c r="B87" s="7" t="s">
        <v>14</v>
      </c>
      <c r="C87" s="3"/>
      <c r="D87" s="3"/>
      <c r="E87" s="4">
        <f t="shared" si="5"/>
        <v>0</v>
      </c>
      <c r="F87" s="3"/>
      <c r="G87" s="3"/>
      <c r="H87" s="3"/>
      <c r="I87" s="3"/>
      <c r="J87" s="3"/>
      <c r="K87" s="3"/>
      <c r="L87" s="3"/>
      <c r="M87" s="5">
        <f t="shared" si="6"/>
        <v>0</v>
      </c>
      <c r="N87" s="28" t="e">
        <f t="shared" si="7"/>
        <v>#DIV/0!</v>
      </c>
      <c r="O87" s="7"/>
      <c r="P87" s="7"/>
      <c r="Q87" s="7"/>
      <c r="R87" s="7"/>
      <c r="S87" s="3"/>
      <c r="T87" s="37"/>
      <c r="U87" s="28" t="e">
        <f t="shared" si="8"/>
        <v>#DIV/0!</v>
      </c>
      <c r="V87" s="59">
        <f t="shared" si="9"/>
        <v>0</v>
      </c>
    </row>
    <row r="88" spans="1:22" ht="21.75" customHeight="1">
      <c r="A88" s="87">
        <v>27</v>
      </c>
      <c r="B88" s="7" t="s">
        <v>12</v>
      </c>
      <c r="C88" s="3"/>
      <c r="D88" s="3"/>
      <c r="E88" s="4">
        <f t="shared" si="5"/>
        <v>0</v>
      </c>
      <c r="F88" s="3"/>
      <c r="G88" s="3"/>
      <c r="H88" s="3"/>
      <c r="I88" s="3"/>
      <c r="J88" s="3"/>
      <c r="K88" s="3"/>
      <c r="L88" s="3"/>
      <c r="M88" s="5">
        <f t="shared" si="6"/>
        <v>0</v>
      </c>
      <c r="N88" s="28" t="e">
        <f t="shared" si="7"/>
        <v>#DIV/0!</v>
      </c>
      <c r="O88" s="7"/>
      <c r="P88" s="7"/>
      <c r="Q88" s="7"/>
      <c r="R88" s="7"/>
      <c r="S88" s="3"/>
      <c r="T88" s="37"/>
      <c r="U88" s="28" t="e">
        <f t="shared" si="8"/>
        <v>#DIV/0!</v>
      </c>
      <c r="V88" s="59">
        <f t="shared" si="9"/>
        <v>0</v>
      </c>
    </row>
    <row r="89" spans="1:22" ht="21.75" customHeight="1">
      <c r="A89" s="87"/>
      <c r="B89" s="7" t="s">
        <v>13</v>
      </c>
      <c r="C89" s="3"/>
      <c r="D89" s="3"/>
      <c r="E89" s="4">
        <f t="shared" si="5"/>
        <v>0</v>
      </c>
      <c r="F89" s="3"/>
      <c r="G89" s="3"/>
      <c r="H89" s="3"/>
      <c r="I89" s="3"/>
      <c r="J89" s="3"/>
      <c r="K89" s="3"/>
      <c r="L89" s="3"/>
      <c r="M89" s="5">
        <f t="shared" si="6"/>
        <v>0</v>
      </c>
      <c r="N89" s="28" t="e">
        <f t="shared" si="7"/>
        <v>#DIV/0!</v>
      </c>
      <c r="O89" s="7"/>
      <c r="P89" s="7"/>
      <c r="Q89" s="7"/>
      <c r="R89" s="7"/>
      <c r="S89" s="3"/>
      <c r="T89" s="37"/>
      <c r="U89" s="28" t="e">
        <f t="shared" si="8"/>
        <v>#DIV/0!</v>
      </c>
      <c r="V89" s="59">
        <f t="shared" si="9"/>
        <v>0</v>
      </c>
    </row>
    <row r="90" spans="1:22" ht="21.75" customHeight="1">
      <c r="A90" s="87"/>
      <c r="B90" s="7" t="s">
        <v>14</v>
      </c>
      <c r="C90" s="3"/>
      <c r="D90" s="3"/>
      <c r="E90" s="4">
        <f t="shared" si="5"/>
        <v>0</v>
      </c>
      <c r="F90" s="3"/>
      <c r="G90" s="3"/>
      <c r="H90" s="3"/>
      <c r="I90" s="3"/>
      <c r="J90" s="3"/>
      <c r="K90" s="3"/>
      <c r="L90" s="3"/>
      <c r="M90" s="5">
        <f t="shared" si="6"/>
        <v>0</v>
      </c>
      <c r="N90" s="28" t="e">
        <f t="shared" si="7"/>
        <v>#DIV/0!</v>
      </c>
      <c r="O90" s="7"/>
      <c r="P90" s="7"/>
      <c r="Q90" s="7"/>
      <c r="R90" s="7"/>
      <c r="S90" s="3"/>
      <c r="T90" s="37"/>
      <c r="U90" s="28" t="e">
        <f t="shared" si="8"/>
        <v>#DIV/0!</v>
      </c>
      <c r="V90" s="59">
        <f t="shared" si="9"/>
        <v>0</v>
      </c>
    </row>
    <row r="91" spans="1:22" ht="21.75" customHeight="1">
      <c r="A91" s="87">
        <v>28</v>
      </c>
      <c r="B91" s="7" t="s">
        <v>12</v>
      </c>
      <c r="C91" s="3"/>
      <c r="D91" s="3"/>
      <c r="E91" s="4">
        <f t="shared" si="5"/>
        <v>0</v>
      </c>
      <c r="F91" s="3"/>
      <c r="G91" s="3"/>
      <c r="H91" s="3"/>
      <c r="I91" s="3"/>
      <c r="J91" s="3"/>
      <c r="K91" s="3"/>
      <c r="L91" s="3"/>
      <c r="M91" s="5">
        <f t="shared" si="6"/>
        <v>0</v>
      </c>
      <c r="N91" s="28" t="e">
        <f t="shared" si="7"/>
        <v>#DIV/0!</v>
      </c>
      <c r="O91" s="7"/>
      <c r="P91" s="7"/>
      <c r="Q91" s="7"/>
      <c r="R91" s="7"/>
      <c r="S91" s="3"/>
      <c r="T91" s="37"/>
      <c r="U91" s="28" t="e">
        <f t="shared" si="8"/>
        <v>#DIV/0!</v>
      </c>
      <c r="V91" s="59">
        <f t="shared" si="9"/>
        <v>0</v>
      </c>
    </row>
    <row r="92" spans="1:22" ht="21.75" customHeight="1">
      <c r="A92" s="87"/>
      <c r="B92" s="7" t="s">
        <v>13</v>
      </c>
      <c r="C92" s="3"/>
      <c r="D92" s="3"/>
      <c r="E92" s="4">
        <f t="shared" si="5"/>
        <v>0</v>
      </c>
      <c r="F92" s="3"/>
      <c r="G92" s="3"/>
      <c r="H92" s="3"/>
      <c r="I92" s="3"/>
      <c r="J92" s="3"/>
      <c r="K92" s="3"/>
      <c r="L92" s="3"/>
      <c r="M92" s="5">
        <f t="shared" si="6"/>
        <v>0</v>
      </c>
      <c r="N92" s="28" t="e">
        <f t="shared" si="7"/>
        <v>#DIV/0!</v>
      </c>
      <c r="O92" s="7"/>
      <c r="P92" s="7"/>
      <c r="Q92" s="7"/>
      <c r="R92" s="7"/>
      <c r="S92" s="3"/>
      <c r="T92" s="37"/>
      <c r="U92" s="28" t="e">
        <f t="shared" si="8"/>
        <v>#DIV/0!</v>
      </c>
      <c r="V92" s="59">
        <f t="shared" si="9"/>
        <v>0</v>
      </c>
    </row>
    <row r="93" spans="1:22" ht="21.75" customHeight="1">
      <c r="A93" s="87"/>
      <c r="B93" s="7" t="s">
        <v>14</v>
      </c>
      <c r="C93" s="3"/>
      <c r="D93" s="3"/>
      <c r="E93" s="4">
        <f t="shared" si="5"/>
        <v>0</v>
      </c>
      <c r="F93" s="3"/>
      <c r="G93" s="3"/>
      <c r="H93" s="3"/>
      <c r="I93" s="3"/>
      <c r="J93" s="3"/>
      <c r="K93" s="3"/>
      <c r="L93" s="3"/>
      <c r="M93" s="5">
        <f t="shared" si="6"/>
        <v>0</v>
      </c>
      <c r="N93" s="28" t="e">
        <f t="shared" si="7"/>
        <v>#DIV/0!</v>
      </c>
      <c r="O93" s="7"/>
      <c r="P93" s="7"/>
      <c r="Q93" s="7"/>
      <c r="R93" s="7"/>
      <c r="S93" s="3"/>
      <c r="T93" s="37"/>
      <c r="U93" s="28" t="e">
        <f t="shared" si="8"/>
        <v>#DIV/0!</v>
      </c>
      <c r="V93" s="59">
        <f t="shared" si="9"/>
        <v>0</v>
      </c>
    </row>
    <row r="94" spans="1:22" ht="21.75" customHeight="1">
      <c r="A94" s="87">
        <v>29</v>
      </c>
      <c r="B94" s="7" t="s">
        <v>12</v>
      </c>
      <c r="C94" s="3"/>
      <c r="D94" s="3"/>
      <c r="E94" s="4">
        <f t="shared" si="5"/>
        <v>0</v>
      </c>
      <c r="F94" s="3"/>
      <c r="G94" s="3"/>
      <c r="H94" s="3"/>
      <c r="I94" s="3"/>
      <c r="J94" s="3"/>
      <c r="K94" s="3"/>
      <c r="L94" s="3"/>
      <c r="M94" s="5">
        <f t="shared" si="6"/>
        <v>0</v>
      </c>
      <c r="N94" s="28" t="e">
        <f t="shared" si="7"/>
        <v>#DIV/0!</v>
      </c>
      <c r="O94" s="7"/>
      <c r="P94" s="7"/>
      <c r="Q94" s="7"/>
      <c r="R94" s="7"/>
      <c r="S94" s="3"/>
      <c r="T94" s="37"/>
      <c r="U94" s="28" t="e">
        <f t="shared" si="8"/>
        <v>#DIV/0!</v>
      </c>
      <c r="V94" s="59">
        <f t="shared" si="9"/>
        <v>0</v>
      </c>
    </row>
    <row r="95" spans="1:22" ht="21.75" customHeight="1">
      <c r="A95" s="87"/>
      <c r="B95" s="7" t="s">
        <v>13</v>
      </c>
      <c r="C95" s="3"/>
      <c r="D95" s="3"/>
      <c r="E95" s="4">
        <f t="shared" si="5"/>
        <v>0</v>
      </c>
      <c r="F95" s="3"/>
      <c r="G95" s="3"/>
      <c r="H95" s="3"/>
      <c r="I95" s="3"/>
      <c r="J95" s="3"/>
      <c r="K95" s="3"/>
      <c r="L95" s="3"/>
      <c r="M95" s="5">
        <f t="shared" si="6"/>
        <v>0</v>
      </c>
      <c r="N95" s="28" t="e">
        <f t="shared" si="7"/>
        <v>#DIV/0!</v>
      </c>
      <c r="O95" s="7"/>
      <c r="P95" s="7"/>
      <c r="Q95" s="7"/>
      <c r="R95" s="7"/>
      <c r="S95" s="3"/>
      <c r="T95" s="37"/>
      <c r="U95" s="28" t="e">
        <f t="shared" si="8"/>
        <v>#DIV/0!</v>
      </c>
      <c r="V95" s="59">
        <f t="shared" si="9"/>
        <v>0</v>
      </c>
    </row>
    <row r="96" spans="1:22" ht="21.75" customHeight="1">
      <c r="A96" s="87"/>
      <c r="B96" s="7" t="s">
        <v>14</v>
      </c>
      <c r="C96" s="3"/>
      <c r="D96" s="3"/>
      <c r="E96" s="4">
        <f t="shared" si="5"/>
        <v>0</v>
      </c>
      <c r="F96" s="3"/>
      <c r="G96" s="3"/>
      <c r="H96" s="3"/>
      <c r="I96" s="3"/>
      <c r="J96" s="3"/>
      <c r="K96" s="3"/>
      <c r="L96" s="3"/>
      <c r="M96" s="5">
        <f t="shared" si="6"/>
        <v>0</v>
      </c>
      <c r="N96" s="28" t="e">
        <f t="shared" si="7"/>
        <v>#DIV/0!</v>
      </c>
      <c r="O96" s="7"/>
      <c r="P96" s="7"/>
      <c r="Q96" s="7"/>
      <c r="R96" s="7"/>
      <c r="S96" s="3"/>
      <c r="T96" s="37"/>
      <c r="U96" s="28" t="e">
        <f t="shared" si="8"/>
        <v>#DIV/0!</v>
      </c>
      <c r="V96" s="59">
        <f t="shared" si="9"/>
        <v>0</v>
      </c>
    </row>
    <row r="97" spans="1:22" ht="21.75" customHeight="1">
      <c r="A97" s="87">
        <v>30</v>
      </c>
      <c r="B97" s="7" t="s">
        <v>12</v>
      </c>
      <c r="C97" s="3"/>
      <c r="D97" s="3"/>
      <c r="E97" s="4">
        <f t="shared" si="5"/>
        <v>0</v>
      </c>
      <c r="F97" s="3"/>
      <c r="G97" s="3"/>
      <c r="H97" s="3"/>
      <c r="I97" s="3"/>
      <c r="J97" s="3"/>
      <c r="K97" s="3"/>
      <c r="L97" s="3"/>
      <c r="M97" s="5">
        <f t="shared" si="6"/>
        <v>0</v>
      </c>
      <c r="N97" s="28" t="e">
        <f t="shared" si="7"/>
        <v>#DIV/0!</v>
      </c>
      <c r="O97" s="7"/>
      <c r="P97" s="7"/>
      <c r="Q97" s="7"/>
      <c r="R97" s="7"/>
      <c r="S97" s="3"/>
      <c r="T97" s="37"/>
      <c r="U97" s="28" t="e">
        <f t="shared" si="8"/>
        <v>#DIV/0!</v>
      </c>
      <c r="V97" s="59">
        <f t="shared" si="9"/>
        <v>0</v>
      </c>
    </row>
    <row r="98" spans="1:22" ht="21.75" customHeight="1">
      <c r="A98" s="87"/>
      <c r="B98" s="7" t="s">
        <v>13</v>
      </c>
      <c r="C98" s="3"/>
      <c r="D98" s="3"/>
      <c r="E98" s="4">
        <f t="shared" si="5"/>
        <v>0</v>
      </c>
      <c r="F98" s="3"/>
      <c r="G98" s="3"/>
      <c r="H98" s="3"/>
      <c r="I98" s="3"/>
      <c r="J98" s="3"/>
      <c r="K98" s="3"/>
      <c r="L98" s="3"/>
      <c r="M98" s="5">
        <f t="shared" si="6"/>
        <v>0</v>
      </c>
      <c r="N98" s="28" t="e">
        <f t="shared" si="7"/>
        <v>#DIV/0!</v>
      </c>
      <c r="O98" s="7"/>
      <c r="P98" s="7"/>
      <c r="Q98" s="7"/>
      <c r="R98" s="7"/>
      <c r="S98" s="3"/>
      <c r="T98" s="37"/>
      <c r="U98" s="28" t="e">
        <f t="shared" si="8"/>
        <v>#DIV/0!</v>
      </c>
      <c r="V98" s="59">
        <f t="shared" si="9"/>
        <v>0</v>
      </c>
    </row>
    <row r="99" spans="1:22" ht="21.75" customHeight="1">
      <c r="A99" s="87"/>
      <c r="B99" s="7" t="s">
        <v>14</v>
      </c>
      <c r="C99" s="3"/>
      <c r="D99" s="3"/>
      <c r="E99" s="4">
        <f t="shared" si="5"/>
        <v>0</v>
      </c>
      <c r="F99" s="3"/>
      <c r="G99" s="3"/>
      <c r="H99" s="3"/>
      <c r="I99" s="3"/>
      <c r="J99" s="3"/>
      <c r="K99" s="3"/>
      <c r="L99" s="3"/>
      <c r="M99" s="5">
        <f t="shared" si="6"/>
        <v>0</v>
      </c>
      <c r="N99" s="28" t="e">
        <f t="shared" si="7"/>
        <v>#DIV/0!</v>
      </c>
      <c r="O99" s="7"/>
      <c r="P99" s="7"/>
      <c r="Q99" s="7"/>
      <c r="R99" s="7"/>
      <c r="S99" s="3"/>
      <c r="T99" s="37"/>
      <c r="U99" s="28" t="e">
        <f t="shared" si="8"/>
        <v>#DIV/0!</v>
      </c>
      <c r="V99" s="59">
        <f t="shared" si="9"/>
        <v>0</v>
      </c>
    </row>
    <row r="100" spans="1:22" ht="21.75" customHeight="1">
      <c r="A100" s="87">
        <v>31</v>
      </c>
      <c r="B100" s="7" t="s">
        <v>12</v>
      </c>
      <c r="C100" s="3"/>
      <c r="D100" s="3"/>
      <c r="E100" s="4">
        <f t="shared" si="5"/>
        <v>0</v>
      </c>
      <c r="F100" s="3"/>
      <c r="G100" s="3"/>
      <c r="H100" s="3"/>
      <c r="I100" s="3"/>
      <c r="J100" s="3"/>
      <c r="K100" s="3"/>
      <c r="L100" s="3"/>
      <c r="M100" s="5">
        <f t="shared" si="6"/>
        <v>0</v>
      </c>
      <c r="N100" s="28" t="e">
        <f t="shared" si="7"/>
        <v>#DIV/0!</v>
      </c>
      <c r="O100" s="7"/>
      <c r="P100" s="7"/>
      <c r="Q100" s="7"/>
      <c r="R100" s="7"/>
      <c r="S100" s="3"/>
      <c r="T100" s="37"/>
      <c r="U100" s="28" t="e">
        <f t="shared" si="8"/>
        <v>#DIV/0!</v>
      </c>
      <c r="V100" s="59">
        <f t="shared" si="9"/>
        <v>0</v>
      </c>
    </row>
    <row r="101" spans="1:22" ht="21.75" customHeight="1">
      <c r="A101" s="87"/>
      <c r="B101" s="7" t="s">
        <v>13</v>
      </c>
      <c r="C101" s="3"/>
      <c r="D101" s="3"/>
      <c r="E101" s="4">
        <f t="shared" si="5"/>
        <v>0</v>
      </c>
      <c r="F101" s="3"/>
      <c r="G101" s="3"/>
      <c r="H101" s="3"/>
      <c r="I101" s="3"/>
      <c r="J101" s="3"/>
      <c r="K101" s="3"/>
      <c r="L101" s="3"/>
      <c r="M101" s="5">
        <f t="shared" si="6"/>
        <v>0</v>
      </c>
      <c r="N101" s="28" t="e">
        <f t="shared" si="7"/>
        <v>#DIV/0!</v>
      </c>
      <c r="O101" s="7"/>
      <c r="P101" s="7"/>
      <c r="Q101" s="7"/>
      <c r="R101" s="7"/>
      <c r="S101" s="3"/>
      <c r="T101" s="37"/>
      <c r="U101" s="28" t="e">
        <f t="shared" si="8"/>
        <v>#DIV/0!</v>
      </c>
      <c r="V101" s="59">
        <f t="shared" si="9"/>
        <v>0</v>
      </c>
    </row>
    <row r="102" spans="1:22" ht="21.75" customHeight="1">
      <c r="A102" s="87"/>
      <c r="B102" s="7" t="s">
        <v>14</v>
      </c>
      <c r="C102" s="3"/>
      <c r="D102" s="3"/>
      <c r="E102" s="4">
        <f t="shared" si="5"/>
        <v>0</v>
      </c>
      <c r="F102" s="3"/>
      <c r="G102" s="3"/>
      <c r="H102" s="3"/>
      <c r="I102" s="3"/>
      <c r="J102" s="3"/>
      <c r="K102" s="3"/>
      <c r="L102" s="3"/>
      <c r="M102" s="5">
        <f t="shared" si="6"/>
        <v>0</v>
      </c>
      <c r="N102" s="28" t="e">
        <f t="shared" si="7"/>
        <v>#DIV/0!</v>
      </c>
      <c r="O102" s="7"/>
      <c r="P102" s="7"/>
      <c r="Q102" s="7"/>
      <c r="R102" s="7"/>
      <c r="S102" s="3"/>
      <c r="T102" s="37"/>
      <c r="U102" s="28" t="e">
        <f t="shared" si="8"/>
        <v>#DIV/0!</v>
      </c>
      <c r="V102" s="59">
        <f t="shared" si="9"/>
        <v>0</v>
      </c>
    </row>
    <row r="103" spans="1:22" ht="21.75" customHeight="1">
      <c r="A103" s="87" t="s">
        <v>41</v>
      </c>
      <c r="B103" s="1" t="s">
        <v>12</v>
      </c>
      <c r="C103" s="37">
        <f>C10+C13+C16+C19+C22+C25+C28+C31+C34+C37+C40+C43+C46+C49+C52+C55+C58+C61+C64+C67+C70+C73+C76+C79+C82+C85+C88+C91+C94+C97+C100</f>
        <v>0</v>
      </c>
      <c r="D103" s="37">
        <f>D10+D13+D16+D19+D22+D25+D28+D31+D34+D37+D40+D43+D46+D49+D52+D55+D58+D61+D64+D67+D70+D73+D76+D79+D82+D85+D88+D91+D94+D97+D100</f>
        <v>0</v>
      </c>
      <c r="E103" s="4">
        <f>((($B$3*C103)+(12*D103))*$M$4)/7</f>
        <v>0</v>
      </c>
      <c r="F103" s="1">
        <f t="shared" ref="F103:L105" si="10">F10+F13+F16+F19+F22+F25+F28+F31+F34+F37+F40+F43+F46+F49+F52+F55+F58+F61+F64+F67+F70+F73+F76+F79+F82+F85+F88+F91+F94+F97+F100</f>
        <v>0</v>
      </c>
      <c r="G103" s="1">
        <f t="shared" si="10"/>
        <v>0</v>
      </c>
      <c r="H103" s="1">
        <f t="shared" si="10"/>
        <v>0</v>
      </c>
      <c r="I103" s="1">
        <f t="shared" si="10"/>
        <v>0</v>
      </c>
      <c r="J103" s="1">
        <f t="shared" si="10"/>
        <v>0</v>
      </c>
      <c r="K103" s="1">
        <f t="shared" si="10"/>
        <v>0</v>
      </c>
      <c r="L103" s="1">
        <f t="shared" si="10"/>
        <v>0</v>
      </c>
      <c r="M103" s="5">
        <f t="shared" si="6"/>
        <v>0</v>
      </c>
      <c r="N103" s="28" t="e">
        <f t="shared" si="7"/>
        <v>#DIV/0!</v>
      </c>
      <c r="O103" s="1">
        <f t="shared" ref="O103:S105" si="11">O10+O13+O16+O19+O22+O25+O28+O31+O34+O37+O40+O43+O46+O49+O52+O55+O58+O61+O64+O67+O70+O73+O76+O79+O82+O85+O88+O91+O94+O97+O100</f>
        <v>0</v>
      </c>
      <c r="P103" s="1">
        <f t="shared" si="11"/>
        <v>0</v>
      </c>
      <c r="Q103" s="1">
        <f t="shared" si="11"/>
        <v>0</v>
      </c>
      <c r="R103" s="1">
        <f t="shared" si="11"/>
        <v>0</v>
      </c>
      <c r="S103" s="1">
        <f t="shared" si="11"/>
        <v>0</v>
      </c>
      <c r="T103" s="37"/>
      <c r="U103" s="28" t="e">
        <f t="shared" si="8"/>
        <v>#DIV/0!</v>
      </c>
      <c r="V103" s="59">
        <f t="shared" si="9"/>
        <v>0</v>
      </c>
    </row>
    <row r="104" spans="1:22" ht="21.75" customHeight="1">
      <c r="A104" s="87"/>
      <c r="B104" s="1" t="s">
        <v>13</v>
      </c>
      <c r="C104" s="37">
        <f t="shared" ref="C104:D105" si="12">C11+C14+C17+C20+C23+C26+C29+C32+C35+C38+C41+C44+C47+C50+C53+C56+C59+C62+C65+C68+C71+C74+C77+C80+C83+C86+C89+C92+C95+C98+C101</f>
        <v>0</v>
      </c>
      <c r="D104" s="37">
        <f t="shared" si="12"/>
        <v>0</v>
      </c>
      <c r="E104" s="4">
        <f t="shared" ref="E104:E105" si="13">((($B$3*C104)+(12*D104))*$M$4)/7</f>
        <v>0</v>
      </c>
      <c r="F104" s="1">
        <f t="shared" si="10"/>
        <v>0</v>
      </c>
      <c r="G104" s="1">
        <f t="shared" si="10"/>
        <v>0</v>
      </c>
      <c r="H104" s="1">
        <f t="shared" ref="H104" si="14">H11+H14+H17+H20+H23+H26+H29+H32+H35+H38+H41+H44+H47+H50+H53+H56+H59+H62+H65+H68+H71+H74+H77+H80+H83+H86+H89+H92+H95+H98+H101</f>
        <v>0</v>
      </c>
      <c r="I104" s="1">
        <f t="shared" si="10"/>
        <v>0</v>
      </c>
      <c r="J104" s="1">
        <f t="shared" si="10"/>
        <v>0</v>
      </c>
      <c r="K104" s="1">
        <f t="shared" ref="K104" si="15">K11+K14+K17+K20+K23+K26+K29+K32+K35+K38+K41+K44+K47+K50+K53+K56+K59+K62+K65+K68+K71+K74+K77+K80+K83+K86+K89+K92+K95+K98+K101</f>
        <v>0</v>
      </c>
      <c r="L104" s="1">
        <f t="shared" si="10"/>
        <v>0</v>
      </c>
      <c r="M104" s="5">
        <f t="shared" si="6"/>
        <v>0</v>
      </c>
      <c r="N104" s="28" t="e">
        <f t="shared" si="7"/>
        <v>#DIV/0!</v>
      </c>
      <c r="O104" s="1">
        <f t="shared" si="11"/>
        <v>0</v>
      </c>
      <c r="P104" s="1">
        <f t="shared" si="11"/>
        <v>0</v>
      </c>
      <c r="Q104" s="1">
        <f t="shared" si="11"/>
        <v>0</v>
      </c>
      <c r="R104" s="1">
        <f t="shared" si="11"/>
        <v>0</v>
      </c>
      <c r="S104" s="1">
        <f t="shared" si="11"/>
        <v>0</v>
      </c>
      <c r="T104" s="37"/>
      <c r="U104" s="28" t="e">
        <f t="shared" si="8"/>
        <v>#DIV/0!</v>
      </c>
      <c r="V104" s="59">
        <f t="shared" si="9"/>
        <v>0</v>
      </c>
    </row>
    <row r="105" spans="1:22" ht="21.75" customHeight="1">
      <c r="A105" s="87"/>
      <c r="B105" s="1" t="s">
        <v>14</v>
      </c>
      <c r="C105" s="37">
        <f t="shared" si="12"/>
        <v>0</v>
      </c>
      <c r="D105" s="37">
        <f t="shared" si="12"/>
        <v>0</v>
      </c>
      <c r="E105" s="4">
        <f t="shared" si="13"/>
        <v>0</v>
      </c>
      <c r="F105" s="1">
        <f t="shared" si="10"/>
        <v>0</v>
      </c>
      <c r="G105" s="1">
        <f t="shared" si="10"/>
        <v>0</v>
      </c>
      <c r="H105" s="1">
        <f t="shared" ref="H105" si="16">H12+H15+H18+H21+H24+H27+H30+H33+H36+H39+H42+H45+H48+H51+H54+H57+H60+H63+H66+H69+H72+H75+H78+H81+H84+H87+H90+H93+H96+H99+H102</f>
        <v>0</v>
      </c>
      <c r="I105" s="1">
        <f t="shared" si="10"/>
        <v>0</v>
      </c>
      <c r="J105" s="1">
        <f t="shared" si="10"/>
        <v>0</v>
      </c>
      <c r="K105" s="1">
        <f t="shared" ref="K105" si="17">K12+K15+K18+K21+K24+K27+K30+K33+K36+K39+K42+K45+K48+K51+K54+K57+K60+K63+K66+K69+K72+K75+K78+K81+K84+K87+K90+K93+K96+K99+K102</f>
        <v>0</v>
      </c>
      <c r="L105" s="1">
        <f t="shared" si="10"/>
        <v>0</v>
      </c>
      <c r="M105" s="5">
        <f t="shared" si="6"/>
        <v>0</v>
      </c>
      <c r="N105" s="28" t="e">
        <f t="shared" si="7"/>
        <v>#DIV/0!</v>
      </c>
      <c r="O105" s="1">
        <f t="shared" si="11"/>
        <v>0</v>
      </c>
      <c r="P105" s="1">
        <f t="shared" si="11"/>
        <v>0</v>
      </c>
      <c r="Q105" s="1">
        <f t="shared" si="11"/>
        <v>0</v>
      </c>
      <c r="R105" s="1">
        <f t="shared" si="11"/>
        <v>0</v>
      </c>
      <c r="S105" s="1">
        <f t="shared" si="11"/>
        <v>0</v>
      </c>
      <c r="T105" s="37"/>
      <c r="U105" s="28" t="e">
        <f t="shared" si="8"/>
        <v>#DIV/0!</v>
      </c>
      <c r="V105" s="59">
        <f t="shared" si="9"/>
        <v>0</v>
      </c>
    </row>
    <row r="106" spans="1:22" ht="21.75" customHeight="1">
      <c r="A106" s="7" t="s">
        <v>42</v>
      </c>
      <c r="B106" s="7"/>
      <c r="C106" s="42">
        <f>SUM(C103:C105)/3</f>
        <v>0</v>
      </c>
      <c r="D106" s="42">
        <f>SUM(D103:D105)/3</f>
        <v>0</v>
      </c>
      <c r="E106" s="25"/>
      <c r="F106" s="42">
        <f>SUM(F103:F105)</f>
        <v>0</v>
      </c>
      <c r="G106" s="42">
        <f t="shared" ref="G106:L106" si="18">SUM(G103:G105)</f>
        <v>0</v>
      </c>
      <c r="H106" s="42">
        <f t="shared" si="18"/>
        <v>0</v>
      </c>
      <c r="I106" s="42">
        <f t="shared" si="18"/>
        <v>0</v>
      </c>
      <c r="J106" s="42">
        <f t="shared" si="18"/>
        <v>0</v>
      </c>
      <c r="K106" s="42">
        <f t="shared" si="18"/>
        <v>0</v>
      </c>
      <c r="L106" s="42">
        <f t="shared" si="18"/>
        <v>0</v>
      </c>
      <c r="M106" s="5">
        <f t="shared" si="6"/>
        <v>0</v>
      </c>
      <c r="N106" s="25"/>
      <c r="O106" s="25">
        <f>SUM(O103:O105)/3</f>
        <v>0</v>
      </c>
      <c r="P106" s="25">
        <f>SUM(P103:P105)/3</f>
        <v>0</v>
      </c>
      <c r="Q106" s="25">
        <f t="shared" ref="Q106:S106" si="19">SUM(Q103:Q105)/3</f>
        <v>0</v>
      </c>
      <c r="R106" s="25">
        <f t="shared" si="19"/>
        <v>0</v>
      </c>
      <c r="S106" s="25">
        <f t="shared" si="19"/>
        <v>0</v>
      </c>
      <c r="T106" s="37"/>
      <c r="U106" s="28" t="e">
        <f t="shared" si="8"/>
        <v>#DIV/0!</v>
      </c>
      <c r="V106" s="59">
        <f t="shared" si="9"/>
        <v>0</v>
      </c>
    </row>
  </sheetData>
  <mergeCells count="77">
    <mergeCell ref="E4:H4"/>
    <mergeCell ref="O7:S7"/>
    <mergeCell ref="T7:T9"/>
    <mergeCell ref="O8:O9"/>
    <mergeCell ref="Q4:R4"/>
    <mergeCell ref="F5:L5"/>
    <mergeCell ref="O5:P5"/>
    <mergeCell ref="Q5:R5"/>
    <mergeCell ref="O6:Q6"/>
    <mergeCell ref="R6:S6"/>
    <mergeCell ref="P8:P9"/>
    <mergeCell ref="I4:L4"/>
    <mergeCell ref="F8:H8"/>
    <mergeCell ref="I8:K8"/>
    <mergeCell ref="A1:N1"/>
    <mergeCell ref="A2:N2"/>
    <mergeCell ref="M3:N3"/>
    <mergeCell ref="O3:P3"/>
    <mergeCell ref="Q3:R3"/>
    <mergeCell ref="I3:L3"/>
    <mergeCell ref="E3:H3"/>
    <mergeCell ref="C5:D5"/>
    <mergeCell ref="C6:D6"/>
    <mergeCell ref="N7:N9"/>
    <mergeCell ref="E7:E9"/>
    <mergeCell ref="F7:K7"/>
    <mergeCell ref="I6:K6"/>
    <mergeCell ref="F6:H6"/>
    <mergeCell ref="A97:A99"/>
    <mergeCell ref="A100:A102"/>
    <mergeCell ref="A103:A105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91:A93"/>
    <mergeCell ref="A94:A96"/>
    <mergeCell ref="A49:A51"/>
    <mergeCell ref="A52:A54"/>
    <mergeCell ref="A55:A57"/>
    <mergeCell ref="A58:A60"/>
    <mergeCell ref="A61:A63"/>
    <mergeCell ref="A37:A39"/>
    <mergeCell ref="A40:A42"/>
    <mergeCell ref="A43:A45"/>
    <mergeCell ref="A46:A48"/>
    <mergeCell ref="A7:A9"/>
    <mergeCell ref="A10:A12"/>
    <mergeCell ref="A28:A30"/>
    <mergeCell ref="A31:A33"/>
    <mergeCell ref="A34:A36"/>
    <mergeCell ref="A13:A15"/>
    <mergeCell ref="A16:A18"/>
    <mergeCell ref="A19:A21"/>
    <mergeCell ref="A22:A24"/>
    <mergeCell ref="A25:A27"/>
    <mergeCell ref="U7:U9"/>
    <mergeCell ref="L7:L9"/>
    <mergeCell ref="M7:M9"/>
    <mergeCell ref="A3:A4"/>
    <mergeCell ref="B3:B4"/>
    <mergeCell ref="C3:C4"/>
    <mergeCell ref="Q8:Q9"/>
    <mergeCell ref="R8:R9"/>
    <mergeCell ref="S8:S9"/>
    <mergeCell ref="M4:N4"/>
    <mergeCell ref="O4:P4"/>
    <mergeCell ref="B7:B9"/>
    <mergeCell ref="C7:C9"/>
    <mergeCell ref="D7:D9"/>
    <mergeCell ref="A5:B5"/>
    <mergeCell ref="A6:B6"/>
  </mergeCells>
  <pageMargins left="0.25" right="0.25" top="0.75" bottom="0.75" header="0.3" footer="0.3"/>
  <pageSetup paperSize="9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106"/>
  <sheetViews>
    <sheetView zoomScale="85" zoomScaleNormal="85" workbookViewId="0">
      <pane xSplit="2" ySplit="9" topLeftCell="C95" activePane="bottomRight" state="frozen"/>
      <selection pane="topRight" activeCell="C1" sqref="C1"/>
      <selection pane="bottomLeft" activeCell="A10" sqref="A10"/>
      <selection pane="bottomRight" activeCell="M10" sqref="M10:M106"/>
    </sheetView>
  </sheetViews>
  <sheetFormatPr defaultColWidth="9" defaultRowHeight="21.75" customHeight="1"/>
  <cols>
    <col min="1" max="1" width="10.33203125" style="2" customWidth="1"/>
    <col min="2" max="2" width="4.109375" style="2" customWidth="1"/>
    <col min="3" max="3" width="7.88671875" style="2" customWidth="1"/>
    <col min="4" max="4" width="8.77734375" style="2" customWidth="1"/>
    <col min="5" max="5" width="9" style="2" customWidth="1"/>
    <col min="6" max="6" width="7.77734375" style="2" customWidth="1"/>
    <col min="7" max="8" width="6" style="2" customWidth="1"/>
    <col min="9" max="9" width="5.33203125" style="2" bestFit="1" customWidth="1"/>
    <col min="10" max="11" width="6.33203125" style="2" customWidth="1"/>
    <col min="12" max="12" width="6" style="2" customWidth="1"/>
    <col min="13" max="13" width="6.88671875" style="2" bestFit="1" customWidth="1"/>
    <col min="14" max="14" width="7.88671875" style="2" bestFit="1" customWidth="1"/>
    <col min="15" max="15" width="5.33203125" style="2" bestFit="1" customWidth="1"/>
    <col min="16" max="16" width="6.33203125" style="2" bestFit="1" customWidth="1"/>
    <col min="17" max="17" width="7.44140625" style="2" customWidth="1"/>
    <col min="18" max="18" width="5" style="2" customWidth="1"/>
    <col min="19" max="19" width="7.77734375" style="2" customWidth="1"/>
    <col min="20" max="20" width="6.44140625" style="2" customWidth="1"/>
    <col min="21" max="21" width="8.6640625" style="2" customWidth="1"/>
    <col min="22" max="22" width="4.109375" style="2" bestFit="1" customWidth="1"/>
    <col min="23" max="16384" width="9" style="2"/>
  </cols>
  <sheetData>
    <row r="1" spans="1:22" ht="21.75" customHeight="1">
      <c r="A1" s="90" t="s">
        <v>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</row>
    <row r="2" spans="1:22" ht="21.75" customHeight="1">
      <c r="A2" s="90" t="s">
        <v>65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</row>
    <row r="3" spans="1:22" ht="21.75" customHeight="1">
      <c r="A3" s="91" t="s">
        <v>10</v>
      </c>
      <c r="B3" s="92">
        <v>4.5</v>
      </c>
      <c r="C3" s="93" t="s">
        <v>11</v>
      </c>
      <c r="D3" s="38"/>
      <c r="E3" s="116" t="s">
        <v>12</v>
      </c>
      <c r="F3" s="95"/>
      <c r="G3" s="95"/>
      <c r="H3" s="96"/>
      <c r="I3" s="93" t="s">
        <v>13</v>
      </c>
      <c r="J3" s="93"/>
      <c r="K3" s="93"/>
      <c r="L3" s="93"/>
      <c r="M3" s="95" t="s">
        <v>14</v>
      </c>
      <c r="N3" s="96"/>
      <c r="O3" s="113" t="s">
        <v>15</v>
      </c>
      <c r="P3" s="113"/>
      <c r="Q3" s="115">
        <f>((F103+F105)*240)+((G103+G105)*180)</f>
        <v>0</v>
      </c>
      <c r="R3" s="115"/>
      <c r="S3" s="7" t="s">
        <v>16</v>
      </c>
    </row>
    <row r="4" spans="1:22" ht="21.75" customHeight="1">
      <c r="A4" s="91"/>
      <c r="B4" s="92"/>
      <c r="C4" s="93"/>
      <c r="D4" s="38"/>
      <c r="E4" s="114">
        <v>0.25</v>
      </c>
      <c r="F4" s="97"/>
      <c r="G4" s="97"/>
      <c r="H4" s="98"/>
      <c r="I4" s="94">
        <v>0.4</v>
      </c>
      <c r="J4" s="94"/>
      <c r="K4" s="94"/>
      <c r="L4" s="94"/>
      <c r="M4" s="97">
        <v>0.35</v>
      </c>
      <c r="N4" s="98"/>
      <c r="O4" s="113" t="s">
        <v>17</v>
      </c>
      <c r="P4" s="113"/>
      <c r="Q4" s="115">
        <f>((I103+L103+I104+L104+I105+L105)*660)+((J103+J105+J104)*530)</f>
        <v>0</v>
      </c>
      <c r="R4" s="115"/>
      <c r="S4" s="7" t="s">
        <v>16</v>
      </c>
    </row>
    <row r="5" spans="1:22" ht="21.75" customHeight="1">
      <c r="A5" s="99" t="s">
        <v>18</v>
      </c>
      <c r="B5" s="99"/>
      <c r="C5" s="103"/>
      <c r="D5" s="104"/>
      <c r="E5" s="35" t="s">
        <v>19</v>
      </c>
      <c r="F5" s="114" t="s">
        <v>20</v>
      </c>
      <c r="G5" s="97"/>
      <c r="H5" s="97"/>
      <c r="I5" s="97"/>
      <c r="J5" s="97"/>
      <c r="K5" s="97"/>
      <c r="L5" s="97"/>
      <c r="M5" s="6"/>
      <c r="N5" s="34" t="s">
        <v>21</v>
      </c>
      <c r="O5" s="113"/>
      <c r="P5" s="113"/>
      <c r="Q5" s="115"/>
      <c r="R5" s="115"/>
      <c r="S5" s="7"/>
    </row>
    <row r="6" spans="1:22" ht="21.75" customHeight="1">
      <c r="A6" s="99" t="s">
        <v>23</v>
      </c>
      <c r="B6" s="99"/>
      <c r="C6" s="105" t="e">
        <f>((C106*12)/(M5*7)+((D106*12)/(M5*7)))</f>
        <v>#DIV/0!</v>
      </c>
      <c r="D6" s="106"/>
      <c r="E6" s="35" t="s">
        <v>19</v>
      </c>
      <c r="F6" s="80" t="s">
        <v>24</v>
      </c>
      <c r="G6" s="81"/>
      <c r="H6" s="82"/>
      <c r="I6" s="77" t="e">
        <f>C5-C6</f>
        <v>#DIV/0!</v>
      </c>
      <c r="J6" s="78"/>
      <c r="K6" s="79"/>
      <c r="L6" s="39" t="s">
        <v>19</v>
      </c>
      <c r="M6" s="36" t="s">
        <v>25</v>
      </c>
      <c r="N6" s="27" t="e">
        <f>((((C106*4.5)+(D106*12))/((F106+G106+H106+I106+J106+K106+L106)*7)))*100</f>
        <v>#DIV/0!</v>
      </c>
      <c r="O6" s="71" t="s">
        <v>26</v>
      </c>
      <c r="P6" s="71"/>
      <c r="Q6" s="71"/>
      <c r="R6" s="72" t="e">
        <f>U106</f>
        <v>#DIV/0!</v>
      </c>
      <c r="S6" s="73"/>
    </row>
    <row r="7" spans="1:22" ht="21.75" customHeight="1">
      <c r="A7" s="65" t="s">
        <v>27</v>
      </c>
      <c r="B7" s="65" t="s">
        <v>28</v>
      </c>
      <c r="C7" s="100" t="s">
        <v>77</v>
      </c>
      <c r="D7" s="100" t="s">
        <v>78</v>
      </c>
      <c r="E7" s="65" t="s">
        <v>30</v>
      </c>
      <c r="F7" s="91" t="s">
        <v>31</v>
      </c>
      <c r="G7" s="91"/>
      <c r="H7" s="91"/>
      <c r="I7" s="91"/>
      <c r="J7" s="91"/>
      <c r="K7" s="91"/>
      <c r="L7" s="65" t="s">
        <v>32</v>
      </c>
      <c r="M7" s="65" t="s">
        <v>33</v>
      </c>
      <c r="N7" s="68" t="s">
        <v>25</v>
      </c>
      <c r="O7" s="87" t="s">
        <v>34</v>
      </c>
      <c r="P7" s="87"/>
      <c r="Q7" s="87"/>
      <c r="R7" s="87"/>
      <c r="S7" s="87"/>
      <c r="T7" s="83" t="s">
        <v>35</v>
      </c>
      <c r="U7" s="85" t="s">
        <v>26</v>
      </c>
    </row>
    <row r="8" spans="1:22" ht="21.75" customHeight="1">
      <c r="A8" s="66"/>
      <c r="B8" s="66"/>
      <c r="C8" s="101"/>
      <c r="D8" s="101"/>
      <c r="E8" s="66"/>
      <c r="F8" s="120" t="s">
        <v>37</v>
      </c>
      <c r="G8" s="121"/>
      <c r="H8" s="122"/>
      <c r="I8" s="123" t="s">
        <v>38</v>
      </c>
      <c r="J8" s="123"/>
      <c r="K8" s="123"/>
      <c r="L8" s="66"/>
      <c r="M8" s="66"/>
      <c r="N8" s="69"/>
      <c r="O8" s="88">
        <v>1</v>
      </c>
      <c r="P8" s="88">
        <v>2</v>
      </c>
      <c r="Q8" s="88">
        <v>3</v>
      </c>
      <c r="R8" s="88">
        <v>4</v>
      </c>
      <c r="S8" s="88">
        <v>5</v>
      </c>
      <c r="T8" s="83"/>
      <c r="U8" s="85"/>
    </row>
    <row r="9" spans="1:22" ht="21.75" customHeight="1">
      <c r="A9" s="67"/>
      <c r="B9" s="67"/>
      <c r="C9" s="102"/>
      <c r="D9" s="102"/>
      <c r="E9" s="67"/>
      <c r="F9" s="24" t="s">
        <v>39</v>
      </c>
      <c r="G9" s="24" t="s">
        <v>40</v>
      </c>
      <c r="H9" s="24" t="s">
        <v>76</v>
      </c>
      <c r="I9" s="57" t="s">
        <v>39</v>
      </c>
      <c r="J9" s="57" t="s">
        <v>40</v>
      </c>
      <c r="K9" s="57" t="s">
        <v>76</v>
      </c>
      <c r="L9" s="67"/>
      <c r="M9" s="67"/>
      <c r="N9" s="70"/>
      <c r="O9" s="89"/>
      <c r="P9" s="89"/>
      <c r="Q9" s="89"/>
      <c r="R9" s="89"/>
      <c r="S9" s="89"/>
      <c r="T9" s="84"/>
      <c r="U9" s="86"/>
    </row>
    <row r="10" spans="1:22" ht="21.75" customHeight="1">
      <c r="A10" s="87">
        <v>1</v>
      </c>
      <c r="B10" s="7" t="s">
        <v>12</v>
      </c>
      <c r="C10" s="3"/>
      <c r="D10" s="3"/>
      <c r="E10" s="4">
        <f>((($B$3*C10)+(12*D10))*$E$4)/7</f>
        <v>0</v>
      </c>
      <c r="F10" s="3"/>
      <c r="G10" s="3"/>
      <c r="H10" s="3"/>
      <c r="I10" s="3"/>
      <c r="J10" s="3"/>
      <c r="K10" s="3"/>
      <c r="L10" s="3"/>
      <c r="M10" s="5">
        <f>(F10+G10+H10+L10)-E10</f>
        <v>0</v>
      </c>
      <c r="N10" s="28" t="e">
        <f>(((C10*4.5)+(12*D10))*$E$4)/((F10+G10+H10+I10+J10+K10+L10)*7)*100</f>
        <v>#DIV/0!</v>
      </c>
      <c r="O10" s="7"/>
      <c r="P10" s="7"/>
      <c r="Q10" s="7"/>
      <c r="R10" s="7"/>
      <c r="S10" s="3"/>
      <c r="T10" s="37">
        <f t="shared" ref="T10:T73" si="0">SUM(O10:S10)</f>
        <v>0</v>
      </c>
      <c r="U10" s="28" t="e">
        <f>((((O10*1.5+(P10*3.5)+(Q10*5.5)+(R10*7.5)+(S10*12)))/3)/((F10+G10+H10+I10+J10+K10+L10)*7))*100</f>
        <v>#DIV/0!</v>
      </c>
      <c r="V10" s="59">
        <f>C10+D10-T10</f>
        <v>0</v>
      </c>
    </row>
    <row r="11" spans="1:22" ht="21.75" customHeight="1">
      <c r="A11" s="87"/>
      <c r="B11" s="7" t="s">
        <v>13</v>
      </c>
      <c r="C11" s="3"/>
      <c r="D11" s="3"/>
      <c r="E11" s="4">
        <f t="shared" ref="E11:E74" si="1">((($B$3*C11)+(12*D11))*$E$4)/7</f>
        <v>0</v>
      </c>
      <c r="F11" s="3"/>
      <c r="G11" s="3"/>
      <c r="H11" s="3"/>
      <c r="I11" s="3"/>
      <c r="J11" s="3"/>
      <c r="K11" s="3"/>
      <c r="L11" s="3"/>
      <c r="M11" s="5">
        <f t="shared" ref="M11:M74" si="2">(F11+G11+H11+L11)-E11</f>
        <v>0</v>
      </c>
      <c r="N11" s="28" t="e">
        <f t="shared" ref="N11:N74" si="3">(((C11*4.5)+(12*D11))*$E$4)/((F11+G11+H11+I11+J11+K11+L11)*7)*100</f>
        <v>#DIV/0!</v>
      </c>
      <c r="O11" s="7"/>
      <c r="P11" s="7"/>
      <c r="Q11" s="7"/>
      <c r="R11" s="7"/>
      <c r="S11" s="3"/>
      <c r="T11" s="37">
        <f t="shared" si="0"/>
        <v>0</v>
      </c>
      <c r="U11" s="28" t="e">
        <f t="shared" ref="U11:U74" si="4">((((O11*1.5+(P11*3.5)+(Q11*5.5)+(R11*7.5)+(S11*12)))/3)/((F11+G11+H11+I11+J11+K11+L11)*7))*100</f>
        <v>#DIV/0!</v>
      </c>
      <c r="V11" s="59">
        <f t="shared" ref="V11:V74" si="5">C11+D11-T11</f>
        <v>0</v>
      </c>
    </row>
    <row r="12" spans="1:22" ht="21.75" customHeight="1">
      <c r="A12" s="87"/>
      <c r="B12" s="7" t="s">
        <v>14</v>
      </c>
      <c r="C12" s="3"/>
      <c r="D12" s="3"/>
      <c r="E12" s="4">
        <f t="shared" si="1"/>
        <v>0</v>
      </c>
      <c r="F12" s="3"/>
      <c r="G12" s="3"/>
      <c r="H12" s="3"/>
      <c r="I12" s="3"/>
      <c r="J12" s="3"/>
      <c r="K12" s="3"/>
      <c r="L12" s="3"/>
      <c r="M12" s="5">
        <f t="shared" si="2"/>
        <v>0</v>
      </c>
      <c r="N12" s="28" t="e">
        <f t="shared" si="3"/>
        <v>#DIV/0!</v>
      </c>
      <c r="O12" s="7"/>
      <c r="P12" s="7"/>
      <c r="Q12" s="7"/>
      <c r="R12" s="7"/>
      <c r="S12" s="3"/>
      <c r="T12" s="37">
        <f t="shared" si="0"/>
        <v>0</v>
      </c>
      <c r="U12" s="28" t="e">
        <f t="shared" si="4"/>
        <v>#DIV/0!</v>
      </c>
      <c r="V12" s="59">
        <f t="shared" si="5"/>
        <v>0</v>
      </c>
    </row>
    <row r="13" spans="1:22" ht="21.75" customHeight="1">
      <c r="A13" s="87">
        <v>2</v>
      </c>
      <c r="B13" s="7" t="s">
        <v>12</v>
      </c>
      <c r="C13" s="3"/>
      <c r="D13" s="3"/>
      <c r="E13" s="4">
        <f t="shared" si="1"/>
        <v>0</v>
      </c>
      <c r="F13" s="3"/>
      <c r="G13" s="3"/>
      <c r="H13" s="3"/>
      <c r="I13" s="3"/>
      <c r="J13" s="3"/>
      <c r="K13" s="3"/>
      <c r="L13" s="3"/>
      <c r="M13" s="5">
        <f t="shared" si="2"/>
        <v>0</v>
      </c>
      <c r="N13" s="28" t="e">
        <f t="shared" si="3"/>
        <v>#DIV/0!</v>
      </c>
      <c r="O13" s="7"/>
      <c r="P13" s="7"/>
      <c r="Q13" s="7"/>
      <c r="R13" s="7"/>
      <c r="S13" s="3"/>
      <c r="T13" s="37">
        <f t="shared" si="0"/>
        <v>0</v>
      </c>
      <c r="U13" s="28" t="e">
        <f t="shared" si="4"/>
        <v>#DIV/0!</v>
      </c>
      <c r="V13" s="59">
        <f t="shared" si="5"/>
        <v>0</v>
      </c>
    </row>
    <row r="14" spans="1:22" ht="21.75" customHeight="1">
      <c r="A14" s="87"/>
      <c r="B14" s="7" t="s">
        <v>13</v>
      </c>
      <c r="C14" s="3"/>
      <c r="D14" s="3"/>
      <c r="E14" s="4">
        <f t="shared" si="1"/>
        <v>0</v>
      </c>
      <c r="F14" s="3"/>
      <c r="G14" s="3"/>
      <c r="H14" s="3"/>
      <c r="I14" s="3"/>
      <c r="J14" s="3"/>
      <c r="K14" s="3"/>
      <c r="L14" s="3"/>
      <c r="M14" s="5">
        <f t="shared" si="2"/>
        <v>0</v>
      </c>
      <c r="N14" s="28" t="e">
        <f t="shared" si="3"/>
        <v>#DIV/0!</v>
      </c>
      <c r="O14" s="7"/>
      <c r="P14" s="7"/>
      <c r="Q14" s="7"/>
      <c r="R14" s="7"/>
      <c r="S14" s="3"/>
      <c r="T14" s="37">
        <f t="shared" si="0"/>
        <v>0</v>
      </c>
      <c r="U14" s="28" t="e">
        <f t="shared" si="4"/>
        <v>#DIV/0!</v>
      </c>
      <c r="V14" s="59">
        <f t="shared" si="5"/>
        <v>0</v>
      </c>
    </row>
    <row r="15" spans="1:22" ht="21.75" customHeight="1">
      <c r="A15" s="87"/>
      <c r="B15" s="7" t="s">
        <v>14</v>
      </c>
      <c r="C15" s="3"/>
      <c r="D15" s="3"/>
      <c r="E15" s="4">
        <f t="shared" si="1"/>
        <v>0</v>
      </c>
      <c r="F15" s="3"/>
      <c r="G15" s="3"/>
      <c r="H15" s="3"/>
      <c r="I15" s="3"/>
      <c r="J15" s="3"/>
      <c r="K15" s="3"/>
      <c r="L15" s="3"/>
      <c r="M15" s="5">
        <f t="shared" si="2"/>
        <v>0</v>
      </c>
      <c r="N15" s="28" t="e">
        <f t="shared" si="3"/>
        <v>#DIV/0!</v>
      </c>
      <c r="O15" s="7"/>
      <c r="P15" s="7"/>
      <c r="Q15" s="7"/>
      <c r="R15" s="7"/>
      <c r="S15" s="3"/>
      <c r="T15" s="37">
        <f t="shared" si="0"/>
        <v>0</v>
      </c>
      <c r="U15" s="28" t="e">
        <f t="shared" si="4"/>
        <v>#DIV/0!</v>
      </c>
      <c r="V15" s="59">
        <f t="shared" si="5"/>
        <v>0</v>
      </c>
    </row>
    <row r="16" spans="1:22" ht="21.75" customHeight="1">
      <c r="A16" s="87">
        <v>3</v>
      </c>
      <c r="B16" s="7" t="s">
        <v>12</v>
      </c>
      <c r="C16" s="3"/>
      <c r="D16" s="3"/>
      <c r="E16" s="4">
        <f t="shared" si="1"/>
        <v>0</v>
      </c>
      <c r="F16" s="3"/>
      <c r="G16" s="3"/>
      <c r="H16" s="3"/>
      <c r="I16" s="3"/>
      <c r="J16" s="3"/>
      <c r="K16" s="3"/>
      <c r="L16" s="3"/>
      <c r="M16" s="5">
        <f t="shared" si="2"/>
        <v>0</v>
      </c>
      <c r="N16" s="28" t="e">
        <f t="shared" si="3"/>
        <v>#DIV/0!</v>
      </c>
      <c r="O16" s="7"/>
      <c r="P16" s="7"/>
      <c r="Q16" s="7"/>
      <c r="R16" s="7"/>
      <c r="S16" s="3"/>
      <c r="T16" s="37">
        <f t="shared" si="0"/>
        <v>0</v>
      </c>
      <c r="U16" s="28" t="e">
        <f t="shared" si="4"/>
        <v>#DIV/0!</v>
      </c>
      <c r="V16" s="59">
        <f t="shared" si="5"/>
        <v>0</v>
      </c>
    </row>
    <row r="17" spans="1:22" ht="21.75" customHeight="1">
      <c r="A17" s="87"/>
      <c r="B17" s="7" t="s">
        <v>13</v>
      </c>
      <c r="C17" s="3"/>
      <c r="D17" s="3"/>
      <c r="E17" s="4">
        <f t="shared" si="1"/>
        <v>0</v>
      </c>
      <c r="F17" s="3"/>
      <c r="G17" s="3"/>
      <c r="H17" s="3"/>
      <c r="I17" s="3"/>
      <c r="J17" s="3"/>
      <c r="K17" s="3"/>
      <c r="L17" s="3"/>
      <c r="M17" s="5">
        <f t="shared" si="2"/>
        <v>0</v>
      </c>
      <c r="N17" s="28" t="e">
        <f t="shared" si="3"/>
        <v>#DIV/0!</v>
      </c>
      <c r="O17" s="7"/>
      <c r="P17" s="7"/>
      <c r="Q17" s="7"/>
      <c r="R17" s="7"/>
      <c r="S17" s="3"/>
      <c r="T17" s="37">
        <f t="shared" si="0"/>
        <v>0</v>
      </c>
      <c r="U17" s="28" t="e">
        <f t="shared" si="4"/>
        <v>#DIV/0!</v>
      </c>
      <c r="V17" s="59">
        <f t="shared" si="5"/>
        <v>0</v>
      </c>
    </row>
    <row r="18" spans="1:22" ht="21.75" customHeight="1">
      <c r="A18" s="87"/>
      <c r="B18" s="7" t="s">
        <v>14</v>
      </c>
      <c r="C18" s="3"/>
      <c r="D18" s="3"/>
      <c r="E18" s="4">
        <f t="shared" si="1"/>
        <v>0</v>
      </c>
      <c r="F18" s="3"/>
      <c r="G18" s="3"/>
      <c r="H18" s="3"/>
      <c r="I18" s="3"/>
      <c r="J18" s="3"/>
      <c r="K18" s="3"/>
      <c r="L18" s="3"/>
      <c r="M18" s="5">
        <f t="shared" si="2"/>
        <v>0</v>
      </c>
      <c r="N18" s="28" t="e">
        <f t="shared" si="3"/>
        <v>#DIV/0!</v>
      </c>
      <c r="O18" s="7"/>
      <c r="P18" s="7"/>
      <c r="Q18" s="7"/>
      <c r="R18" s="7"/>
      <c r="S18" s="3"/>
      <c r="T18" s="37">
        <f t="shared" si="0"/>
        <v>0</v>
      </c>
      <c r="U18" s="28" t="e">
        <f t="shared" si="4"/>
        <v>#DIV/0!</v>
      </c>
      <c r="V18" s="59">
        <f t="shared" si="5"/>
        <v>0</v>
      </c>
    </row>
    <row r="19" spans="1:22" ht="21.75" customHeight="1">
      <c r="A19" s="87">
        <v>4</v>
      </c>
      <c r="B19" s="7" t="s">
        <v>12</v>
      </c>
      <c r="C19" s="3"/>
      <c r="D19" s="3"/>
      <c r="E19" s="4">
        <f t="shared" si="1"/>
        <v>0</v>
      </c>
      <c r="F19" s="3"/>
      <c r="G19" s="3"/>
      <c r="H19" s="3"/>
      <c r="I19" s="3"/>
      <c r="J19" s="3"/>
      <c r="K19" s="3"/>
      <c r="L19" s="3"/>
      <c r="M19" s="5">
        <f t="shared" si="2"/>
        <v>0</v>
      </c>
      <c r="N19" s="28" t="e">
        <f t="shared" si="3"/>
        <v>#DIV/0!</v>
      </c>
      <c r="O19" s="7"/>
      <c r="P19" s="7"/>
      <c r="Q19" s="7"/>
      <c r="R19" s="7"/>
      <c r="S19" s="3"/>
      <c r="T19" s="37">
        <f t="shared" si="0"/>
        <v>0</v>
      </c>
      <c r="U19" s="28" t="e">
        <f t="shared" si="4"/>
        <v>#DIV/0!</v>
      </c>
      <c r="V19" s="59">
        <f t="shared" si="5"/>
        <v>0</v>
      </c>
    </row>
    <row r="20" spans="1:22" ht="21.75" customHeight="1">
      <c r="A20" s="87"/>
      <c r="B20" s="7" t="s">
        <v>13</v>
      </c>
      <c r="C20" s="3"/>
      <c r="D20" s="3"/>
      <c r="E20" s="4">
        <f t="shared" si="1"/>
        <v>0</v>
      </c>
      <c r="F20" s="3"/>
      <c r="G20" s="3"/>
      <c r="H20" s="3"/>
      <c r="I20" s="3"/>
      <c r="J20" s="3"/>
      <c r="K20" s="3"/>
      <c r="L20" s="3"/>
      <c r="M20" s="5">
        <f t="shared" si="2"/>
        <v>0</v>
      </c>
      <c r="N20" s="28" t="e">
        <f t="shared" si="3"/>
        <v>#DIV/0!</v>
      </c>
      <c r="O20" s="7"/>
      <c r="P20" s="7"/>
      <c r="Q20" s="7"/>
      <c r="R20" s="7"/>
      <c r="S20" s="3"/>
      <c r="T20" s="37">
        <f t="shared" si="0"/>
        <v>0</v>
      </c>
      <c r="U20" s="28" t="e">
        <f t="shared" si="4"/>
        <v>#DIV/0!</v>
      </c>
      <c r="V20" s="59">
        <f t="shared" si="5"/>
        <v>0</v>
      </c>
    </row>
    <row r="21" spans="1:22" ht="21.75" customHeight="1">
      <c r="A21" s="87"/>
      <c r="B21" s="7" t="s">
        <v>14</v>
      </c>
      <c r="C21" s="3"/>
      <c r="D21" s="3"/>
      <c r="E21" s="4">
        <f t="shared" si="1"/>
        <v>0</v>
      </c>
      <c r="F21" s="3"/>
      <c r="G21" s="3"/>
      <c r="H21" s="3"/>
      <c r="I21" s="3"/>
      <c r="J21" s="3"/>
      <c r="K21" s="3"/>
      <c r="L21" s="3"/>
      <c r="M21" s="5">
        <f t="shared" si="2"/>
        <v>0</v>
      </c>
      <c r="N21" s="28" t="e">
        <f t="shared" si="3"/>
        <v>#DIV/0!</v>
      </c>
      <c r="O21" s="7"/>
      <c r="P21" s="7"/>
      <c r="Q21" s="7"/>
      <c r="R21" s="7"/>
      <c r="S21" s="3"/>
      <c r="T21" s="37">
        <f t="shared" si="0"/>
        <v>0</v>
      </c>
      <c r="U21" s="28" t="e">
        <f t="shared" si="4"/>
        <v>#DIV/0!</v>
      </c>
      <c r="V21" s="59">
        <f t="shared" si="5"/>
        <v>0</v>
      </c>
    </row>
    <row r="22" spans="1:22" ht="21.75" customHeight="1">
      <c r="A22" s="87">
        <v>5</v>
      </c>
      <c r="B22" s="7" t="s">
        <v>12</v>
      </c>
      <c r="C22" s="3"/>
      <c r="D22" s="3"/>
      <c r="E22" s="4">
        <f t="shared" si="1"/>
        <v>0</v>
      </c>
      <c r="F22" s="3"/>
      <c r="G22" s="3"/>
      <c r="H22" s="3"/>
      <c r="I22" s="3"/>
      <c r="J22" s="3"/>
      <c r="K22" s="3"/>
      <c r="L22" s="3"/>
      <c r="M22" s="5">
        <f t="shared" si="2"/>
        <v>0</v>
      </c>
      <c r="N22" s="28" t="e">
        <f t="shared" si="3"/>
        <v>#DIV/0!</v>
      </c>
      <c r="O22" s="7"/>
      <c r="P22" s="7"/>
      <c r="Q22" s="7"/>
      <c r="R22" s="7"/>
      <c r="S22" s="3"/>
      <c r="T22" s="37">
        <f t="shared" si="0"/>
        <v>0</v>
      </c>
      <c r="U22" s="28" t="e">
        <f t="shared" si="4"/>
        <v>#DIV/0!</v>
      </c>
      <c r="V22" s="59">
        <f t="shared" si="5"/>
        <v>0</v>
      </c>
    </row>
    <row r="23" spans="1:22" ht="21.75" customHeight="1">
      <c r="A23" s="87"/>
      <c r="B23" s="7" t="s">
        <v>13</v>
      </c>
      <c r="C23" s="3"/>
      <c r="D23" s="3"/>
      <c r="E23" s="4">
        <f t="shared" si="1"/>
        <v>0</v>
      </c>
      <c r="F23" s="3"/>
      <c r="G23" s="3"/>
      <c r="H23" s="3"/>
      <c r="I23" s="3"/>
      <c r="J23" s="3"/>
      <c r="K23" s="3"/>
      <c r="L23" s="3"/>
      <c r="M23" s="5">
        <f t="shared" si="2"/>
        <v>0</v>
      </c>
      <c r="N23" s="28" t="e">
        <f t="shared" si="3"/>
        <v>#DIV/0!</v>
      </c>
      <c r="O23" s="7"/>
      <c r="P23" s="7"/>
      <c r="Q23" s="7"/>
      <c r="R23" s="7"/>
      <c r="S23" s="3"/>
      <c r="T23" s="37">
        <f t="shared" si="0"/>
        <v>0</v>
      </c>
      <c r="U23" s="28" t="e">
        <f t="shared" si="4"/>
        <v>#DIV/0!</v>
      </c>
      <c r="V23" s="59">
        <f t="shared" si="5"/>
        <v>0</v>
      </c>
    </row>
    <row r="24" spans="1:22" ht="21.75" customHeight="1">
      <c r="A24" s="87"/>
      <c r="B24" s="7" t="s">
        <v>14</v>
      </c>
      <c r="C24" s="3"/>
      <c r="D24" s="3"/>
      <c r="E24" s="4">
        <f t="shared" si="1"/>
        <v>0</v>
      </c>
      <c r="F24" s="3"/>
      <c r="G24" s="3"/>
      <c r="H24" s="3"/>
      <c r="I24" s="3"/>
      <c r="J24" s="3"/>
      <c r="K24" s="3"/>
      <c r="L24" s="3"/>
      <c r="M24" s="5">
        <f t="shared" si="2"/>
        <v>0</v>
      </c>
      <c r="N24" s="28" t="e">
        <f t="shared" si="3"/>
        <v>#DIV/0!</v>
      </c>
      <c r="O24" s="7"/>
      <c r="P24" s="7"/>
      <c r="Q24" s="7"/>
      <c r="R24" s="7"/>
      <c r="S24" s="3"/>
      <c r="T24" s="37">
        <f t="shared" si="0"/>
        <v>0</v>
      </c>
      <c r="U24" s="28" t="e">
        <f t="shared" si="4"/>
        <v>#DIV/0!</v>
      </c>
      <c r="V24" s="59">
        <f t="shared" si="5"/>
        <v>0</v>
      </c>
    </row>
    <row r="25" spans="1:22" ht="21.75" customHeight="1">
      <c r="A25" s="87">
        <v>6</v>
      </c>
      <c r="B25" s="7" t="s">
        <v>12</v>
      </c>
      <c r="C25" s="3"/>
      <c r="D25" s="3"/>
      <c r="E25" s="4">
        <f t="shared" si="1"/>
        <v>0</v>
      </c>
      <c r="F25" s="3"/>
      <c r="G25" s="3"/>
      <c r="H25" s="3"/>
      <c r="I25" s="3"/>
      <c r="J25" s="3"/>
      <c r="K25" s="3"/>
      <c r="L25" s="3"/>
      <c r="M25" s="5">
        <f t="shared" si="2"/>
        <v>0</v>
      </c>
      <c r="N25" s="28" t="e">
        <f t="shared" si="3"/>
        <v>#DIV/0!</v>
      </c>
      <c r="O25" s="7"/>
      <c r="P25" s="7"/>
      <c r="Q25" s="7"/>
      <c r="R25" s="7"/>
      <c r="S25" s="3"/>
      <c r="T25" s="37">
        <f t="shared" si="0"/>
        <v>0</v>
      </c>
      <c r="U25" s="28" t="e">
        <f t="shared" si="4"/>
        <v>#DIV/0!</v>
      </c>
      <c r="V25" s="59">
        <f t="shared" si="5"/>
        <v>0</v>
      </c>
    </row>
    <row r="26" spans="1:22" ht="21.75" customHeight="1">
      <c r="A26" s="87"/>
      <c r="B26" s="7" t="s">
        <v>13</v>
      </c>
      <c r="C26" s="3"/>
      <c r="D26" s="3"/>
      <c r="E26" s="4">
        <f t="shared" si="1"/>
        <v>0</v>
      </c>
      <c r="F26" s="3"/>
      <c r="G26" s="3"/>
      <c r="H26" s="3"/>
      <c r="I26" s="3"/>
      <c r="J26" s="3"/>
      <c r="K26" s="3"/>
      <c r="L26" s="3"/>
      <c r="M26" s="5">
        <f t="shared" si="2"/>
        <v>0</v>
      </c>
      <c r="N26" s="28" t="e">
        <f t="shared" si="3"/>
        <v>#DIV/0!</v>
      </c>
      <c r="O26" s="7"/>
      <c r="P26" s="7"/>
      <c r="Q26" s="7"/>
      <c r="R26" s="7"/>
      <c r="S26" s="3"/>
      <c r="T26" s="37">
        <f t="shared" si="0"/>
        <v>0</v>
      </c>
      <c r="U26" s="28" t="e">
        <f t="shared" si="4"/>
        <v>#DIV/0!</v>
      </c>
      <c r="V26" s="59">
        <f t="shared" si="5"/>
        <v>0</v>
      </c>
    </row>
    <row r="27" spans="1:22" ht="21.75" customHeight="1">
      <c r="A27" s="87"/>
      <c r="B27" s="7" t="s">
        <v>14</v>
      </c>
      <c r="C27" s="3"/>
      <c r="D27" s="3"/>
      <c r="E27" s="4">
        <f t="shared" si="1"/>
        <v>0</v>
      </c>
      <c r="F27" s="3"/>
      <c r="G27" s="3"/>
      <c r="H27" s="3"/>
      <c r="I27" s="3"/>
      <c r="J27" s="3"/>
      <c r="K27" s="3"/>
      <c r="L27" s="3"/>
      <c r="M27" s="5">
        <f t="shared" si="2"/>
        <v>0</v>
      </c>
      <c r="N27" s="28" t="e">
        <f t="shared" si="3"/>
        <v>#DIV/0!</v>
      </c>
      <c r="O27" s="7"/>
      <c r="P27" s="7"/>
      <c r="Q27" s="7"/>
      <c r="R27" s="7"/>
      <c r="S27" s="3"/>
      <c r="T27" s="37">
        <f t="shared" si="0"/>
        <v>0</v>
      </c>
      <c r="U27" s="28" t="e">
        <f t="shared" si="4"/>
        <v>#DIV/0!</v>
      </c>
      <c r="V27" s="59">
        <f t="shared" si="5"/>
        <v>0</v>
      </c>
    </row>
    <row r="28" spans="1:22" ht="21.75" customHeight="1">
      <c r="A28" s="87">
        <v>7</v>
      </c>
      <c r="B28" s="7" t="s">
        <v>12</v>
      </c>
      <c r="C28" s="3"/>
      <c r="D28" s="3"/>
      <c r="E28" s="4">
        <f t="shared" si="1"/>
        <v>0</v>
      </c>
      <c r="F28" s="3"/>
      <c r="G28" s="3"/>
      <c r="H28" s="3"/>
      <c r="I28" s="3"/>
      <c r="J28" s="3"/>
      <c r="K28" s="3"/>
      <c r="L28" s="3"/>
      <c r="M28" s="5">
        <f t="shared" si="2"/>
        <v>0</v>
      </c>
      <c r="N28" s="28" t="e">
        <f t="shared" si="3"/>
        <v>#DIV/0!</v>
      </c>
      <c r="O28" s="7"/>
      <c r="P28" s="7"/>
      <c r="Q28" s="7"/>
      <c r="R28" s="7"/>
      <c r="S28" s="3"/>
      <c r="T28" s="37">
        <f t="shared" si="0"/>
        <v>0</v>
      </c>
      <c r="U28" s="28" t="e">
        <f t="shared" si="4"/>
        <v>#DIV/0!</v>
      </c>
      <c r="V28" s="59">
        <f t="shared" si="5"/>
        <v>0</v>
      </c>
    </row>
    <row r="29" spans="1:22" ht="21.75" customHeight="1">
      <c r="A29" s="87"/>
      <c r="B29" s="7" t="s">
        <v>13</v>
      </c>
      <c r="C29" s="3"/>
      <c r="D29" s="3"/>
      <c r="E29" s="4">
        <f t="shared" si="1"/>
        <v>0</v>
      </c>
      <c r="F29" s="3"/>
      <c r="G29" s="3"/>
      <c r="H29" s="3"/>
      <c r="I29" s="3"/>
      <c r="J29" s="3"/>
      <c r="K29" s="3"/>
      <c r="L29" s="3"/>
      <c r="M29" s="5">
        <f t="shared" si="2"/>
        <v>0</v>
      </c>
      <c r="N29" s="28" t="e">
        <f t="shared" si="3"/>
        <v>#DIV/0!</v>
      </c>
      <c r="O29" s="7"/>
      <c r="P29" s="7"/>
      <c r="Q29" s="7"/>
      <c r="R29" s="7"/>
      <c r="S29" s="3"/>
      <c r="T29" s="37">
        <f t="shared" si="0"/>
        <v>0</v>
      </c>
      <c r="U29" s="28" t="e">
        <f t="shared" si="4"/>
        <v>#DIV/0!</v>
      </c>
      <c r="V29" s="59">
        <f t="shared" si="5"/>
        <v>0</v>
      </c>
    </row>
    <row r="30" spans="1:22" ht="21.75" customHeight="1">
      <c r="A30" s="87"/>
      <c r="B30" s="7" t="s">
        <v>14</v>
      </c>
      <c r="C30" s="3"/>
      <c r="D30" s="3"/>
      <c r="E30" s="4">
        <f t="shared" si="1"/>
        <v>0</v>
      </c>
      <c r="F30" s="3"/>
      <c r="G30" s="3"/>
      <c r="H30" s="3"/>
      <c r="I30" s="3"/>
      <c r="J30" s="3"/>
      <c r="K30" s="3"/>
      <c r="L30" s="3"/>
      <c r="M30" s="5">
        <f t="shared" si="2"/>
        <v>0</v>
      </c>
      <c r="N30" s="28" t="e">
        <f t="shared" si="3"/>
        <v>#DIV/0!</v>
      </c>
      <c r="O30" s="7"/>
      <c r="P30" s="7"/>
      <c r="Q30" s="7"/>
      <c r="R30" s="7"/>
      <c r="S30" s="3"/>
      <c r="T30" s="37">
        <f t="shared" si="0"/>
        <v>0</v>
      </c>
      <c r="U30" s="28" t="e">
        <f t="shared" si="4"/>
        <v>#DIV/0!</v>
      </c>
      <c r="V30" s="59">
        <f t="shared" si="5"/>
        <v>0</v>
      </c>
    </row>
    <row r="31" spans="1:22" ht="21.75" customHeight="1">
      <c r="A31" s="87">
        <v>8</v>
      </c>
      <c r="B31" s="7" t="s">
        <v>12</v>
      </c>
      <c r="C31" s="3"/>
      <c r="D31" s="3"/>
      <c r="E31" s="4">
        <f t="shared" si="1"/>
        <v>0</v>
      </c>
      <c r="F31" s="3"/>
      <c r="G31" s="3"/>
      <c r="H31" s="3"/>
      <c r="I31" s="3"/>
      <c r="J31" s="3"/>
      <c r="K31" s="3"/>
      <c r="L31" s="3"/>
      <c r="M31" s="5">
        <f t="shared" si="2"/>
        <v>0</v>
      </c>
      <c r="N31" s="28" t="e">
        <f t="shared" si="3"/>
        <v>#DIV/0!</v>
      </c>
      <c r="O31" s="7"/>
      <c r="P31" s="7"/>
      <c r="Q31" s="7"/>
      <c r="R31" s="7"/>
      <c r="S31" s="3"/>
      <c r="T31" s="37">
        <f t="shared" si="0"/>
        <v>0</v>
      </c>
      <c r="U31" s="28" t="e">
        <f t="shared" si="4"/>
        <v>#DIV/0!</v>
      </c>
      <c r="V31" s="59">
        <f t="shared" si="5"/>
        <v>0</v>
      </c>
    </row>
    <row r="32" spans="1:22" ht="21.75" customHeight="1">
      <c r="A32" s="87"/>
      <c r="B32" s="7" t="s">
        <v>13</v>
      </c>
      <c r="C32" s="3"/>
      <c r="D32" s="3"/>
      <c r="E32" s="4">
        <f t="shared" si="1"/>
        <v>0</v>
      </c>
      <c r="F32" s="3"/>
      <c r="G32" s="3"/>
      <c r="H32" s="3"/>
      <c r="I32" s="3"/>
      <c r="J32" s="3"/>
      <c r="K32" s="3"/>
      <c r="L32" s="3"/>
      <c r="M32" s="5">
        <f t="shared" si="2"/>
        <v>0</v>
      </c>
      <c r="N32" s="28" t="e">
        <f t="shared" si="3"/>
        <v>#DIV/0!</v>
      </c>
      <c r="O32" s="7"/>
      <c r="P32" s="7"/>
      <c r="Q32" s="7"/>
      <c r="R32" s="7"/>
      <c r="S32" s="3"/>
      <c r="T32" s="37">
        <f t="shared" si="0"/>
        <v>0</v>
      </c>
      <c r="U32" s="28" t="e">
        <f t="shared" si="4"/>
        <v>#DIV/0!</v>
      </c>
      <c r="V32" s="59">
        <f t="shared" si="5"/>
        <v>0</v>
      </c>
    </row>
    <row r="33" spans="1:22" ht="21.75" customHeight="1">
      <c r="A33" s="87"/>
      <c r="B33" s="7" t="s">
        <v>14</v>
      </c>
      <c r="C33" s="3"/>
      <c r="D33" s="3"/>
      <c r="E33" s="4">
        <f t="shared" si="1"/>
        <v>0</v>
      </c>
      <c r="F33" s="3"/>
      <c r="G33" s="3"/>
      <c r="H33" s="3"/>
      <c r="I33" s="3"/>
      <c r="J33" s="3"/>
      <c r="K33" s="3"/>
      <c r="L33" s="3"/>
      <c r="M33" s="5">
        <f t="shared" si="2"/>
        <v>0</v>
      </c>
      <c r="N33" s="28" t="e">
        <f t="shared" si="3"/>
        <v>#DIV/0!</v>
      </c>
      <c r="O33" s="7"/>
      <c r="P33" s="7"/>
      <c r="Q33" s="7"/>
      <c r="R33" s="7"/>
      <c r="S33" s="3"/>
      <c r="T33" s="37">
        <f t="shared" si="0"/>
        <v>0</v>
      </c>
      <c r="U33" s="28" t="e">
        <f t="shared" si="4"/>
        <v>#DIV/0!</v>
      </c>
      <c r="V33" s="59">
        <f t="shared" si="5"/>
        <v>0</v>
      </c>
    </row>
    <row r="34" spans="1:22" ht="21.75" customHeight="1">
      <c r="A34" s="87">
        <v>9</v>
      </c>
      <c r="B34" s="7" t="s">
        <v>12</v>
      </c>
      <c r="C34" s="3"/>
      <c r="D34" s="3"/>
      <c r="E34" s="4">
        <f t="shared" si="1"/>
        <v>0</v>
      </c>
      <c r="F34" s="3"/>
      <c r="G34" s="3"/>
      <c r="H34" s="3"/>
      <c r="I34" s="3"/>
      <c r="J34" s="3"/>
      <c r="K34" s="3"/>
      <c r="L34" s="3"/>
      <c r="M34" s="5">
        <f t="shared" si="2"/>
        <v>0</v>
      </c>
      <c r="N34" s="28" t="e">
        <f t="shared" si="3"/>
        <v>#DIV/0!</v>
      </c>
      <c r="O34" s="7"/>
      <c r="P34" s="7"/>
      <c r="Q34" s="7"/>
      <c r="R34" s="7"/>
      <c r="S34" s="3"/>
      <c r="T34" s="37">
        <f t="shared" si="0"/>
        <v>0</v>
      </c>
      <c r="U34" s="28" t="e">
        <f t="shared" si="4"/>
        <v>#DIV/0!</v>
      </c>
      <c r="V34" s="59">
        <f t="shared" si="5"/>
        <v>0</v>
      </c>
    </row>
    <row r="35" spans="1:22" ht="21.75" customHeight="1">
      <c r="A35" s="87"/>
      <c r="B35" s="7" t="s">
        <v>13</v>
      </c>
      <c r="C35" s="3"/>
      <c r="D35" s="3"/>
      <c r="E35" s="4">
        <f t="shared" si="1"/>
        <v>0</v>
      </c>
      <c r="F35" s="3"/>
      <c r="G35" s="3"/>
      <c r="H35" s="3"/>
      <c r="I35" s="3"/>
      <c r="J35" s="3"/>
      <c r="K35" s="3"/>
      <c r="L35" s="3"/>
      <c r="M35" s="5">
        <f t="shared" si="2"/>
        <v>0</v>
      </c>
      <c r="N35" s="28" t="e">
        <f t="shared" si="3"/>
        <v>#DIV/0!</v>
      </c>
      <c r="O35" s="7"/>
      <c r="P35" s="7"/>
      <c r="Q35" s="7"/>
      <c r="R35" s="7"/>
      <c r="S35" s="3"/>
      <c r="T35" s="37">
        <f t="shared" si="0"/>
        <v>0</v>
      </c>
      <c r="U35" s="28" t="e">
        <f t="shared" si="4"/>
        <v>#DIV/0!</v>
      </c>
      <c r="V35" s="59">
        <f t="shared" si="5"/>
        <v>0</v>
      </c>
    </row>
    <row r="36" spans="1:22" ht="21.75" customHeight="1">
      <c r="A36" s="87"/>
      <c r="B36" s="7" t="s">
        <v>14</v>
      </c>
      <c r="C36" s="3"/>
      <c r="D36" s="3"/>
      <c r="E36" s="4">
        <f t="shared" si="1"/>
        <v>0</v>
      </c>
      <c r="F36" s="3"/>
      <c r="G36" s="3"/>
      <c r="H36" s="3"/>
      <c r="I36" s="3"/>
      <c r="J36" s="3"/>
      <c r="K36" s="3"/>
      <c r="L36" s="3"/>
      <c r="M36" s="5">
        <f t="shared" si="2"/>
        <v>0</v>
      </c>
      <c r="N36" s="28" t="e">
        <f t="shared" si="3"/>
        <v>#DIV/0!</v>
      </c>
      <c r="O36" s="7"/>
      <c r="P36" s="7"/>
      <c r="Q36" s="7"/>
      <c r="R36" s="7"/>
      <c r="S36" s="3"/>
      <c r="T36" s="37">
        <f t="shared" si="0"/>
        <v>0</v>
      </c>
      <c r="U36" s="28" t="e">
        <f t="shared" si="4"/>
        <v>#DIV/0!</v>
      </c>
      <c r="V36" s="59">
        <f t="shared" si="5"/>
        <v>0</v>
      </c>
    </row>
    <row r="37" spans="1:22" ht="21.75" customHeight="1">
      <c r="A37" s="87">
        <v>10</v>
      </c>
      <c r="B37" s="7" t="s">
        <v>12</v>
      </c>
      <c r="C37" s="3"/>
      <c r="D37" s="3"/>
      <c r="E37" s="4">
        <f t="shared" si="1"/>
        <v>0</v>
      </c>
      <c r="F37" s="3"/>
      <c r="G37" s="3"/>
      <c r="H37" s="3"/>
      <c r="I37" s="3"/>
      <c r="J37" s="3"/>
      <c r="K37" s="3"/>
      <c r="L37" s="3"/>
      <c r="M37" s="5">
        <f t="shared" si="2"/>
        <v>0</v>
      </c>
      <c r="N37" s="28" t="e">
        <f t="shared" si="3"/>
        <v>#DIV/0!</v>
      </c>
      <c r="O37" s="7"/>
      <c r="P37" s="7"/>
      <c r="Q37" s="7"/>
      <c r="R37" s="7"/>
      <c r="S37" s="3"/>
      <c r="T37" s="37">
        <f t="shared" si="0"/>
        <v>0</v>
      </c>
      <c r="U37" s="28" t="e">
        <f t="shared" si="4"/>
        <v>#DIV/0!</v>
      </c>
      <c r="V37" s="59">
        <f t="shared" si="5"/>
        <v>0</v>
      </c>
    </row>
    <row r="38" spans="1:22" ht="21.75" customHeight="1">
      <c r="A38" s="87"/>
      <c r="B38" s="7" t="s">
        <v>13</v>
      </c>
      <c r="C38" s="3"/>
      <c r="D38" s="3"/>
      <c r="E38" s="4">
        <f t="shared" si="1"/>
        <v>0</v>
      </c>
      <c r="F38" s="3"/>
      <c r="G38" s="3"/>
      <c r="H38" s="3"/>
      <c r="I38" s="3"/>
      <c r="J38" s="3"/>
      <c r="K38" s="3"/>
      <c r="L38" s="3"/>
      <c r="M38" s="5">
        <f t="shared" si="2"/>
        <v>0</v>
      </c>
      <c r="N38" s="28" t="e">
        <f t="shared" si="3"/>
        <v>#DIV/0!</v>
      </c>
      <c r="O38" s="7"/>
      <c r="P38" s="7"/>
      <c r="Q38" s="7"/>
      <c r="R38" s="7"/>
      <c r="S38" s="3"/>
      <c r="T38" s="37">
        <f t="shared" si="0"/>
        <v>0</v>
      </c>
      <c r="U38" s="28" t="e">
        <f t="shared" si="4"/>
        <v>#DIV/0!</v>
      </c>
      <c r="V38" s="59">
        <f t="shared" si="5"/>
        <v>0</v>
      </c>
    </row>
    <row r="39" spans="1:22" ht="21.75" customHeight="1">
      <c r="A39" s="87"/>
      <c r="B39" s="7" t="s">
        <v>14</v>
      </c>
      <c r="C39" s="3"/>
      <c r="D39" s="3"/>
      <c r="E39" s="4">
        <f t="shared" si="1"/>
        <v>0</v>
      </c>
      <c r="F39" s="3"/>
      <c r="G39" s="3"/>
      <c r="H39" s="3"/>
      <c r="I39" s="3"/>
      <c r="J39" s="3"/>
      <c r="K39" s="3"/>
      <c r="L39" s="3"/>
      <c r="M39" s="5">
        <f t="shared" si="2"/>
        <v>0</v>
      </c>
      <c r="N39" s="28" t="e">
        <f t="shared" si="3"/>
        <v>#DIV/0!</v>
      </c>
      <c r="O39" s="7"/>
      <c r="P39" s="7"/>
      <c r="Q39" s="7"/>
      <c r="R39" s="7"/>
      <c r="S39" s="3"/>
      <c r="T39" s="37">
        <f t="shared" si="0"/>
        <v>0</v>
      </c>
      <c r="U39" s="28" t="e">
        <f t="shared" si="4"/>
        <v>#DIV/0!</v>
      </c>
      <c r="V39" s="59">
        <f t="shared" si="5"/>
        <v>0</v>
      </c>
    </row>
    <row r="40" spans="1:22" ht="21.75" customHeight="1">
      <c r="A40" s="87">
        <v>11</v>
      </c>
      <c r="B40" s="7" t="s">
        <v>12</v>
      </c>
      <c r="C40" s="3"/>
      <c r="D40" s="3"/>
      <c r="E40" s="4">
        <f t="shared" si="1"/>
        <v>0</v>
      </c>
      <c r="F40" s="3"/>
      <c r="G40" s="3"/>
      <c r="H40" s="3"/>
      <c r="I40" s="3"/>
      <c r="J40" s="3"/>
      <c r="K40" s="3"/>
      <c r="L40" s="3"/>
      <c r="M40" s="5">
        <f t="shared" si="2"/>
        <v>0</v>
      </c>
      <c r="N40" s="28" t="e">
        <f t="shared" si="3"/>
        <v>#DIV/0!</v>
      </c>
      <c r="O40" s="7"/>
      <c r="P40" s="7"/>
      <c r="Q40" s="7"/>
      <c r="R40" s="7"/>
      <c r="S40" s="3"/>
      <c r="T40" s="37">
        <f t="shared" si="0"/>
        <v>0</v>
      </c>
      <c r="U40" s="28" t="e">
        <f t="shared" si="4"/>
        <v>#DIV/0!</v>
      </c>
      <c r="V40" s="59">
        <f t="shared" si="5"/>
        <v>0</v>
      </c>
    </row>
    <row r="41" spans="1:22" ht="21.75" customHeight="1">
      <c r="A41" s="87"/>
      <c r="B41" s="7" t="s">
        <v>13</v>
      </c>
      <c r="C41" s="3"/>
      <c r="D41" s="3"/>
      <c r="E41" s="4">
        <f t="shared" si="1"/>
        <v>0</v>
      </c>
      <c r="F41" s="3"/>
      <c r="G41" s="3"/>
      <c r="H41" s="3"/>
      <c r="I41" s="3"/>
      <c r="J41" s="3"/>
      <c r="K41" s="3"/>
      <c r="L41" s="3"/>
      <c r="M41" s="5">
        <f t="shared" si="2"/>
        <v>0</v>
      </c>
      <c r="N41" s="28" t="e">
        <f t="shared" si="3"/>
        <v>#DIV/0!</v>
      </c>
      <c r="O41" s="7"/>
      <c r="P41" s="7"/>
      <c r="Q41" s="7"/>
      <c r="R41" s="7"/>
      <c r="S41" s="3"/>
      <c r="T41" s="37">
        <f t="shared" si="0"/>
        <v>0</v>
      </c>
      <c r="U41" s="28" t="e">
        <f t="shared" si="4"/>
        <v>#DIV/0!</v>
      </c>
      <c r="V41" s="59">
        <f t="shared" si="5"/>
        <v>0</v>
      </c>
    </row>
    <row r="42" spans="1:22" ht="21.75" customHeight="1">
      <c r="A42" s="87"/>
      <c r="B42" s="7" t="s">
        <v>14</v>
      </c>
      <c r="C42" s="3"/>
      <c r="D42" s="3"/>
      <c r="E42" s="4">
        <f t="shared" si="1"/>
        <v>0</v>
      </c>
      <c r="F42" s="3"/>
      <c r="G42" s="3"/>
      <c r="H42" s="3"/>
      <c r="I42" s="3"/>
      <c r="J42" s="3"/>
      <c r="K42" s="3"/>
      <c r="L42" s="3"/>
      <c r="M42" s="5">
        <f t="shared" si="2"/>
        <v>0</v>
      </c>
      <c r="N42" s="28" t="e">
        <f t="shared" si="3"/>
        <v>#DIV/0!</v>
      </c>
      <c r="O42" s="7"/>
      <c r="P42" s="7"/>
      <c r="Q42" s="7"/>
      <c r="R42" s="7"/>
      <c r="S42" s="3"/>
      <c r="T42" s="37">
        <f t="shared" si="0"/>
        <v>0</v>
      </c>
      <c r="U42" s="28" t="e">
        <f t="shared" si="4"/>
        <v>#DIV/0!</v>
      </c>
      <c r="V42" s="59">
        <f t="shared" si="5"/>
        <v>0</v>
      </c>
    </row>
    <row r="43" spans="1:22" ht="21.75" customHeight="1">
      <c r="A43" s="87">
        <v>12</v>
      </c>
      <c r="B43" s="7" t="s">
        <v>12</v>
      </c>
      <c r="C43" s="3"/>
      <c r="D43" s="3"/>
      <c r="E43" s="4">
        <f t="shared" si="1"/>
        <v>0</v>
      </c>
      <c r="F43" s="3"/>
      <c r="G43" s="3"/>
      <c r="H43" s="3"/>
      <c r="I43" s="3"/>
      <c r="J43" s="3"/>
      <c r="K43" s="3"/>
      <c r="L43" s="3"/>
      <c r="M43" s="5">
        <f t="shared" si="2"/>
        <v>0</v>
      </c>
      <c r="N43" s="28" t="e">
        <f t="shared" si="3"/>
        <v>#DIV/0!</v>
      </c>
      <c r="O43" s="7"/>
      <c r="P43" s="7"/>
      <c r="Q43" s="7"/>
      <c r="R43" s="7"/>
      <c r="S43" s="3"/>
      <c r="T43" s="37">
        <f t="shared" si="0"/>
        <v>0</v>
      </c>
      <c r="U43" s="28" t="e">
        <f t="shared" si="4"/>
        <v>#DIV/0!</v>
      </c>
      <c r="V43" s="59">
        <f t="shared" si="5"/>
        <v>0</v>
      </c>
    </row>
    <row r="44" spans="1:22" ht="21.75" customHeight="1">
      <c r="A44" s="87"/>
      <c r="B44" s="7" t="s">
        <v>13</v>
      </c>
      <c r="C44" s="3"/>
      <c r="D44" s="3"/>
      <c r="E44" s="4">
        <f t="shared" si="1"/>
        <v>0</v>
      </c>
      <c r="F44" s="3"/>
      <c r="G44" s="3"/>
      <c r="H44" s="3"/>
      <c r="I44" s="3"/>
      <c r="J44" s="3"/>
      <c r="K44" s="3"/>
      <c r="L44" s="3"/>
      <c r="M44" s="5">
        <f t="shared" si="2"/>
        <v>0</v>
      </c>
      <c r="N44" s="28" t="e">
        <f t="shared" si="3"/>
        <v>#DIV/0!</v>
      </c>
      <c r="O44" s="7"/>
      <c r="P44" s="7"/>
      <c r="Q44" s="7"/>
      <c r="R44" s="7"/>
      <c r="S44" s="3"/>
      <c r="T44" s="37">
        <f t="shared" si="0"/>
        <v>0</v>
      </c>
      <c r="U44" s="28" t="e">
        <f t="shared" si="4"/>
        <v>#DIV/0!</v>
      </c>
      <c r="V44" s="59">
        <f t="shared" si="5"/>
        <v>0</v>
      </c>
    </row>
    <row r="45" spans="1:22" ht="21.75" customHeight="1">
      <c r="A45" s="87"/>
      <c r="B45" s="7" t="s">
        <v>14</v>
      </c>
      <c r="C45" s="3"/>
      <c r="D45" s="3"/>
      <c r="E45" s="4">
        <f t="shared" si="1"/>
        <v>0</v>
      </c>
      <c r="F45" s="3"/>
      <c r="G45" s="3"/>
      <c r="H45" s="3"/>
      <c r="I45" s="3"/>
      <c r="J45" s="3"/>
      <c r="K45" s="3"/>
      <c r="L45" s="3"/>
      <c r="M45" s="5">
        <f t="shared" si="2"/>
        <v>0</v>
      </c>
      <c r="N45" s="28" t="e">
        <f t="shared" si="3"/>
        <v>#DIV/0!</v>
      </c>
      <c r="O45" s="7"/>
      <c r="P45" s="7"/>
      <c r="Q45" s="7"/>
      <c r="R45" s="7"/>
      <c r="S45" s="3"/>
      <c r="T45" s="37">
        <f t="shared" si="0"/>
        <v>0</v>
      </c>
      <c r="U45" s="28" t="e">
        <f t="shared" si="4"/>
        <v>#DIV/0!</v>
      </c>
      <c r="V45" s="59">
        <f t="shared" si="5"/>
        <v>0</v>
      </c>
    </row>
    <row r="46" spans="1:22" ht="21.75" customHeight="1">
      <c r="A46" s="87">
        <v>13</v>
      </c>
      <c r="B46" s="7" t="s">
        <v>12</v>
      </c>
      <c r="C46" s="3"/>
      <c r="D46" s="3"/>
      <c r="E46" s="4">
        <f t="shared" si="1"/>
        <v>0</v>
      </c>
      <c r="F46" s="3"/>
      <c r="G46" s="3"/>
      <c r="H46" s="3"/>
      <c r="I46" s="3"/>
      <c r="J46" s="3"/>
      <c r="K46" s="3"/>
      <c r="L46" s="3"/>
      <c r="M46" s="5">
        <f t="shared" si="2"/>
        <v>0</v>
      </c>
      <c r="N46" s="28" t="e">
        <f t="shared" si="3"/>
        <v>#DIV/0!</v>
      </c>
      <c r="O46" s="7"/>
      <c r="P46" s="7"/>
      <c r="Q46" s="7"/>
      <c r="R46" s="7"/>
      <c r="S46" s="3"/>
      <c r="T46" s="37">
        <f t="shared" si="0"/>
        <v>0</v>
      </c>
      <c r="U46" s="28" t="e">
        <f t="shared" si="4"/>
        <v>#DIV/0!</v>
      </c>
      <c r="V46" s="59">
        <f t="shared" si="5"/>
        <v>0</v>
      </c>
    </row>
    <row r="47" spans="1:22" ht="21.75" customHeight="1">
      <c r="A47" s="87"/>
      <c r="B47" s="7" t="s">
        <v>13</v>
      </c>
      <c r="C47" s="3"/>
      <c r="D47" s="3"/>
      <c r="E47" s="4">
        <f t="shared" si="1"/>
        <v>0</v>
      </c>
      <c r="F47" s="3"/>
      <c r="G47" s="3"/>
      <c r="H47" s="3"/>
      <c r="I47" s="3"/>
      <c r="J47" s="3"/>
      <c r="K47" s="3"/>
      <c r="L47" s="3"/>
      <c r="M47" s="5">
        <f t="shared" si="2"/>
        <v>0</v>
      </c>
      <c r="N47" s="28" t="e">
        <f t="shared" si="3"/>
        <v>#DIV/0!</v>
      </c>
      <c r="O47" s="7"/>
      <c r="P47" s="7"/>
      <c r="Q47" s="7"/>
      <c r="R47" s="7"/>
      <c r="S47" s="3"/>
      <c r="T47" s="37">
        <f t="shared" si="0"/>
        <v>0</v>
      </c>
      <c r="U47" s="28" t="e">
        <f t="shared" si="4"/>
        <v>#DIV/0!</v>
      </c>
      <c r="V47" s="59">
        <f t="shared" si="5"/>
        <v>0</v>
      </c>
    </row>
    <row r="48" spans="1:22" ht="21.75" customHeight="1">
      <c r="A48" s="87"/>
      <c r="B48" s="7" t="s">
        <v>14</v>
      </c>
      <c r="C48" s="3"/>
      <c r="D48" s="3"/>
      <c r="E48" s="4">
        <f t="shared" si="1"/>
        <v>0</v>
      </c>
      <c r="F48" s="3"/>
      <c r="G48" s="3"/>
      <c r="H48" s="3"/>
      <c r="I48" s="3"/>
      <c r="J48" s="3"/>
      <c r="K48" s="3"/>
      <c r="L48" s="3"/>
      <c r="M48" s="5">
        <f t="shared" si="2"/>
        <v>0</v>
      </c>
      <c r="N48" s="28" t="e">
        <f t="shared" si="3"/>
        <v>#DIV/0!</v>
      </c>
      <c r="O48" s="7"/>
      <c r="P48" s="7"/>
      <c r="Q48" s="7"/>
      <c r="R48" s="7"/>
      <c r="S48" s="3"/>
      <c r="T48" s="37">
        <f t="shared" si="0"/>
        <v>0</v>
      </c>
      <c r="U48" s="28" t="e">
        <f t="shared" si="4"/>
        <v>#DIV/0!</v>
      </c>
      <c r="V48" s="59">
        <f t="shared" si="5"/>
        <v>0</v>
      </c>
    </row>
    <row r="49" spans="1:22" ht="21.75" customHeight="1">
      <c r="A49" s="87">
        <v>14</v>
      </c>
      <c r="B49" s="7" t="s">
        <v>12</v>
      </c>
      <c r="C49" s="3"/>
      <c r="D49" s="3"/>
      <c r="E49" s="4">
        <f t="shared" si="1"/>
        <v>0</v>
      </c>
      <c r="F49" s="3"/>
      <c r="G49" s="3"/>
      <c r="H49" s="3"/>
      <c r="I49" s="3"/>
      <c r="J49" s="3"/>
      <c r="K49" s="3"/>
      <c r="L49" s="3"/>
      <c r="M49" s="5">
        <f t="shared" si="2"/>
        <v>0</v>
      </c>
      <c r="N49" s="28" t="e">
        <f t="shared" si="3"/>
        <v>#DIV/0!</v>
      </c>
      <c r="O49" s="7"/>
      <c r="P49" s="7"/>
      <c r="Q49" s="7"/>
      <c r="R49" s="7"/>
      <c r="S49" s="3"/>
      <c r="T49" s="37">
        <f t="shared" si="0"/>
        <v>0</v>
      </c>
      <c r="U49" s="28" t="e">
        <f t="shared" si="4"/>
        <v>#DIV/0!</v>
      </c>
      <c r="V49" s="59">
        <f t="shared" si="5"/>
        <v>0</v>
      </c>
    </row>
    <row r="50" spans="1:22" ht="21.75" customHeight="1">
      <c r="A50" s="87"/>
      <c r="B50" s="7" t="s">
        <v>13</v>
      </c>
      <c r="C50" s="3"/>
      <c r="D50" s="3"/>
      <c r="E50" s="4">
        <f t="shared" si="1"/>
        <v>0</v>
      </c>
      <c r="F50" s="3"/>
      <c r="G50" s="3"/>
      <c r="H50" s="3"/>
      <c r="I50" s="3"/>
      <c r="J50" s="3"/>
      <c r="K50" s="3"/>
      <c r="L50" s="3"/>
      <c r="M50" s="5">
        <f t="shared" si="2"/>
        <v>0</v>
      </c>
      <c r="N50" s="28" t="e">
        <f t="shared" si="3"/>
        <v>#DIV/0!</v>
      </c>
      <c r="O50" s="7"/>
      <c r="P50" s="7"/>
      <c r="Q50" s="7"/>
      <c r="R50" s="7"/>
      <c r="S50" s="3"/>
      <c r="T50" s="37">
        <f t="shared" si="0"/>
        <v>0</v>
      </c>
      <c r="U50" s="28" t="e">
        <f t="shared" si="4"/>
        <v>#DIV/0!</v>
      </c>
      <c r="V50" s="59">
        <f t="shared" si="5"/>
        <v>0</v>
      </c>
    </row>
    <row r="51" spans="1:22" ht="21.75" customHeight="1">
      <c r="A51" s="87"/>
      <c r="B51" s="7" t="s">
        <v>14</v>
      </c>
      <c r="C51" s="3"/>
      <c r="D51" s="3"/>
      <c r="E51" s="4">
        <f t="shared" si="1"/>
        <v>0</v>
      </c>
      <c r="F51" s="3"/>
      <c r="G51" s="3"/>
      <c r="H51" s="3"/>
      <c r="I51" s="3"/>
      <c r="J51" s="3"/>
      <c r="K51" s="3"/>
      <c r="L51" s="3"/>
      <c r="M51" s="5">
        <f t="shared" si="2"/>
        <v>0</v>
      </c>
      <c r="N51" s="28" t="e">
        <f t="shared" si="3"/>
        <v>#DIV/0!</v>
      </c>
      <c r="O51" s="7"/>
      <c r="P51" s="7"/>
      <c r="Q51" s="7"/>
      <c r="R51" s="7"/>
      <c r="S51" s="3"/>
      <c r="T51" s="37">
        <f t="shared" si="0"/>
        <v>0</v>
      </c>
      <c r="U51" s="28" t="e">
        <f t="shared" si="4"/>
        <v>#DIV/0!</v>
      </c>
      <c r="V51" s="59">
        <f t="shared" si="5"/>
        <v>0</v>
      </c>
    </row>
    <row r="52" spans="1:22" ht="21.75" customHeight="1">
      <c r="A52" s="87">
        <v>15</v>
      </c>
      <c r="B52" s="7" t="s">
        <v>12</v>
      </c>
      <c r="C52" s="3"/>
      <c r="D52" s="3"/>
      <c r="E52" s="4">
        <f t="shared" si="1"/>
        <v>0</v>
      </c>
      <c r="F52" s="3"/>
      <c r="G52" s="3"/>
      <c r="H52" s="3"/>
      <c r="I52" s="3"/>
      <c r="J52" s="3"/>
      <c r="K52" s="3"/>
      <c r="L52" s="3"/>
      <c r="M52" s="5">
        <f t="shared" si="2"/>
        <v>0</v>
      </c>
      <c r="N52" s="28" t="e">
        <f t="shared" si="3"/>
        <v>#DIV/0!</v>
      </c>
      <c r="O52" s="7"/>
      <c r="P52" s="7"/>
      <c r="Q52" s="7"/>
      <c r="R52" s="7"/>
      <c r="S52" s="3"/>
      <c r="T52" s="37">
        <f t="shared" si="0"/>
        <v>0</v>
      </c>
      <c r="U52" s="28" t="e">
        <f t="shared" si="4"/>
        <v>#DIV/0!</v>
      </c>
      <c r="V52" s="59">
        <f t="shared" si="5"/>
        <v>0</v>
      </c>
    </row>
    <row r="53" spans="1:22" ht="21.75" customHeight="1">
      <c r="A53" s="87"/>
      <c r="B53" s="7" t="s">
        <v>13</v>
      </c>
      <c r="C53" s="3"/>
      <c r="D53" s="3"/>
      <c r="E53" s="4">
        <f t="shared" si="1"/>
        <v>0</v>
      </c>
      <c r="F53" s="3"/>
      <c r="G53" s="3"/>
      <c r="H53" s="3"/>
      <c r="I53" s="3"/>
      <c r="J53" s="3"/>
      <c r="K53" s="3"/>
      <c r="L53" s="3"/>
      <c r="M53" s="5">
        <f t="shared" si="2"/>
        <v>0</v>
      </c>
      <c r="N53" s="28" t="e">
        <f t="shared" si="3"/>
        <v>#DIV/0!</v>
      </c>
      <c r="O53" s="7"/>
      <c r="P53" s="7"/>
      <c r="Q53" s="7"/>
      <c r="R53" s="7"/>
      <c r="S53" s="3"/>
      <c r="T53" s="37">
        <f t="shared" si="0"/>
        <v>0</v>
      </c>
      <c r="U53" s="28" t="e">
        <f t="shared" si="4"/>
        <v>#DIV/0!</v>
      </c>
      <c r="V53" s="59">
        <f t="shared" si="5"/>
        <v>0</v>
      </c>
    </row>
    <row r="54" spans="1:22" ht="21.75" customHeight="1">
      <c r="A54" s="87"/>
      <c r="B54" s="7" t="s">
        <v>14</v>
      </c>
      <c r="C54" s="3"/>
      <c r="D54" s="3"/>
      <c r="E54" s="4">
        <f t="shared" si="1"/>
        <v>0</v>
      </c>
      <c r="F54" s="3"/>
      <c r="G54" s="3"/>
      <c r="H54" s="3"/>
      <c r="I54" s="3"/>
      <c r="J54" s="3"/>
      <c r="K54" s="3"/>
      <c r="L54" s="3"/>
      <c r="M54" s="5">
        <f t="shared" si="2"/>
        <v>0</v>
      </c>
      <c r="N54" s="28" t="e">
        <f t="shared" si="3"/>
        <v>#DIV/0!</v>
      </c>
      <c r="O54" s="7"/>
      <c r="P54" s="7"/>
      <c r="Q54" s="7"/>
      <c r="R54" s="7"/>
      <c r="S54" s="3"/>
      <c r="T54" s="37">
        <f t="shared" si="0"/>
        <v>0</v>
      </c>
      <c r="U54" s="28" t="e">
        <f t="shared" si="4"/>
        <v>#DIV/0!</v>
      </c>
      <c r="V54" s="59">
        <f t="shared" si="5"/>
        <v>0</v>
      </c>
    </row>
    <row r="55" spans="1:22" ht="21.75" customHeight="1">
      <c r="A55" s="87">
        <v>16</v>
      </c>
      <c r="B55" s="7" t="s">
        <v>12</v>
      </c>
      <c r="C55" s="3"/>
      <c r="D55" s="3"/>
      <c r="E55" s="4">
        <f t="shared" si="1"/>
        <v>0</v>
      </c>
      <c r="F55" s="3"/>
      <c r="G55" s="3"/>
      <c r="H55" s="3"/>
      <c r="I55" s="3"/>
      <c r="J55" s="3"/>
      <c r="K55" s="3"/>
      <c r="L55" s="3"/>
      <c r="M55" s="5">
        <f t="shared" si="2"/>
        <v>0</v>
      </c>
      <c r="N55" s="28" t="e">
        <f t="shared" si="3"/>
        <v>#DIV/0!</v>
      </c>
      <c r="O55" s="7"/>
      <c r="P55" s="7"/>
      <c r="Q55" s="7"/>
      <c r="R55" s="7"/>
      <c r="S55" s="3"/>
      <c r="T55" s="37">
        <f t="shared" si="0"/>
        <v>0</v>
      </c>
      <c r="U55" s="28" t="e">
        <f t="shared" si="4"/>
        <v>#DIV/0!</v>
      </c>
      <c r="V55" s="59">
        <f t="shared" si="5"/>
        <v>0</v>
      </c>
    </row>
    <row r="56" spans="1:22" ht="21.75" customHeight="1">
      <c r="A56" s="87"/>
      <c r="B56" s="7" t="s">
        <v>13</v>
      </c>
      <c r="C56" s="3"/>
      <c r="D56" s="3"/>
      <c r="E56" s="4">
        <f t="shared" si="1"/>
        <v>0</v>
      </c>
      <c r="F56" s="3"/>
      <c r="G56" s="3"/>
      <c r="H56" s="3"/>
      <c r="I56" s="3"/>
      <c r="J56" s="3"/>
      <c r="K56" s="3"/>
      <c r="L56" s="3"/>
      <c r="M56" s="5">
        <f t="shared" si="2"/>
        <v>0</v>
      </c>
      <c r="N56" s="28" t="e">
        <f t="shared" si="3"/>
        <v>#DIV/0!</v>
      </c>
      <c r="O56" s="7"/>
      <c r="P56" s="7"/>
      <c r="Q56" s="7"/>
      <c r="R56" s="7"/>
      <c r="S56" s="3"/>
      <c r="T56" s="37">
        <f t="shared" si="0"/>
        <v>0</v>
      </c>
      <c r="U56" s="28" t="e">
        <f t="shared" si="4"/>
        <v>#DIV/0!</v>
      </c>
      <c r="V56" s="59">
        <f t="shared" si="5"/>
        <v>0</v>
      </c>
    </row>
    <row r="57" spans="1:22" ht="21.75" customHeight="1">
      <c r="A57" s="87"/>
      <c r="B57" s="7" t="s">
        <v>14</v>
      </c>
      <c r="C57" s="3"/>
      <c r="D57" s="3"/>
      <c r="E57" s="4">
        <f t="shared" si="1"/>
        <v>0</v>
      </c>
      <c r="F57" s="3"/>
      <c r="G57" s="3"/>
      <c r="H57" s="3"/>
      <c r="I57" s="3"/>
      <c r="J57" s="3"/>
      <c r="K57" s="3"/>
      <c r="L57" s="3"/>
      <c r="M57" s="5">
        <f t="shared" si="2"/>
        <v>0</v>
      </c>
      <c r="N57" s="28" t="e">
        <f t="shared" si="3"/>
        <v>#DIV/0!</v>
      </c>
      <c r="O57" s="7"/>
      <c r="P57" s="7"/>
      <c r="Q57" s="7"/>
      <c r="R57" s="7"/>
      <c r="S57" s="3"/>
      <c r="T57" s="37">
        <f t="shared" si="0"/>
        <v>0</v>
      </c>
      <c r="U57" s="28" t="e">
        <f t="shared" si="4"/>
        <v>#DIV/0!</v>
      </c>
      <c r="V57" s="59">
        <f t="shared" si="5"/>
        <v>0</v>
      </c>
    </row>
    <row r="58" spans="1:22" ht="21.75" customHeight="1">
      <c r="A58" s="87">
        <v>17</v>
      </c>
      <c r="B58" s="7" t="s">
        <v>12</v>
      </c>
      <c r="C58" s="3"/>
      <c r="D58" s="3"/>
      <c r="E58" s="4">
        <f t="shared" si="1"/>
        <v>0</v>
      </c>
      <c r="F58" s="3"/>
      <c r="G58" s="3"/>
      <c r="H58" s="3"/>
      <c r="I58" s="3"/>
      <c r="J58" s="3"/>
      <c r="K58" s="3"/>
      <c r="L58" s="3"/>
      <c r="M58" s="5">
        <f t="shared" si="2"/>
        <v>0</v>
      </c>
      <c r="N58" s="28" t="e">
        <f t="shared" si="3"/>
        <v>#DIV/0!</v>
      </c>
      <c r="O58" s="7"/>
      <c r="P58" s="7"/>
      <c r="Q58" s="7"/>
      <c r="R58" s="7"/>
      <c r="S58" s="3"/>
      <c r="T58" s="37">
        <f t="shared" si="0"/>
        <v>0</v>
      </c>
      <c r="U58" s="28" t="e">
        <f t="shared" si="4"/>
        <v>#DIV/0!</v>
      </c>
      <c r="V58" s="59">
        <f t="shared" si="5"/>
        <v>0</v>
      </c>
    </row>
    <row r="59" spans="1:22" ht="21.75" customHeight="1">
      <c r="A59" s="87"/>
      <c r="B59" s="7" t="s">
        <v>13</v>
      </c>
      <c r="C59" s="3"/>
      <c r="D59" s="3"/>
      <c r="E59" s="4">
        <f t="shared" si="1"/>
        <v>0</v>
      </c>
      <c r="F59" s="3"/>
      <c r="G59" s="3"/>
      <c r="H59" s="3"/>
      <c r="I59" s="3"/>
      <c r="J59" s="3"/>
      <c r="K59" s="3"/>
      <c r="L59" s="3"/>
      <c r="M59" s="5">
        <f t="shared" si="2"/>
        <v>0</v>
      </c>
      <c r="N59" s="28" t="e">
        <f t="shared" si="3"/>
        <v>#DIV/0!</v>
      </c>
      <c r="O59" s="7"/>
      <c r="P59" s="7"/>
      <c r="Q59" s="7"/>
      <c r="R59" s="7"/>
      <c r="S59" s="3"/>
      <c r="T59" s="37">
        <f t="shared" si="0"/>
        <v>0</v>
      </c>
      <c r="U59" s="28" t="e">
        <f t="shared" si="4"/>
        <v>#DIV/0!</v>
      </c>
      <c r="V59" s="59">
        <f t="shared" si="5"/>
        <v>0</v>
      </c>
    </row>
    <row r="60" spans="1:22" ht="21.75" customHeight="1">
      <c r="A60" s="87"/>
      <c r="B60" s="7" t="s">
        <v>14</v>
      </c>
      <c r="C60" s="3"/>
      <c r="D60" s="3"/>
      <c r="E60" s="4">
        <f t="shared" si="1"/>
        <v>0</v>
      </c>
      <c r="F60" s="3"/>
      <c r="G60" s="3"/>
      <c r="H60" s="3"/>
      <c r="I60" s="3"/>
      <c r="J60" s="3"/>
      <c r="K60" s="3"/>
      <c r="L60" s="3"/>
      <c r="M60" s="5">
        <f t="shared" si="2"/>
        <v>0</v>
      </c>
      <c r="N60" s="28" t="e">
        <f t="shared" si="3"/>
        <v>#DIV/0!</v>
      </c>
      <c r="O60" s="7"/>
      <c r="P60" s="7"/>
      <c r="Q60" s="7"/>
      <c r="R60" s="7"/>
      <c r="S60" s="3"/>
      <c r="T60" s="37">
        <f t="shared" si="0"/>
        <v>0</v>
      </c>
      <c r="U60" s="28" t="e">
        <f t="shared" si="4"/>
        <v>#DIV/0!</v>
      </c>
      <c r="V60" s="59">
        <f t="shared" si="5"/>
        <v>0</v>
      </c>
    </row>
    <row r="61" spans="1:22" ht="21.75" customHeight="1">
      <c r="A61" s="87">
        <v>18</v>
      </c>
      <c r="B61" s="7" t="s">
        <v>12</v>
      </c>
      <c r="C61" s="3"/>
      <c r="D61" s="3"/>
      <c r="E61" s="4">
        <f t="shared" si="1"/>
        <v>0</v>
      </c>
      <c r="F61" s="3"/>
      <c r="G61" s="3"/>
      <c r="H61" s="3"/>
      <c r="I61" s="3"/>
      <c r="J61" s="3"/>
      <c r="K61" s="3"/>
      <c r="L61" s="3"/>
      <c r="M61" s="5">
        <f t="shared" si="2"/>
        <v>0</v>
      </c>
      <c r="N61" s="28" t="e">
        <f t="shared" si="3"/>
        <v>#DIV/0!</v>
      </c>
      <c r="O61" s="7"/>
      <c r="P61" s="7"/>
      <c r="Q61" s="7"/>
      <c r="R61" s="7"/>
      <c r="S61" s="3"/>
      <c r="T61" s="37">
        <f t="shared" si="0"/>
        <v>0</v>
      </c>
      <c r="U61" s="28" t="e">
        <f t="shared" si="4"/>
        <v>#DIV/0!</v>
      </c>
      <c r="V61" s="59">
        <f t="shared" si="5"/>
        <v>0</v>
      </c>
    </row>
    <row r="62" spans="1:22" ht="21.75" customHeight="1">
      <c r="A62" s="87"/>
      <c r="B62" s="7" t="s">
        <v>13</v>
      </c>
      <c r="C62" s="3"/>
      <c r="D62" s="3"/>
      <c r="E62" s="4">
        <f t="shared" si="1"/>
        <v>0</v>
      </c>
      <c r="F62" s="3"/>
      <c r="G62" s="3"/>
      <c r="H62" s="3"/>
      <c r="I62" s="3"/>
      <c r="J62" s="3"/>
      <c r="K62" s="3"/>
      <c r="L62" s="3"/>
      <c r="M62" s="5">
        <f t="shared" si="2"/>
        <v>0</v>
      </c>
      <c r="N62" s="28" t="e">
        <f t="shared" si="3"/>
        <v>#DIV/0!</v>
      </c>
      <c r="O62" s="7"/>
      <c r="P62" s="7"/>
      <c r="Q62" s="7"/>
      <c r="R62" s="7"/>
      <c r="S62" s="3"/>
      <c r="T62" s="37">
        <f t="shared" si="0"/>
        <v>0</v>
      </c>
      <c r="U62" s="28" t="e">
        <f t="shared" si="4"/>
        <v>#DIV/0!</v>
      </c>
      <c r="V62" s="59">
        <f t="shared" si="5"/>
        <v>0</v>
      </c>
    </row>
    <row r="63" spans="1:22" ht="21.75" customHeight="1">
      <c r="A63" s="87"/>
      <c r="B63" s="7" t="s">
        <v>14</v>
      </c>
      <c r="C63" s="3"/>
      <c r="D63" s="3"/>
      <c r="E63" s="4">
        <f t="shared" si="1"/>
        <v>0</v>
      </c>
      <c r="F63" s="3"/>
      <c r="G63" s="3"/>
      <c r="H63" s="3"/>
      <c r="I63" s="3"/>
      <c r="J63" s="3"/>
      <c r="K63" s="3"/>
      <c r="L63" s="3"/>
      <c r="M63" s="5">
        <f t="shared" si="2"/>
        <v>0</v>
      </c>
      <c r="N63" s="28" t="e">
        <f t="shared" si="3"/>
        <v>#DIV/0!</v>
      </c>
      <c r="O63" s="7"/>
      <c r="P63" s="7"/>
      <c r="Q63" s="7"/>
      <c r="R63" s="7"/>
      <c r="S63" s="3"/>
      <c r="T63" s="37">
        <f t="shared" si="0"/>
        <v>0</v>
      </c>
      <c r="U63" s="28" t="e">
        <f t="shared" si="4"/>
        <v>#DIV/0!</v>
      </c>
      <c r="V63" s="59">
        <f t="shared" si="5"/>
        <v>0</v>
      </c>
    </row>
    <row r="64" spans="1:22" ht="21.75" customHeight="1">
      <c r="A64" s="87">
        <v>19</v>
      </c>
      <c r="B64" s="7" t="s">
        <v>12</v>
      </c>
      <c r="C64" s="3"/>
      <c r="D64" s="3"/>
      <c r="E64" s="4">
        <f t="shared" si="1"/>
        <v>0</v>
      </c>
      <c r="F64" s="3"/>
      <c r="G64" s="3"/>
      <c r="H64" s="3"/>
      <c r="I64" s="3"/>
      <c r="J64" s="3"/>
      <c r="K64" s="3"/>
      <c r="L64" s="3"/>
      <c r="M64" s="5">
        <f t="shared" si="2"/>
        <v>0</v>
      </c>
      <c r="N64" s="28" t="e">
        <f t="shared" si="3"/>
        <v>#DIV/0!</v>
      </c>
      <c r="O64" s="7"/>
      <c r="P64" s="7"/>
      <c r="Q64" s="7"/>
      <c r="R64" s="7"/>
      <c r="S64" s="3"/>
      <c r="T64" s="37">
        <f t="shared" si="0"/>
        <v>0</v>
      </c>
      <c r="U64" s="28" t="e">
        <f t="shared" si="4"/>
        <v>#DIV/0!</v>
      </c>
      <c r="V64" s="59">
        <f t="shared" si="5"/>
        <v>0</v>
      </c>
    </row>
    <row r="65" spans="1:22" ht="21.75" customHeight="1">
      <c r="A65" s="87"/>
      <c r="B65" s="7" t="s">
        <v>13</v>
      </c>
      <c r="C65" s="3"/>
      <c r="D65" s="3"/>
      <c r="E65" s="4">
        <f t="shared" si="1"/>
        <v>0</v>
      </c>
      <c r="F65" s="3"/>
      <c r="G65" s="3"/>
      <c r="H65" s="3"/>
      <c r="I65" s="3"/>
      <c r="J65" s="3"/>
      <c r="K65" s="3"/>
      <c r="L65" s="3"/>
      <c r="M65" s="5">
        <f t="shared" si="2"/>
        <v>0</v>
      </c>
      <c r="N65" s="28" t="e">
        <f t="shared" si="3"/>
        <v>#DIV/0!</v>
      </c>
      <c r="O65" s="7"/>
      <c r="P65" s="7"/>
      <c r="Q65" s="7"/>
      <c r="R65" s="7"/>
      <c r="S65" s="3"/>
      <c r="T65" s="37">
        <f t="shared" si="0"/>
        <v>0</v>
      </c>
      <c r="U65" s="28" t="e">
        <f t="shared" si="4"/>
        <v>#DIV/0!</v>
      </c>
      <c r="V65" s="59">
        <f t="shared" si="5"/>
        <v>0</v>
      </c>
    </row>
    <row r="66" spans="1:22" ht="21.75" customHeight="1">
      <c r="A66" s="87"/>
      <c r="B66" s="7" t="s">
        <v>14</v>
      </c>
      <c r="C66" s="3"/>
      <c r="D66" s="3"/>
      <c r="E66" s="4">
        <f t="shared" si="1"/>
        <v>0</v>
      </c>
      <c r="F66" s="3"/>
      <c r="G66" s="3"/>
      <c r="H66" s="3"/>
      <c r="I66" s="3"/>
      <c r="J66" s="3"/>
      <c r="K66" s="3"/>
      <c r="L66" s="3"/>
      <c r="M66" s="5">
        <f t="shared" si="2"/>
        <v>0</v>
      </c>
      <c r="N66" s="28" t="e">
        <f t="shared" si="3"/>
        <v>#DIV/0!</v>
      </c>
      <c r="O66" s="7"/>
      <c r="P66" s="7"/>
      <c r="Q66" s="7"/>
      <c r="R66" s="7"/>
      <c r="S66" s="3"/>
      <c r="T66" s="37">
        <f t="shared" si="0"/>
        <v>0</v>
      </c>
      <c r="U66" s="28" t="e">
        <f t="shared" si="4"/>
        <v>#DIV/0!</v>
      </c>
      <c r="V66" s="59">
        <f t="shared" si="5"/>
        <v>0</v>
      </c>
    </row>
    <row r="67" spans="1:22" ht="21.75" customHeight="1">
      <c r="A67" s="87">
        <v>20</v>
      </c>
      <c r="B67" s="7" t="s">
        <v>12</v>
      </c>
      <c r="C67" s="3"/>
      <c r="D67" s="3"/>
      <c r="E67" s="4">
        <f t="shared" si="1"/>
        <v>0</v>
      </c>
      <c r="F67" s="3"/>
      <c r="G67" s="3"/>
      <c r="H67" s="3"/>
      <c r="I67" s="3"/>
      <c r="J67" s="3"/>
      <c r="K67" s="3"/>
      <c r="L67" s="3"/>
      <c r="M67" s="5">
        <f t="shared" si="2"/>
        <v>0</v>
      </c>
      <c r="N67" s="28" t="e">
        <f t="shared" si="3"/>
        <v>#DIV/0!</v>
      </c>
      <c r="O67" s="7"/>
      <c r="P67" s="7"/>
      <c r="Q67" s="7"/>
      <c r="R67" s="7"/>
      <c r="S67" s="3"/>
      <c r="T67" s="37">
        <f t="shared" si="0"/>
        <v>0</v>
      </c>
      <c r="U67" s="28" t="e">
        <f t="shared" si="4"/>
        <v>#DIV/0!</v>
      </c>
      <c r="V67" s="59">
        <f t="shared" si="5"/>
        <v>0</v>
      </c>
    </row>
    <row r="68" spans="1:22" ht="21.75" customHeight="1">
      <c r="A68" s="87"/>
      <c r="B68" s="7" t="s">
        <v>13</v>
      </c>
      <c r="C68" s="3"/>
      <c r="D68" s="3"/>
      <c r="E68" s="4">
        <f t="shared" si="1"/>
        <v>0</v>
      </c>
      <c r="F68" s="3"/>
      <c r="G68" s="3"/>
      <c r="H68" s="3"/>
      <c r="I68" s="3"/>
      <c r="J68" s="3"/>
      <c r="K68" s="3"/>
      <c r="L68" s="3"/>
      <c r="M68" s="5">
        <f t="shared" si="2"/>
        <v>0</v>
      </c>
      <c r="N68" s="28" t="e">
        <f t="shared" si="3"/>
        <v>#DIV/0!</v>
      </c>
      <c r="O68" s="7"/>
      <c r="P68" s="7"/>
      <c r="Q68" s="7"/>
      <c r="R68" s="7"/>
      <c r="S68" s="3"/>
      <c r="T68" s="37">
        <f t="shared" si="0"/>
        <v>0</v>
      </c>
      <c r="U68" s="28" t="e">
        <f t="shared" si="4"/>
        <v>#DIV/0!</v>
      </c>
      <c r="V68" s="59">
        <f t="shared" si="5"/>
        <v>0</v>
      </c>
    </row>
    <row r="69" spans="1:22" ht="21.75" customHeight="1">
      <c r="A69" s="87"/>
      <c r="B69" s="7" t="s">
        <v>14</v>
      </c>
      <c r="C69" s="3"/>
      <c r="D69" s="3"/>
      <c r="E69" s="4">
        <f t="shared" si="1"/>
        <v>0</v>
      </c>
      <c r="F69" s="3"/>
      <c r="G69" s="3"/>
      <c r="H69" s="3"/>
      <c r="I69" s="3"/>
      <c r="J69" s="3"/>
      <c r="K69" s="3"/>
      <c r="L69" s="3"/>
      <c r="M69" s="5">
        <f t="shared" si="2"/>
        <v>0</v>
      </c>
      <c r="N69" s="28" t="e">
        <f t="shared" si="3"/>
        <v>#DIV/0!</v>
      </c>
      <c r="O69" s="7"/>
      <c r="P69" s="7"/>
      <c r="Q69" s="7"/>
      <c r="R69" s="7"/>
      <c r="S69" s="3"/>
      <c r="T69" s="37">
        <f t="shared" si="0"/>
        <v>0</v>
      </c>
      <c r="U69" s="28" t="e">
        <f t="shared" si="4"/>
        <v>#DIV/0!</v>
      </c>
      <c r="V69" s="59">
        <f t="shared" si="5"/>
        <v>0</v>
      </c>
    </row>
    <row r="70" spans="1:22" ht="21.75" customHeight="1">
      <c r="A70" s="87">
        <v>21</v>
      </c>
      <c r="B70" s="7" t="s">
        <v>12</v>
      </c>
      <c r="C70" s="3"/>
      <c r="D70" s="3"/>
      <c r="E70" s="4">
        <f t="shared" si="1"/>
        <v>0</v>
      </c>
      <c r="F70" s="3"/>
      <c r="G70" s="3"/>
      <c r="H70" s="3"/>
      <c r="I70" s="3"/>
      <c r="J70" s="3"/>
      <c r="K70" s="3"/>
      <c r="L70" s="3"/>
      <c r="M70" s="5">
        <f t="shared" si="2"/>
        <v>0</v>
      </c>
      <c r="N70" s="28" t="e">
        <f t="shared" si="3"/>
        <v>#DIV/0!</v>
      </c>
      <c r="O70" s="7"/>
      <c r="P70" s="7"/>
      <c r="Q70" s="7"/>
      <c r="R70" s="7"/>
      <c r="S70" s="3"/>
      <c r="T70" s="37">
        <f t="shared" si="0"/>
        <v>0</v>
      </c>
      <c r="U70" s="28" t="e">
        <f t="shared" si="4"/>
        <v>#DIV/0!</v>
      </c>
      <c r="V70" s="59">
        <f t="shared" si="5"/>
        <v>0</v>
      </c>
    </row>
    <row r="71" spans="1:22" ht="21.75" customHeight="1">
      <c r="A71" s="87"/>
      <c r="B71" s="7" t="s">
        <v>13</v>
      </c>
      <c r="C71" s="3"/>
      <c r="D71" s="3"/>
      <c r="E71" s="4">
        <f t="shared" si="1"/>
        <v>0</v>
      </c>
      <c r="F71" s="3"/>
      <c r="G71" s="3"/>
      <c r="H71" s="3"/>
      <c r="I71" s="3"/>
      <c r="J71" s="3"/>
      <c r="K71" s="3"/>
      <c r="L71" s="3"/>
      <c r="M71" s="5">
        <f t="shared" si="2"/>
        <v>0</v>
      </c>
      <c r="N71" s="28" t="e">
        <f t="shared" si="3"/>
        <v>#DIV/0!</v>
      </c>
      <c r="O71" s="7"/>
      <c r="P71" s="7"/>
      <c r="Q71" s="7"/>
      <c r="R71" s="7"/>
      <c r="S71" s="3"/>
      <c r="T71" s="37">
        <f t="shared" si="0"/>
        <v>0</v>
      </c>
      <c r="U71" s="28" t="e">
        <f t="shared" si="4"/>
        <v>#DIV/0!</v>
      </c>
      <c r="V71" s="59">
        <f t="shared" si="5"/>
        <v>0</v>
      </c>
    </row>
    <row r="72" spans="1:22" ht="21.75" customHeight="1">
      <c r="A72" s="87"/>
      <c r="B72" s="7" t="s">
        <v>14</v>
      </c>
      <c r="C72" s="3"/>
      <c r="D72" s="3"/>
      <c r="E72" s="4">
        <f t="shared" si="1"/>
        <v>0</v>
      </c>
      <c r="F72" s="3"/>
      <c r="G72" s="3"/>
      <c r="H72" s="3"/>
      <c r="I72" s="3"/>
      <c r="J72" s="3"/>
      <c r="K72" s="3"/>
      <c r="L72" s="3"/>
      <c r="M72" s="5">
        <f t="shared" si="2"/>
        <v>0</v>
      </c>
      <c r="N72" s="28" t="e">
        <f t="shared" si="3"/>
        <v>#DIV/0!</v>
      </c>
      <c r="O72" s="7"/>
      <c r="P72" s="7"/>
      <c r="Q72" s="7"/>
      <c r="R72" s="7"/>
      <c r="S72" s="3"/>
      <c r="T72" s="37">
        <f t="shared" si="0"/>
        <v>0</v>
      </c>
      <c r="U72" s="28" t="e">
        <f t="shared" si="4"/>
        <v>#DIV/0!</v>
      </c>
      <c r="V72" s="59">
        <f t="shared" si="5"/>
        <v>0</v>
      </c>
    </row>
    <row r="73" spans="1:22" ht="21.75" customHeight="1">
      <c r="A73" s="87">
        <v>22</v>
      </c>
      <c r="B73" s="7" t="s">
        <v>12</v>
      </c>
      <c r="C73" s="3"/>
      <c r="D73" s="3"/>
      <c r="E73" s="4">
        <f t="shared" si="1"/>
        <v>0</v>
      </c>
      <c r="F73" s="3"/>
      <c r="G73" s="3"/>
      <c r="H73" s="3"/>
      <c r="I73" s="3"/>
      <c r="J73" s="3"/>
      <c r="K73" s="3"/>
      <c r="L73" s="3"/>
      <c r="M73" s="5">
        <f t="shared" si="2"/>
        <v>0</v>
      </c>
      <c r="N73" s="28" t="e">
        <f t="shared" si="3"/>
        <v>#DIV/0!</v>
      </c>
      <c r="O73" s="7"/>
      <c r="P73" s="7"/>
      <c r="Q73" s="7"/>
      <c r="R73" s="7"/>
      <c r="S73" s="3"/>
      <c r="T73" s="37">
        <f t="shared" si="0"/>
        <v>0</v>
      </c>
      <c r="U73" s="28" t="e">
        <f t="shared" si="4"/>
        <v>#DIV/0!</v>
      </c>
      <c r="V73" s="59">
        <f t="shared" si="5"/>
        <v>0</v>
      </c>
    </row>
    <row r="74" spans="1:22" ht="21.75" customHeight="1">
      <c r="A74" s="87"/>
      <c r="B74" s="7" t="s">
        <v>13</v>
      </c>
      <c r="C74" s="3"/>
      <c r="D74" s="3"/>
      <c r="E74" s="4">
        <f t="shared" si="1"/>
        <v>0</v>
      </c>
      <c r="F74" s="3"/>
      <c r="G74" s="3"/>
      <c r="H74" s="3"/>
      <c r="I74" s="3"/>
      <c r="J74" s="3"/>
      <c r="K74" s="3"/>
      <c r="L74" s="3"/>
      <c r="M74" s="5">
        <f t="shared" si="2"/>
        <v>0</v>
      </c>
      <c r="N74" s="28" t="e">
        <f t="shared" si="3"/>
        <v>#DIV/0!</v>
      </c>
      <c r="O74" s="7"/>
      <c r="P74" s="7"/>
      <c r="Q74" s="7"/>
      <c r="R74" s="7"/>
      <c r="S74" s="3"/>
      <c r="T74" s="37">
        <f t="shared" ref="T74:T106" si="6">SUM(O74:S74)</f>
        <v>0</v>
      </c>
      <c r="U74" s="28" t="e">
        <f t="shared" si="4"/>
        <v>#DIV/0!</v>
      </c>
      <c r="V74" s="59">
        <f t="shared" si="5"/>
        <v>0</v>
      </c>
    </row>
    <row r="75" spans="1:22" ht="21.75" customHeight="1">
      <c r="A75" s="87"/>
      <c r="B75" s="7" t="s">
        <v>14</v>
      </c>
      <c r="C75" s="3"/>
      <c r="D75" s="3"/>
      <c r="E75" s="4">
        <f t="shared" ref="E75:E102" si="7">((($B$3*C75)+(12*D75))*$E$4)/7</f>
        <v>0</v>
      </c>
      <c r="F75" s="3"/>
      <c r="G75" s="3"/>
      <c r="H75" s="3"/>
      <c r="I75" s="3"/>
      <c r="J75" s="3"/>
      <c r="K75" s="3"/>
      <c r="L75" s="3"/>
      <c r="M75" s="5">
        <f t="shared" ref="M75:M106" si="8">(F75+G75+H75+L75)-E75</f>
        <v>0</v>
      </c>
      <c r="N75" s="28" t="e">
        <f t="shared" ref="N75:N105" si="9">(((C75*4.5)+(12*D75))*$E$4)/((F75+G75+H75+I75+J75+K75+L75)*7)*100</f>
        <v>#DIV/0!</v>
      </c>
      <c r="O75" s="7"/>
      <c r="P75" s="7"/>
      <c r="Q75" s="7"/>
      <c r="R75" s="7"/>
      <c r="S75" s="3"/>
      <c r="T75" s="37">
        <f t="shared" si="6"/>
        <v>0</v>
      </c>
      <c r="U75" s="28" t="e">
        <f t="shared" ref="U75:U106" si="10">((((O75*1.5+(P75*3.5)+(Q75*5.5)+(R75*7.5)+(S75*12)))/3)/((F75+G75+H75+I75+J75+K75+L75)*7))*100</f>
        <v>#DIV/0!</v>
      </c>
      <c r="V75" s="59">
        <f t="shared" ref="V75:V106" si="11">C75+D75-T75</f>
        <v>0</v>
      </c>
    </row>
    <row r="76" spans="1:22" ht="21.75" customHeight="1">
      <c r="A76" s="87">
        <v>23</v>
      </c>
      <c r="B76" s="7" t="s">
        <v>12</v>
      </c>
      <c r="C76" s="3"/>
      <c r="D76" s="3"/>
      <c r="E76" s="4">
        <f t="shared" si="7"/>
        <v>0</v>
      </c>
      <c r="F76" s="3"/>
      <c r="G76" s="3"/>
      <c r="H76" s="3"/>
      <c r="I76" s="3"/>
      <c r="J76" s="3"/>
      <c r="K76" s="3"/>
      <c r="L76" s="3"/>
      <c r="M76" s="5">
        <f t="shared" si="8"/>
        <v>0</v>
      </c>
      <c r="N76" s="28" t="e">
        <f t="shared" si="9"/>
        <v>#DIV/0!</v>
      </c>
      <c r="O76" s="7"/>
      <c r="P76" s="7"/>
      <c r="Q76" s="7"/>
      <c r="R76" s="7"/>
      <c r="S76" s="3"/>
      <c r="T76" s="37">
        <f t="shared" si="6"/>
        <v>0</v>
      </c>
      <c r="U76" s="28" t="e">
        <f t="shared" si="10"/>
        <v>#DIV/0!</v>
      </c>
      <c r="V76" s="59">
        <f t="shared" si="11"/>
        <v>0</v>
      </c>
    </row>
    <row r="77" spans="1:22" ht="21.75" customHeight="1">
      <c r="A77" s="87"/>
      <c r="B77" s="7" t="s">
        <v>13</v>
      </c>
      <c r="C77" s="3"/>
      <c r="D77" s="3"/>
      <c r="E77" s="4">
        <f t="shared" si="7"/>
        <v>0</v>
      </c>
      <c r="F77" s="3"/>
      <c r="G77" s="3"/>
      <c r="H77" s="3"/>
      <c r="I77" s="3"/>
      <c r="J77" s="3"/>
      <c r="K77" s="3"/>
      <c r="L77" s="3"/>
      <c r="M77" s="5">
        <f t="shared" si="8"/>
        <v>0</v>
      </c>
      <c r="N77" s="28" t="e">
        <f t="shared" si="9"/>
        <v>#DIV/0!</v>
      </c>
      <c r="O77" s="7"/>
      <c r="P77" s="7"/>
      <c r="Q77" s="7"/>
      <c r="R77" s="7"/>
      <c r="S77" s="3"/>
      <c r="T77" s="37">
        <f t="shared" si="6"/>
        <v>0</v>
      </c>
      <c r="U77" s="28" t="e">
        <f t="shared" si="10"/>
        <v>#DIV/0!</v>
      </c>
      <c r="V77" s="59">
        <f t="shared" si="11"/>
        <v>0</v>
      </c>
    </row>
    <row r="78" spans="1:22" ht="21.75" customHeight="1">
      <c r="A78" s="87"/>
      <c r="B78" s="7" t="s">
        <v>14</v>
      </c>
      <c r="C78" s="3"/>
      <c r="D78" s="3"/>
      <c r="E78" s="4">
        <f t="shared" si="7"/>
        <v>0</v>
      </c>
      <c r="F78" s="3"/>
      <c r="G78" s="3"/>
      <c r="H78" s="3"/>
      <c r="I78" s="3"/>
      <c r="J78" s="3"/>
      <c r="K78" s="3"/>
      <c r="L78" s="3"/>
      <c r="M78" s="5">
        <f t="shared" si="8"/>
        <v>0</v>
      </c>
      <c r="N78" s="28" t="e">
        <f t="shared" si="9"/>
        <v>#DIV/0!</v>
      </c>
      <c r="O78" s="7"/>
      <c r="P78" s="7"/>
      <c r="Q78" s="7"/>
      <c r="R78" s="7"/>
      <c r="S78" s="3"/>
      <c r="T78" s="37">
        <f t="shared" si="6"/>
        <v>0</v>
      </c>
      <c r="U78" s="28" t="e">
        <f t="shared" si="10"/>
        <v>#DIV/0!</v>
      </c>
      <c r="V78" s="59">
        <f t="shared" si="11"/>
        <v>0</v>
      </c>
    </row>
    <row r="79" spans="1:22" ht="21.75" customHeight="1">
      <c r="A79" s="87">
        <v>24</v>
      </c>
      <c r="B79" s="7" t="s">
        <v>12</v>
      </c>
      <c r="C79" s="3"/>
      <c r="D79" s="3"/>
      <c r="E79" s="4">
        <f t="shared" si="7"/>
        <v>0</v>
      </c>
      <c r="F79" s="3"/>
      <c r="G79" s="3"/>
      <c r="H79" s="3"/>
      <c r="I79" s="3"/>
      <c r="J79" s="3"/>
      <c r="K79" s="3"/>
      <c r="L79" s="3"/>
      <c r="M79" s="5">
        <f t="shared" si="8"/>
        <v>0</v>
      </c>
      <c r="N79" s="28" t="e">
        <f t="shared" si="9"/>
        <v>#DIV/0!</v>
      </c>
      <c r="O79" s="7"/>
      <c r="P79" s="7"/>
      <c r="Q79" s="7"/>
      <c r="R79" s="7"/>
      <c r="S79" s="3"/>
      <c r="T79" s="37">
        <f t="shared" si="6"/>
        <v>0</v>
      </c>
      <c r="U79" s="28" t="e">
        <f t="shared" si="10"/>
        <v>#DIV/0!</v>
      </c>
      <c r="V79" s="59">
        <f t="shared" si="11"/>
        <v>0</v>
      </c>
    </row>
    <row r="80" spans="1:22" ht="21.75" customHeight="1">
      <c r="A80" s="87"/>
      <c r="B80" s="7" t="s">
        <v>13</v>
      </c>
      <c r="C80" s="3"/>
      <c r="D80" s="3"/>
      <c r="E80" s="4">
        <f t="shared" si="7"/>
        <v>0</v>
      </c>
      <c r="F80" s="3"/>
      <c r="G80" s="3"/>
      <c r="H80" s="3"/>
      <c r="I80" s="3"/>
      <c r="J80" s="3"/>
      <c r="K80" s="3"/>
      <c r="L80" s="3"/>
      <c r="M80" s="5">
        <f t="shared" si="8"/>
        <v>0</v>
      </c>
      <c r="N80" s="28" t="e">
        <f t="shared" si="9"/>
        <v>#DIV/0!</v>
      </c>
      <c r="O80" s="7"/>
      <c r="P80" s="7"/>
      <c r="Q80" s="7"/>
      <c r="R80" s="7"/>
      <c r="S80" s="3"/>
      <c r="T80" s="37">
        <f t="shared" si="6"/>
        <v>0</v>
      </c>
      <c r="U80" s="28" t="e">
        <f t="shared" si="10"/>
        <v>#DIV/0!</v>
      </c>
      <c r="V80" s="59">
        <f t="shared" si="11"/>
        <v>0</v>
      </c>
    </row>
    <row r="81" spans="1:22" ht="21.75" customHeight="1">
      <c r="A81" s="87"/>
      <c r="B81" s="7" t="s">
        <v>14</v>
      </c>
      <c r="C81" s="3"/>
      <c r="D81" s="3"/>
      <c r="E81" s="4">
        <f t="shared" si="7"/>
        <v>0</v>
      </c>
      <c r="F81" s="3"/>
      <c r="G81" s="3"/>
      <c r="H81" s="3"/>
      <c r="I81" s="3"/>
      <c r="J81" s="3"/>
      <c r="K81" s="3"/>
      <c r="L81" s="3"/>
      <c r="M81" s="5">
        <f t="shared" si="8"/>
        <v>0</v>
      </c>
      <c r="N81" s="28" t="e">
        <f t="shared" si="9"/>
        <v>#DIV/0!</v>
      </c>
      <c r="O81" s="7"/>
      <c r="P81" s="7"/>
      <c r="Q81" s="7"/>
      <c r="R81" s="7"/>
      <c r="S81" s="3"/>
      <c r="T81" s="37">
        <f t="shared" si="6"/>
        <v>0</v>
      </c>
      <c r="U81" s="28" t="e">
        <f t="shared" si="10"/>
        <v>#DIV/0!</v>
      </c>
      <c r="V81" s="59">
        <f t="shared" si="11"/>
        <v>0</v>
      </c>
    </row>
    <row r="82" spans="1:22" ht="21.75" customHeight="1">
      <c r="A82" s="87">
        <v>25</v>
      </c>
      <c r="B82" s="7" t="s">
        <v>12</v>
      </c>
      <c r="C82" s="3"/>
      <c r="D82" s="3"/>
      <c r="E82" s="4">
        <f t="shared" si="7"/>
        <v>0</v>
      </c>
      <c r="F82" s="3"/>
      <c r="G82" s="3"/>
      <c r="H82" s="3"/>
      <c r="I82" s="3"/>
      <c r="J82" s="3"/>
      <c r="K82" s="3"/>
      <c r="L82" s="3"/>
      <c r="M82" s="5">
        <f t="shared" si="8"/>
        <v>0</v>
      </c>
      <c r="N82" s="28" t="e">
        <f t="shared" si="9"/>
        <v>#DIV/0!</v>
      </c>
      <c r="O82" s="7"/>
      <c r="P82" s="7"/>
      <c r="Q82" s="7"/>
      <c r="R82" s="7"/>
      <c r="S82" s="3"/>
      <c r="T82" s="37">
        <f t="shared" si="6"/>
        <v>0</v>
      </c>
      <c r="U82" s="28" t="e">
        <f t="shared" si="10"/>
        <v>#DIV/0!</v>
      </c>
      <c r="V82" s="59">
        <f t="shared" si="11"/>
        <v>0</v>
      </c>
    </row>
    <row r="83" spans="1:22" ht="21.75" customHeight="1">
      <c r="A83" s="87"/>
      <c r="B83" s="7" t="s">
        <v>13</v>
      </c>
      <c r="C83" s="3"/>
      <c r="D83" s="3"/>
      <c r="E83" s="4">
        <f t="shared" si="7"/>
        <v>0</v>
      </c>
      <c r="F83" s="3"/>
      <c r="G83" s="3"/>
      <c r="H83" s="3"/>
      <c r="I83" s="3"/>
      <c r="J83" s="3"/>
      <c r="K83" s="3"/>
      <c r="L83" s="3"/>
      <c r="M83" s="5">
        <f t="shared" si="8"/>
        <v>0</v>
      </c>
      <c r="N83" s="28" t="e">
        <f t="shared" si="9"/>
        <v>#DIV/0!</v>
      </c>
      <c r="O83" s="7"/>
      <c r="P83" s="7"/>
      <c r="Q83" s="7"/>
      <c r="R83" s="7"/>
      <c r="S83" s="3"/>
      <c r="T83" s="37">
        <f t="shared" si="6"/>
        <v>0</v>
      </c>
      <c r="U83" s="28" t="e">
        <f t="shared" si="10"/>
        <v>#DIV/0!</v>
      </c>
      <c r="V83" s="59">
        <f t="shared" si="11"/>
        <v>0</v>
      </c>
    </row>
    <row r="84" spans="1:22" ht="21.75" customHeight="1">
      <c r="A84" s="87"/>
      <c r="B84" s="7" t="s">
        <v>14</v>
      </c>
      <c r="C84" s="3"/>
      <c r="D84" s="3"/>
      <c r="E84" s="4">
        <f t="shared" si="7"/>
        <v>0</v>
      </c>
      <c r="F84" s="3"/>
      <c r="G84" s="3"/>
      <c r="H84" s="3"/>
      <c r="I84" s="3"/>
      <c r="J84" s="3"/>
      <c r="K84" s="3"/>
      <c r="L84" s="3"/>
      <c r="M84" s="5">
        <f t="shared" si="8"/>
        <v>0</v>
      </c>
      <c r="N84" s="28" t="e">
        <f t="shared" si="9"/>
        <v>#DIV/0!</v>
      </c>
      <c r="O84" s="7"/>
      <c r="P84" s="7"/>
      <c r="Q84" s="7"/>
      <c r="R84" s="7"/>
      <c r="S84" s="3"/>
      <c r="T84" s="37">
        <f t="shared" si="6"/>
        <v>0</v>
      </c>
      <c r="U84" s="28" t="e">
        <f t="shared" si="10"/>
        <v>#DIV/0!</v>
      </c>
      <c r="V84" s="59">
        <f t="shared" si="11"/>
        <v>0</v>
      </c>
    </row>
    <row r="85" spans="1:22" ht="21.75" customHeight="1">
      <c r="A85" s="87">
        <v>26</v>
      </c>
      <c r="B85" s="7" t="s">
        <v>12</v>
      </c>
      <c r="C85" s="3"/>
      <c r="D85" s="3"/>
      <c r="E85" s="4">
        <f t="shared" si="7"/>
        <v>0</v>
      </c>
      <c r="F85" s="3"/>
      <c r="G85" s="3"/>
      <c r="H85" s="3"/>
      <c r="I85" s="3"/>
      <c r="J85" s="3"/>
      <c r="K85" s="3"/>
      <c r="L85" s="3"/>
      <c r="M85" s="5">
        <f t="shared" si="8"/>
        <v>0</v>
      </c>
      <c r="N85" s="28" t="e">
        <f t="shared" si="9"/>
        <v>#DIV/0!</v>
      </c>
      <c r="O85" s="7"/>
      <c r="P85" s="7"/>
      <c r="Q85" s="7"/>
      <c r="R85" s="7"/>
      <c r="S85" s="3"/>
      <c r="T85" s="37">
        <f t="shared" si="6"/>
        <v>0</v>
      </c>
      <c r="U85" s="28" t="e">
        <f t="shared" si="10"/>
        <v>#DIV/0!</v>
      </c>
      <c r="V85" s="59">
        <f t="shared" si="11"/>
        <v>0</v>
      </c>
    </row>
    <row r="86" spans="1:22" ht="21.75" customHeight="1">
      <c r="A86" s="87"/>
      <c r="B86" s="7" t="s">
        <v>13</v>
      </c>
      <c r="C86" s="3"/>
      <c r="D86" s="3"/>
      <c r="E86" s="4">
        <f t="shared" si="7"/>
        <v>0</v>
      </c>
      <c r="F86" s="3"/>
      <c r="G86" s="3"/>
      <c r="H86" s="3"/>
      <c r="I86" s="3"/>
      <c r="J86" s="3"/>
      <c r="K86" s="3"/>
      <c r="L86" s="3"/>
      <c r="M86" s="5">
        <f t="shared" si="8"/>
        <v>0</v>
      </c>
      <c r="N86" s="28" t="e">
        <f t="shared" si="9"/>
        <v>#DIV/0!</v>
      </c>
      <c r="O86" s="7"/>
      <c r="P86" s="7"/>
      <c r="Q86" s="7"/>
      <c r="R86" s="7"/>
      <c r="S86" s="3"/>
      <c r="T86" s="37">
        <f t="shared" si="6"/>
        <v>0</v>
      </c>
      <c r="U86" s="28" t="e">
        <f t="shared" si="10"/>
        <v>#DIV/0!</v>
      </c>
      <c r="V86" s="59">
        <f t="shared" si="11"/>
        <v>0</v>
      </c>
    </row>
    <row r="87" spans="1:22" ht="21.75" customHeight="1">
      <c r="A87" s="87"/>
      <c r="B87" s="7" t="s">
        <v>14</v>
      </c>
      <c r="C87" s="3"/>
      <c r="D87" s="3"/>
      <c r="E87" s="4">
        <f t="shared" si="7"/>
        <v>0</v>
      </c>
      <c r="F87" s="3"/>
      <c r="G87" s="3"/>
      <c r="H87" s="3"/>
      <c r="I87" s="3"/>
      <c r="J87" s="3"/>
      <c r="K87" s="3"/>
      <c r="L87" s="3"/>
      <c r="M87" s="5">
        <f t="shared" si="8"/>
        <v>0</v>
      </c>
      <c r="N87" s="28" t="e">
        <f t="shared" si="9"/>
        <v>#DIV/0!</v>
      </c>
      <c r="O87" s="7"/>
      <c r="P87" s="7"/>
      <c r="Q87" s="7"/>
      <c r="R87" s="7"/>
      <c r="S87" s="3"/>
      <c r="T87" s="37">
        <f t="shared" si="6"/>
        <v>0</v>
      </c>
      <c r="U87" s="28" t="e">
        <f t="shared" si="10"/>
        <v>#DIV/0!</v>
      </c>
      <c r="V87" s="59">
        <f t="shared" si="11"/>
        <v>0</v>
      </c>
    </row>
    <row r="88" spans="1:22" ht="21.75" customHeight="1">
      <c r="A88" s="87">
        <v>27</v>
      </c>
      <c r="B88" s="7" t="s">
        <v>12</v>
      </c>
      <c r="C88" s="3"/>
      <c r="D88" s="3"/>
      <c r="E88" s="4">
        <f t="shared" si="7"/>
        <v>0</v>
      </c>
      <c r="F88" s="3"/>
      <c r="G88" s="3"/>
      <c r="H88" s="3"/>
      <c r="I88" s="3"/>
      <c r="J88" s="3"/>
      <c r="K88" s="3"/>
      <c r="L88" s="3"/>
      <c r="M88" s="5">
        <f t="shared" si="8"/>
        <v>0</v>
      </c>
      <c r="N88" s="28" t="e">
        <f t="shared" si="9"/>
        <v>#DIV/0!</v>
      </c>
      <c r="O88" s="7"/>
      <c r="P88" s="7"/>
      <c r="Q88" s="7"/>
      <c r="R88" s="7"/>
      <c r="S88" s="3"/>
      <c r="T88" s="37">
        <f t="shared" si="6"/>
        <v>0</v>
      </c>
      <c r="U88" s="28" t="e">
        <f t="shared" si="10"/>
        <v>#DIV/0!</v>
      </c>
      <c r="V88" s="59">
        <f t="shared" si="11"/>
        <v>0</v>
      </c>
    </row>
    <row r="89" spans="1:22" ht="21.75" customHeight="1">
      <c r="A89" s="87"/>
      <c r="B89" s="7" t="s">
        <v>13</v>
      </c>
      <c r="C89" s="3"/>
      <c r="D89" s="3"/>
      <c r="E89" s="4">
        <f t="shared" si="7"/>
        <v>0</v>
      </c>
      <c r="F89" s="3"/>
      <c r="G89" s="3"/>
      <c r="H89" s="3"/>
      <c r="I89" s="3"/>
      <c r="J89" s="3"/>
      <c r="K89" s="3"/>
      <c r="L89" s="3"/>
      <c r="M89" s="5">
        <f t="shared" si="8"/>
        <v>0</v>
      </c>
      <c r="N89" s="28" t="e">
        <f t="shared" si="9"/>
        <v>#DIV/0!</v>
      </c>
      <c r="O89" s="7"/>
      <c r="P89" s="7"/>
      <c r="Q89" s="7"/>
      <c r="R89" s="7"/>
      <c r="S89" s="3"/>
      <c r="T89" s="37">
        <f t="shared" si="6"/>
        <v>0</v>
      </c>
      <c r="U89" s="28" t="e">
        <f t="shared" si="10"/>
        <v>#DIV/0!</v>
      </c>
      <c r="V89" s="59">
        <f t="shared" si="11"/>
        <v>0</v>
      </c>
    </row>
    <row r="90" spans="1:22" ht="21.75" customHeight="1">
      <c r="A90" s="87"/>
      <c r="B90" s="7" t="s">
        <v>14</v>
      </c>
      <c r="C90" s="3"/>
      <c r="D90" s="3"/>
      <c r="E90" s="4">
        <f t="shared" si="7"/>
        <v>0</v>
      </c>
      <c r="F90" s="3"/>
      <c r="G90" s="3"/>
      <c r="H90" s="3"/>
      <c r="I90" s="3"/>
      <c r="J90" s="3"/>
      <c r="K90" s="3"/>
      <c r="L90" s="3"/>
      <c r="M90" s="5">
        <f t="shared" si="8"/>
        <v>0</v>
      </c>
      <c r="N90" s="28" t="e">
        <f t="shared" si="9"/>
        <v>#DIV/0!</v>
      </c>
      <c r="O90" s="7"/>
      <c r="P90" s="7"/>
      <c r="Q90" s="7"/>
      <c r="R90" s="7"/>
      <c r="S90" s="3"/>
      <c r="T90" s="37">
        <f t="shared" si="6"/>
        <v>0</v>
      </c>
      <c r="U90" s="28" t="e">
        <f t="shared" si="10"/>
        <v>#DIV/0!</v>
      </c>
      <c r="V90" s="59">
        <f t="shared" si="11"/>
        <v>0</v>
      </c>
    </row>
    <row r="91" spans="1:22" ht="21.75" customHeight="1">
      <c r="A91" s="87">
        <v>28</v>
      </c>
      <c r="B91" s="7" t="s">
        <v>12</v>
      </c>
      <c r="C91" s="3"/>
      <c r="D91" s="3"/>
      <c r="E91" s="4">
        <f t="shared" si="7"/>
        <v>0</v>
      </c>
      <c r="F91" s="3"/>
      <c r="G91" s="3"/>
      <c r="H91" s="3"/>
      <c r="I91" s="3"/>
      <c r="J91" s="3"/>
      <c r="K91" s="3"/>
      <c r="L91" s="3"/>
      <c r="M91" s="5">
        <f t="shared" si="8"/>
        <v>0</v>
      </c>
      <c r="N91" s="28" t="e">
        <f t="shared" si="9"/>
        <v>#DIV/0!</v>
      </c>
      <c r="O91" s="7"/>
      <c r="P91" s="7"/>
      <c r="Q91" s="7"/>
      <c r="R91" s="7"/>
      <c r="S91" s="3"/>
      <c r="T91" s="37">
        <f t="shared" si="6"/>
        <v>0</v>
      </c>
      <c r="U91" s="28" t="e">
        <f t="shared" si="10"/>
        <v>#DIV/0!</v>
      </c>
      <c r="V91" s="59">
        <f t="shared" si="11"/>
        <v>0</v>
      </c>
    </row>
    <row r="92" spans="1:22" ht="21.75" customHeight="1">
      <c r="A92" s="87"/>
      <c r="B92" s="7" t="s">
        <v>13</v>
      </c>
      <c r="C92" s="3"/>
      <c r="D92" s="3"/>
      <c r="E92" s="4">
        <f t="shared" si="7"/>
        <v>0</v>
      </c>
      <c r="F92" s="3"/>
      <c r="G92" s="3"/>
      <c r="H92" s="3"/>
      <c r="I92" s="3"/>
      <c r="J92" s="3"/>
      <c r="K92" s="3"/>
      <c r="L92" s="3"/>
      <c r="M92" s="5">
        <f t="shared" si="8"/>
        <v>0</v>
      </c>
      <c r="N92" s="28" t="e">
        <f t="shared" si="9"/>
        <v>#DIV/0!</v>
      </c>
      <c r="O92" s="7"/>
      <c r="P92" s="7"/>
      <c r="Q92" s="7"/>
      <c r="R92" s="7"/>
      <c r="S92" s="3"/>
      <c r="T92" s="37">
        <f t="shared" si="6"/>
        <v>0</v>
      </c>
      <c r="U92" s="28" t="e">
        <f t="shared" si="10"/>
        <v>#DIV/0!</v>
      </c>
      <c r="V92" s="59">
        <f t="shared" si="11"/>
        <v>0</v>
      </c>
    </row>
    <row r="93" spans="1:22" ht="21.75" customHeight="1">
      <c r="A93" s="87"/>
      <c r="B93" s="7" t="s">
        <v>14</v>
      </c>
      <c r="C93" s="3"/>
      <c r="D93" s="3"/>
      <c r="E93" s="4">
        <f t="shared" si="7"/>
        <v>0</v>
      </c>
      <c r="F93" s="3"/>
      <c r="G93" s="3"/>
      <c r="H93" s="3"/>
      <c r="I93" s="3"/>
      <c r="J93" s="3"/>
      <c r="K93" s="3"/>
      <c r="L93" s="3"/>
      <c r="M93" s="5">
        <f t="shared" si="8"/>
        <v>0</v>
      </c>
      <c r="N93" s="28" t="e">
        <f t="shared" si="9"/>
        <v>#DIV/0!</v>
      </c>
      <c r="O93" s="7"/>
      <c r="P93" s="7"/>
      <c r="Q93" s="7"/>
      <c r="R93" s="7"/>
      <c r="S93" s="3"/>
      <c r="T93" s="37">
        <f t="shared" si="6"/>
        <v>0</v>
      </c>
      <c r="U93" s="28" t="e">
        <f t="shared" si="10"/>
        <v>#DIV/0!</v>
      </c>
      <c r="V93" s="59">
        <f t="shared" si="11"/>
        <v>0</v>
      </c>
    </row>
    <row r="94" spans="1:22" ht="21.75" customHeight="1">
      <c r="A94" s="87">
        <v>29</v>
      </c>
      <c r="B94" s="7" t="s">
        <v>12</v>
      </c>
      <c r="C94" s="3"/>
      <c r="D94" s="3"/>
      <c r="E94" s="4">
        <f t="shared" si="7"/>
        <v>0</v>
      </c>
      <c r="F94" s="3"/>
      <c r="G94" s="3"/>
      <c r="H94" s="3"/>
      <c r="I94" s="3"/>
      <c r="J94" s="3"/>
      <c r="K94" s="3"/>
      <c r="L94" s="3"/>
      <c r="M94" s="5">
        <f t="shared" si="8"/>
        <v>0</v>
      </c>
      <c r="N94" s="28" t="e">
        <f t="shared" si="9"/>
        <v>#DIV/0!</v>
      </c>
      <c r="O94" s="7"/>
      <c r="P94" s="7"/>
      <c r="Q94" s="7"/>
      <c r="R94" s="7"/>
      <c r="S94" s="3"/>
      <c r="T94" s="37">
        <f t="shared" si="6"/>
        <v>0</v>
      </c>
      <c r="U94" s="28" t="e">
        <f t="shared" si="10"/>
        <v>#DIV/0!</v>
      </c>
      <c r="V94" s="59">
        <f t="shared" si="11"/>
        <v>0</v>
      </c>
    </row>
    <row r="95" spans="1:22" ht="21.75" customHeight="1">
      <c r="A95" s="87"/>
      <c r="B95" s="7" t="s">
        <v>13</v>
      </c>
      <c r="C95" s="3"/>
      <c r="D95" s="3"/>
      <c r="E95" s="4">
        <f t="shared" si="7"/>
        <v>0</v>
      </c>
      <c r="F95" s="3"/>
      <c r="G95" s="3"/>
      <c r="H95" s="3"/>
      <c r="I95" s="3"/>
      <c r="J95" s="3"/>
      <c r="K95" s="3"/>
      <c r="L95" s="3"/>
      <c r="M95" s="5">
        <f t="shared" si="8"/>
        <v>0</v>
      </c>
      <c r="N95" s="28" t="e">
        <f t="shared" si="9"/>
        <v>#DIV/0!</v>
      </c>
      <c r="O95" s="7"/>
      <c r="P95" s="7"/>
      <c r="Q95" s="7"/>
      <c r="R95" s="7"/>
      <c r="S95" s="3"/>
      <c r="T95" s="37">
        <f t="shared" si="6"/>
        <v>0</v>
      </c>
      <c r="U95" s="28" t="e">
        <f t="shared" si="10"/>
        <v>#DIV/0!</v>
      </c>
      <c r="V95" s="59">
        <f t="shared" si="11"/>
        <v>0</v>
      </c>
    </row>
    <row r="96" spans="1:22" ht="21.75" customHeight="1">
      <c r="A96" s="87"/>
      <c r="B96" s="7" t="s">
        <v>14</v>
      </c>
      <c r="C96" s="3"/>
      <c r="D96" s="3"/>
      <c r="E96" s="4">
        <f t="shared" si="7"/>
        <v>0</v>
      </c>
      <c r="F96" s="3"/>
      <c r="G96" s="3"/>
      <c r="H96" s="3"/>
      <c r="I96" s="3"/>
      <c r="J96" s="3"/>
      <c r="K96" s="3"/>
      <c r="L96" s="3"/>
      <c r="M96" s="5">
        <f t="shared" si="8"/>
        <v>0</v>
      </c>
      <c r="N96" s="28" t="e">
        <f t="shared" si="9"/>
        <v>#DIV/0!</v>
      </c>
      <c r="O96" s="7"/>
      <c r="P96" s="7"/>
      <c r="Q96" s="7"/>
      <c r="R96" s="7"/>
      <c r="S96" s="3"/>
      <c r="T96" s="37">
        <f t="shared" si="6"/>
        <v>0</v>
      </c>
      <c r="U96" s="28" t="e">
        <f t="shared" si="10"/>
        <v>#DIV/0!</v>
      </c>
      <c r="V96" s="59">
        <f t="shared" si="11"/>
        <v>0</v>
      </c>
    </row>
    <row r="97" spans="1:22" ht="21.75" customHeight="1">
      <c r="A97" s="87">
        <v>30</v>
      </c>
      <c r="B97" s="7" t="s">
        <v>12</v>
      </c>
      <c r="C97" s="3"/>
      <c r="D97" s="3"/>
      <c r="E97" s="4">
        <f t="shared" si="7"/>
        <v>0</v>
      </c>
      <c r="F97" s="3"/>
      <c r="G97" s="3"/>
      <c r="H97" s="3"/>
      <c r="I97" s="3"/>
      <c r="J97" s="3"/>
      <c r="K97" s="3"/>
      <c r="L97" s="3"/>
      <c r="M97" s="5">
        <f t="shared" si="8"/>
        <v>0</v>
      </c>
      <c r="N97" s="28" t="e">
        <f t="shared" si="9"/>
        <v>#DIV/0!</v>
      </c>
      <c r="O97" s="7"/>
      <c r="P97" s="7"/>
      <c r="Q97" s="7"/>
      <c r="R97" s="7"/>
      <c r="S97" s="3"/>
      <c r="T97" s="37">
        <f t="shared" si="6"/>
        <v>0</v>
      </c>
      <c r="U97" s="28" t="e">
        <f t="shared" si="10"/>
        <v>#DIV/0!</v>
      </c>
      <c r="V97" s="59">
        <f t="shared" si="11"/>
        <v>0</v>
      </c>
    </row>
    <row r="98" spans="1:22" ht="21.75" customHeight="1">
      <c r="A98" s="87"/>
      <c r="B98" s="7" t="s">
        <v>13</v>
      </c>
      <c r="C98" s="3"/>
      <c r="D98" s="3"/>
      <c r="E98" s="4">
        <f t="shared" si="7"/>
        <v>0</v>
      </c>
      <c r="F98" s="3"/>
      <c r="G98" s="3"/>
      <c r="H98" s="3"/>
      <c r="I98" s="3"/>
      <c r="J98" s="3"/>
      <c r="K98" s="3"/>
      <c r="L98" s="3"/>
      <c r="M98" s="5">
        <f t="shared" si="8"/>
        <v>0</v>
      </c>
      <c r="N98" s="28" t="e">
        <f t="shared" si="9"/>
        <v>#DIV/0!</v>
      </c>
      <c r="O98" s="7"/>
      <c r="P98" s="7"/>
      <c r="Q98" s="7"/>
      <c r="R98" s="7"/>
      <c r="S98" s="3"/>
      <c r="T98" s="37">
        <f t="shared" si="6"/>
        <v>0</v>
      </c>
      <c r="U98" s="28" t="e">
        <f t="shared" si="10"/>
        <v>#DIV/0!</v>
      </c>
      <c r="V98" s="59">
        <f t="shared" si="11"/>
        <v>0</v>
      </c>
    </row>
    <row r="99" spans="1:22" ht="21.75" customHeight="1">
      <c r="A99" s="87"/>
      <c r="B99" s="7" t="s">
        <v>14</v>
      </c>
      <c r="C99" s="3"/>
      <c r="D99" s="3"/>
      <c r="E99" s="4">
        <f t="shared" si="7"/>
        <v>0</v>
      </c>
      <c r="F99" s="3"/>
      <c r="G99" s="3"/>
      <c r="H99" s="3"/>
      <c r="I99" s="3"/>
      <c r="J99" s="3"/>
      <c r="K99" s="3"/>
      <c r="L99" s="3"/>
      <c r="M99" s="5">
        <f t="shared" si="8"/>
        <v>0</v>
      </c>
      <c r="N99" s="28" t="e">
        <f t="shared" si="9"/>
        <v>#DIV/0!</v>
      </c>
      <c r="O99" s="7"/>
      <c r="P99" s="7"/>
      <c r="Q99" s="7"/>
      <c r="R99" s="7"/>
      <c r="S99" s="3"/>
      <c r="T99" s="37">
        <f t="shared" si="6"/>
        <v>0</v>
      </c>
      <c r="U99" s="28" t="e">
        <f t="shared" si="10"/>
        <v>#DIV/0!</v>
      </c>
      <c r="V99" s="59">
        <f t="shared" si="11"/>
        <v>0</v>
      </c>
    </row>
    <row r="100" spans="1:22" ht="21.75" customHeight="1">
      <c r="A100" s="87">
        <v>31</v>
      </c>
      <c r="B100" s="7" t="s">
        <v>12</v>
      </c>
      <c r="C100" s="3"/>
      <c r="D100" s="3"/>
      <c r="E100" s="4">
        <f t="shared" si="7"/>
        <v>0</v>
      </c>
      <c r="F100" s="3"/>
      <c r="G100" s="3"/>
      <c r="H100" s="3"/>
      <c r="I100" s="3"/>
      <c r="J100" s="3"/>
      <c r="K100" s="3"/>
      <c r="L100" s="3"/>
      <c r="M100" s="5">
        <f t="shared" si="8"/>
        <v>0</v>
      </c>
      <c r="N100" s="28" t="e">
        <f t="shared" si="9"/>
        <v>#DIV/0!</v>
      </c>
      <c r="O100" s="7"/>
      <c r="P100" s="7"/>
      <c r="Q100" s="7"/>
      <c r="R100" s="7"/>
      <c r="S100" s="3"/>
      <c r="T100" s="37">
        <f t="shared" si="6"/>
        <v>0</v>
      </c>
      <c r="U100" s="28" t="e">
        <f t="shared" si="10"/>
        <v>#DIV/0!</v>
      </c>
      <c r="V100" s="59">
        <f t="shared" si="11"/>
        <v>0</v>
      </c>
    </row>
    <row r="101" spans="1:22" ht="21.75" customHeight="1">
      <c r="A101" s="87"/>
      <c r="B101" s="7" t="s">
        <v>13</v>
      </c>
      <c r="C101" s="3"/>
      <c r="D101" s="3"/>
      <c r="E101" s="4">
        <f t="shared" si="7"/>
        <v>0</v>
      </c>
      <c r="F101" s="3"/>
      <c r="G101" s="3"/>
      <c r="H101" s="3"/>
      <c r="I101" s="3"/>
      <c r="J101" s="3"/>
      <c r="K101" s="3"/>
      <c r="L101" s="3"/>
      <c r="M101" s="5">
        <f t="shared" si="8"/>
        <v>0</v>
      </c>
      <c r="N101" s="28" t="e">
        <f t="shared" si="9"/>
        <v>#DIV/0!</v>
      </c>
      <c r="O101" s="7"/>
      <c r="P101" s="7"/>
      <c r="Q101" s="7"/>
      <c r="R101" s="7"/>
      <c r="S101" s="3"/>
      <c r="T101" s="37">
        <f t="shared" si="6"/>
        <v>0</v>
      </c>
      <c r="U101" s="28" t="e">
        <f t="shared" si="10"/>
        <v>#DIV/0!</v>
      </c>
      <c r="V101" s="59">
        <f t="shared" si="11"/>
        <v>0</v>
      </c>
    </row>
    <row r="102" spans="1:22" ht="21.75" customHeight="1">
      <c r="A102" s="87"/>
      <c r="B102" s="7" t="s">
        <v>14</v>
      </c>
      <c r="C102" s="3"/>
      <c r="D102" s="3"/>
      <c r="E102" s="4">
        <f t="shared" si="7"/>
        <v>0</v>
      </c>
      <c r="F102" s="3"/>
      <c r="G102" s="3"/>
      <c r="H102" s="3"/>
      <c r="I102" s="3"/>
      <c r="J102" s="3"/>
      <c r="K102" s="3"/>
      <c r="L102" s="3"/>
      <c r="M102" s="5">
        <f t="shared" si="8"/>
        <v>0</v>
      </c>
      <c r="N102" s="28" t="e">
        <f t="shared" si="9"/>
        <v>#DIV/0!</v>
      </c>
      <c r="O102" s="7"/>
      <c r="P102" s="7"/>
      <c r="Q102" s="7"/>
      <c r="R102" s="7"/>
      <c r="S102" s="3"/>
      <c r="T102" s="37">
        <f t="shared" si="6"/>
        <v>0</v>
      </c>
      <c r="U102" s="28" t="e">
        <f t="shared" si="10"/>
        <v>#DIV/0!</v>
      </c>
      <c r="V102" s="59">
        <f t="shared" si="11"/>
        <v>0</v>
      </c>
    </row>
    <row r="103" spans="1:22" ht="21.75" customHeight="1">
      <c r="A103" s="87" t="s">
        <v>41</v>
      </c>
      <c r="B103" s="1" t="s">
        <v>12</v>
      </c>
      <c r="C103" s="37">
        <f>C10+C13+C16+C19+C22+C25+C28+C31+C34+C37+C40+C43+C46+C49+C52+C55+C58+C61+C64+C67+C70+C73+C76+C79+C82+C85+C88+C91+C94+C97+C100</f>
        <v>0</v>
      </c>
      <c r="D103" s="37">
        <f>D10+D13+D16+D19+D22+D25+D28+D31+D34+D37+D40+D43+D46+D49+D52+D55+D58+D61+D64+D67+D70+D73+D76+D79+D82+D85+D88+D91+D94+D97+D100</f>
        <v>0</v>
      </c>
      <c r="E103" s="4">
        <f>((($B$3*C103)+(12*D103))*$M$4)/7</f>
        <v>0</v>
      </c>
      <c r="F103" s="1">
        <f t="shared" ref="F103:L105" si="12">F10+F13+F16+F19+F22+F25+F28+F31+F34+F37+F40+F43+F46+F49+F52+F55+F58+F61+F64+F67+F70+F73+F76+F79+F82+F85+F88+F91+F94+F97+F100</f>
        <v>0</v>
      </c>
      <c r="G103" s="1">
        <f t="shared" si="12"/>
        <v>0</v>
      </c>
      <c r="H103" s="1">
        <f t="shared" si="12"/>
        <v>0</v>
      </c>
      <c r="I103" s="1">
        <f t="shared" si="12"/>
        <v>0</v>
      </c>
      <c r="J103" s="1">
        <f t="shared" si="12"/>
        <v>0</v>
      </c>
      <c r="K103" s="1">
        <f t="shared" si="12"/>
        <v>0</v>
      </c>
      <c r="L103" s="1">
        <f t="shared" si="12"/>
        <v>0</v>
      </c>
      <c r="M103" s="5">
        <f t="shared" si="8"/>
        <v>0</v>
      </c>
      <c r="N103" s="28" t="e">
        <f t="shared" si="9"/>
        <v>#DIV/0!</v>
      </c>
      <c r="O103" s="1">
        <f t="shared" ref="O103:S105" si="13">O10+O13+O16+O19+O22+O25+O28+O31+O34+O37+O40+O43+O46+O49+O52+O55+O58+O61+O64+O67+O70+O73+O76+O79+O82+O85+O88+O91+O94+O97+O100</f>
        <v>0</v>
      </c>
      <c r="P103" s="1">
        <f t="shared" si="13"/>
        <v>0</v>
      </c>
      <c r="Q103" s="1">
        <f t="shared" si="13"/>
        <v>0</v>
      </c>
      <c r="R103" s="1">
        <f t="shared" si="13"/>
        <v>0</v>
      </c>
      <c r="S103" s="1">
        <f t="shared" si="13"/>
        <v>0</v>
      </c>
      <c r="T103" s="37">
        <f t="shared" si="6"/>
        <v>0</v>
      </c>
      <c r="U103" s="28" t="e">
        <f t="shared" si="10"/>
        <v>#DIV/0!</v>
      </c>
      <c r="V103" s="59">
        <f t="shared" si="11"/>
        <v>0</v>
      </c>
    </row>
    <row r="104" spans="1:22" ht="21.75" customHeight="1">
      <c r="A104" s="87"/>
      <c r="B104" s="1" t="s">
        <v>13</v>
      </c>
      <c r="C104" s="37">
        <f t="shared" ref="C104:D105" si="14">C11+C14+C17+C20+C23+C26+C29+C32+C35+C38+C41+C44+C47+C50+C53+C56+C59+C62+C65+C68+C71+C74+C77+C80+C83+C86+C89+C92+C95+C98+C101</f>
        <v>0</v>
      </c>
      <c r="D104" s="37">
        <f t="shared" si="14"/>
        <v>0</v>
      </c>
      <c r="E104" s="4">
        <f t="shared" ref="E104:E105" si="15">((($B$3*C104)+(12*D104))*$M$4)/7</f>
        <v>0</v>
      </c>
      <c r="F104" s="1">
        <f t="shared" si="12"/>
        <v>0</v>
      </c>
      <c r="G104" s="1">
        <f t="shared" si="12"/>
        <v>0</v>
      </c>
      <c r="H104" s="1">
        <f t="shared" ref="H104" si="16">H11+H14+H17+H20+H23+H26+H29+H32+H35+H38+H41+H44+H47+H50+H53+H56+H59+H62+H65+H68+H71+H74+H77+H80+H83+H86+H89+H92+H95+H98+H101</f>
        <v>0</v>
      </c>
      <c r="I104" s="1">
        <f t="shared" si="12"/>
        <v>0</v>
      </c>
      <c r="J104" s="1">
        <f t="shared" si="12"/>
        <v>0</v>
      </c>
      <c r="K104" s="1">
        <f t="shared" ref="K104" si="17">K11+K14+K17+K20+K23+K26+K29+K32+K35+K38+K41+K44+K47+K50+K53+K56+K59+K62+K65+K68+K71+K74+K77+K80+K83+K86+K89+K92+K95+K98+K101</f>
        <v>0</v>
      </c>
      <c r="L104" s="1">
        <f t="shared" si="12"/>
        <v>0</v>
      </c>
      <c r="M104" s="5">
        <f t="shared" si="8"/>
        <v>0</v>
      </c>
      <c r="N104" s="28" t="e">
        <f t="shared" si="9"/>
        <v>#DIV/0!</v>
      </c>
      <c r="O104" s="1">
        <f t="shared" si="13"/>
        <v>0</v>
      </c>
      <c r="P104" s="1">
        <f t="shared" si="13"/>
        <v>0</v>
      </c>
      <c r="Q104" s="1">
        <f t="shared" si="13"/>
        <v>0</v>
      </c>
      <c r="R104" s="1">
        <f t="shared" si="13"/>
        <v>0</v>
      </c>
      <c r="S104" s="1">
        <f t="shared" si="13"/>
        <v>0</v>
      </c>
      <c r="T104" s="37">
        <f t="shared" si="6"/>
        <v>0</v>
      </c>
      <c r="U104" s="28" t="e">
        <f t="shared" si="10"/>
        <v>#DIV/0!</v>
      </c>
      <c r="V104" s="59">
        <f t="shared" si="11"/>
        <v>0</v>
      </c>
    </row>
    <row r="105" spans="1:22" ht="21.75" customHeight="1">
      <c r="A105" s="87"/>
      <c r="B105" s="1" t="s">
        <v>14</v>
      </c>
      <c r="C105" s="37">
        <f t="shared" si="14"/>
        <v>0</v>
      </c>
      <c r="D105" s="37">
        <f t="shared" si="14"/>
        <v>0</v>
      </c>
      <c r="E105" s="4">
        <f t="shared" si="15"/>
        <v>0</v>
      </c>
      <c r="F105" s="1">
        <f t="shared" si="12"/>
        <v>0</v>
      </c>
      <c r="G105" s="1">
        <f t="shared" si="12"/>
        <v>0</v>
      </c>
      <c r="H105" s="1">
        <f t="shared" ref="H105" si="18">H12+H15+H18+H21+H24+H27+H30+H33+H36+H39+H42+H45+H48+H51+H54+H57+H60+H63+H66+H69+H72+H75+H78+H81+H84+H87+H90+H93+H96+H99+H102</f>
        <v>0</v>
      </c>
      <c r="I105" s="1">
        <f t="shared" si="12"/>
        <v>0</v>
      </c>
      <c r="J105" s="1">
        <f t="shared" si="12"/>
        <v>0</v>
      </c>
      <c r="K105" s="1">
        <f t="shared" ref="K105" si="19">K12+K15+K18+K21+K24+K27+K30+K33+K36+K39+K42+K45+K48+K51+K54+K57+K60+K63+K66+K69+K72+K75+K78+K81+K84+K87+K90+K93+K96+K99+K102</f>
        <v>0</v>
      </c>
      <c r="L105" s="1">
        <f t="shared" si="12"/>
        <v>0</v>
      </c>
      <c r="M105" s="5">
        <f t="shared" si="8"/>
        <v>0</v>
      </c>
      <c r="N105" s="28" t="e">
        <f t="shared" si="9"/>
        <v>#DIV/0!</v>
      </c>
      <c r="O105" s="1">
        <f t="shared" si="13"/>
        <v>0</v>
      </c>
      <c r="P105" s="1">
        <f t="shared" si="13"/>
        <v>0</v>
      </c>
      <c r="Q105" s="1">
        <f t="shared" si="13"/>
        <v>0</v>
      </c>
      <c r="R105" s="1">
        <f t="shared" si="13"/>
        <v>0</v>
      </c>
      <c r="S105" s="1">
        <f t="shared" si="13"/>
        <v>0</v>
      </c>
      <c r="T105" s="37">
        <f t="shared" si="6"/>
        <v>0</v>
      </c>
      <c r="U105" s="28" t="e">
        <f t="shared" si="10"/>
        <v>#DIV/0!</v>
      </c>
      <c r="V105" s="59">
        <f t="shared" si="11"/>
        <v>0</v>
      </c>
    </row>
    <row r="106" spans="1:22" ht="21.75" customHeight="1">
      <c r="A106" s="7" t="s">
        <v>42</v>
      </c>
      <c r="B106" s="7"/>
      <c r="C106" s="42">
        <f>SUM(C103:C105)/3</f>
        <v>0</v>
      </c>
      <c r="D106" s="42">
        <f>SUM(D103:D105)/3</f>
        <v>0</v>
      </c>
      <c r="E106" s="25"/>
      <c r="F106" s="42">
        <f>SUM(F103:F105)</f>
        <v>0</v>
      </c>
      <c r="G106" s="42">
        <f t="shared" ref="G106:L106" si="20">SUM(G103:G105)</f>
        <v>0</v>
      </c>
      <c r="H106" s="42">
        <f t="shared" si="20"/>
        <v>0</v>
      </c>
      <c r="I106" s="42">
        <f t="shared" si="20"/>
        <v>0</v>
      </c>
      <c r="J106" s="42">
        <f t="shared" si="20"/>
        <v>0</v>
      </c>
      <c r="K106" s="42">
        <f t="shared" si="20"/>
        <v>0</v>
      </c>
      <c r="L106" s="42">
        <f t="shared" si="20"/>
        <v>0</v>
      </c>
      <c r="M106" s="5">
        <f t="shared" si="8"/>
        <v>0</v>
      </c>
      <c r="N106" s="25"/>
      <c r="O106" s="25">
        <f>SUM(O103:O105)/3</f>
        <v>0</v>
      </c>
      <c r="P106" s="25">
        <f>SUM(P103:P105)/3</f>
        <v>0</v>
      </c>
      <c r="Q106" s="25">
        <f t="shared" ref="Q106:S106" si="21">SUM(Q103:Q105)/3</f>
        <v>0</v>
      </c>
      <c r="R106" s="25">
        <f t="shared" si="21"/>
        <v>0</v>
      </c>
      <c r="S106" s="25">
        <f t="shared" si="21"/>
        <v>0</v>
      </c>
      <c r="T106" s="37">
        <f t="shared" si="6"/>
        <v>0</v>
      </c>
      <c r="U106" s="28" t="e">
        <f t="shared" si="10"/>
        <v>#DIV/0!</v>
      </c>
      <c r="V106" s="59">
        <f t="shared" si="11"/>
        <v>0</v>
      </c>
    </row>
  </sheetData>
  <mergeCells count="77">
    <mergeCell ref="O7:S7"/>
    <mergeCell ref="T7:T9"/>
    <mergeCell ref="O8:O9"/>
    <mergeCell ref="Q4:R4"/>
    <mergeCell ref="F5:L5"/>
    <mergeCell ref="O5:P5"/>
    <mergeCell ref="Q5:R5"/>
    <mergeCell ref="O6:Q6"/>
    <mergeCell ref="R6:S6"/>
    <mergeCell ref="P8:P9"/>
    <mergeCell ref="I4:L4"/>
    <mergeCell ref="E4:H4"/>
    <mergeCell ref="F6:H6"/>
    <mergeCell ref="A1:N1"/>
    <mergeCell ref="A2:N2"/>
    <mergeCell ref="M3:N3"/>
    <mergeCell ref="O3:P3"/>
    <mergeCell ref="Q3:R3"/>
    <mergeCell ref="I3:L3"/>
    <mergeCell ref="E3:H3"/>
    <mergeCell ref="C5:D5"/>
    <mergeCell ref="C6:D6"/>
    <mergeCell ref="N7:N9"/>
    <mergeCell ref="E7:E9"/>
    <mergeCell ref="I6:K6"/>
    <mergeCell ref="F7:K7"/>
    <mergeCell ref="I8:K8"/>
    <mergeCell ref="F8:H8"/>
    <mergeCell ref="A97:A99"/>
    <mergeCell ref="A100:A102"/>
    <mergeCell ref="A103:A105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91:A93"/>
    <mergeCell ref="A94:A96"/>
    <mergeCell ref="A49:A51"/>
    <mergeCell ref="A52:A54"/>
    <mergeCell ref="A55:A57"/>
    <mergeCell ref="A58:A60"/>
    <mergeCell ref="A61:A63"/>
    <mergeCell ref="A37:A39"/>
    <mergeCell ref="A40:A42"/>
    <mergeCell ref="A43:A45"/>
    <mergeCell ref="A46:A48"/>
    <mergeCell ref="A7:A9"/>
    <mergeCell ref="A10:A12"/>
    <mergeCell ref="A28:A30"/>
    <mergeCell ref="A31:A33"/>
    <mergeCell ref="A34:A36"/>
    <mergeCell ref="A13:A15"/>
    <mergeCell ref="A16:A18"/>
    <mergeCell ref="A19:A21"/>
    <mergeCell ref="A22:A24"/>
    <mergeCell ref="A25:A27"/>
    <mergeCell ref="U7:U9"/>
    <mergeCell ref="L7:L9"/>
    <mergeCell ref="M7:M9"/>
    <mergeCell ref="A3:A4"/>
    <mergeCell ref="B3:B4"/>
    <mergeCell ref="C3:C4"/>
    <mergeCell ref="Q8:Q9"/>
    <mergeCell ref="R8:R9"/>
    <mergeCell ref="S8:S9"/>
    <mergeCell ref="M4:N4"/>
    <mergeCell ref="O4:P4"/>
    <mergeCell ref="B7:B9"/>
    <mergeCell ref="C7:C9"/>
    <mergeCell ref="D7:D9"/>
    <mergeCell ref="A5:B5"/>
    <mergeCell ref="A6:B6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106"/>
  <sheetViews>
    <sheetView zoomScale="85" zoomScaleNormal="85" workbookViewId="0">
      <pane xSplit="2" ySplit="9" topLeftCell="C95" activePane="bottomRight" state="frozen"/>
      <selection pane="topRight" activeCell="C1" sqref="C1"/>
      <selection pane="bottomLeft" activeCell="A10" sqref="A10"/>
      <selection pane="bottomRight" activeCell="M10" sqref="M10:M106"/>
    </sheetView>
  </sheetViews>
  <sheetFormatPr defaultColWidth="9" defaultRowHeight="21.75" customHeight="1"/>
  <cols>
    <col min="1" max="1" width="10.33203125" style="2" customWidth="1"/>
    <col min="2" max="2" width="4.109375" style="2" customWidth="1"/>
    <col min="3" max="3" width="7.88671875" style="2" customWidth="1"/>
    <col min="4" max="4" width="8.44140625" style="2" customWidth="1"/>
    <col min="5" max="5" width="6.33203125" style="2" customWidth="1"/>
    <col min="6" max="6" width="7.77734375" style="2" customWidth="1"/>
    <col min="7" max="8" width="6" style="2" customWidth="1"/>
    <col min="9" max="9" width="5.33203125" style="2" bestFit="1" customWidth="1"/>
    <col min="10" max="11" width="6.33203125" style="2" customWidth="1"/>
    <col min="12" max="12" width="6" style="2" customWidth="1"/>
    <col min="13" max="13" width="6.88671875" style="2" bestFit="1" customWidth="1"/>
    <col min="14" max="14" width="7.88671875" style="2" bestFit="1" customWidth="1"/>
    <col min="15" max="15" width="5.33203125" style="2" bestFit="1" customWidth="1"/>
    <col min="16" max="17" width="6.33203125" style="2" bestFit="1" customWidth="1"/>
    <col min="18" max="18" width="5" style="2" customWidth="1"/>
    <col min="19" max="19" width="9" style="2" customWidth="1"/>
    <col min="20" max="20" width="7.21875" style="2" customWidth="1"/>
    <col min="21" max="21" width="6.77734375" style="2" customWidth="1"/>
    <col min="22" max="22" width="4.109375" style="2" bestFit="1" customWidth="1"/>
    <col min="23" max="16384" width="9" style="2"/>
  </cols>
  <sheetData>
    <row r="1" spans="1:22" ht="21.75" customHeight="1">
      <c r="A1" s="90" t="s">
        <v>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</row>
    <row r="2" spans="1:22" ht="21.75" customHeight="1">
      <c r="A2" s="90" t="s">
        <v>65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</row>
    <row r="3" spans="1:22" ht="21.75" customHeight="1">
      <c r="A3" s="91" t="s">
        <v>10</v>
      </c>
      <c r="B3" s="92">
        <v>4.5</v>
      </c>
      <c r="C3" s="93" t="s">
        <v>11</v>
      </c>
      <c r="D3" s="38"/>
      <c r="E3" s="116" t="s">
        <v>12</v>
      </c>
      <c r="F3" s="95"/>
      <c r="G3" s="95"/>
      <c r="H3" s="96"/>
      <c r="I3" s="93" t="s">
        <v>13</v>
      </c>
      <c r="J3" s="93"/>
      <c r="K3" s="93"/>
      <c r="L3" s="93"/>
      <c r="M3" s="95" t="s">
        <v>14</v>
      </c>
      <c r="N3" s="96"/>
      <c r="O3" s="113" t="s">
        <v>15</v>
      </c>
      <c r="P3" s="113"/>
      <c r="Q3" s="115">
        <f>((F103+F105)*240)+((G103+G105)*180)</f>
        <v>0</v>
      </c>
      <c r="R3" s="115"/>
      <c r="S3" s="7" t="s">
        <v>16</v>
      </c>
    </row>
    <row r="4" spans="1:22" ht="21.75" customHeight="1">
      <c r="A4" s="91"/>
      <c r="B4" s="92"/>
      <c r="C4" s="93"/>
      <c r="D4" s="38"/>
      <c r="E4" s="114">
        <v>0.25</v>
      </c>
      <c r="F4" s="97"/>
      <c r="G4" s="97"/>
      <c r="H4" s="98"/>
      <c r="I4" s="94">
        <v>0.4</v>
      </c>
      <c r="J4" s="94"/>
      <c r="K4" s="94"/>
      <c r="L4" s="94"/>
      <c r="M4" s="97">
        <v>0.35</v>
      </c>
      <c r="N4" s="98"/>
      <c r="O4" s="113" t="s">
        <v>17</v>
      </c>
      <c r="P4" s="113"/>
      <c r="Q4" s="115">
        <f>((I103+L103+I104+L104+I105+L105)*660)+((J103+J105+J104)*530)</f>
        <v>0</v>
      </c>
      <c r="R4" s="115"/>
      <c r="S4" s="7" t="s">
        <v>16</v>
      </c>
    </row>
    <row r="5" spans="1:22" ht="21.75" customHeight="1">
      <c r="A5" s="99" t="s">
        <v>18</v>
      </c>
      <c r="B5" s="99"/>
      <c r="C5" s="103"/>
      <c r="D5" s="104"/>
      <c r="E5" s="35" t="s">
        <v>19</v>
      </c>
      <c r="F5" s="114" t="s">
        <v>20</v>
      </c>
      <c r="G5" s="97"/>
      <c r="H5" s="97"/>
      <c r="I5" s="97"/>
      <c r="J5" s="97"/>
      <c r="K5" s="97"/>
      <c r="L5" s="97"/>
      <c r="M5" s="6"/>
      <c r="N5" s="34" t="s">
        <v>21</v>
      </c>
      <c r="O5" s="113"/>
      <c r="P5" s="113"/>
      <c r="Q5" s="115"/>
      <c r="R5" s="115"/>
      <c r="S5" s="7"/>
    </row>
    <row r="6" spans="1:22" ht="21.75" customHeight="1">
      <c r="A6" s="99" t="s">
        <v>23</v>
      </c>
      <c r="B6" s="99"/>
      <c r="C6" s="105" t="e">
        <f>((C106*12)/(M5*7)+((D106*12)/(M5*7)))</f>
        <v>#DIV/0!</v>
      </c>
      <c r="D6" s="106"/>
      <c r="E6" s="35" t="s">
        <v>19</v>
      </c>
      <c r="F6" s="80" t="s">
        <v>24</v>
      </c>
      <c r="G6" s="81"/>
      <c r="H6" s="82"/>
      <c r="I6" s="77" t="e">
        <f>C5-C6</f>
        <v>#DIV/0!</v>
      </c>
      <c r="J6" s="78"/>
      <c r="K6" s="79"/>
      <c r="L6" s="39" t="s">
        <v>19</v>
      </c>
      <c r="M6" s="36" t="s">
        <v>25</v>
      </c>
      <c r="N6" s="27" t="e">
        <f>((((C106*4.5)+(D106*12))/((F106+G106+H106+I106+J106+K106+L106)*7)))*100</f>
        <v>#DIV/0!</v>
      </c>
      <c r="O6" s="71" t="s">
        <v>26</v>
      </c>
      <c r="P6" s="71"/>
      <c r="Q6" s="71"/>
      <c r="R6" s="72" t="e">
        <f>U106</f>
        <v>#DIV/0!</v>
      </c>
      <c r="S6" s="73"/>
    </row>
    <row r="7" spans="1:22" ht="21.75" customHeight="1">
      <c r="A7" s="65" t="s">
        <v>27</v>
      </c>
      <c r="B7" s="65" t="s">
        <v>28</v>
      </c>
      <c r="C7" s="100" t="s">
        <v>77</v>
      </c>
      <c r="D7" s="100" t="s">
        <v>78</v>
      </c>
      <c r="E7" s="65" t="s">
        <v>30</v>
      </c>
      <c r="F7" s="126" t="s">
        <v>31</v>
      </c>
      <c r="G7" s="127"/>
      <c r="H7" s="127"/>
      <c r="I7" s="127"/>
      <c r="J7" s="127"/>
      <c r="K7" s="128"/>
      <c r="L7" s="65" t="s">
        <v>32</v>
      </c>
      <c r="M7" s="65" t="s">
        <v>33</v>
      </c>
      <c r="N7" s="68" t="s">
        <v>25</v>
      </c>
      <c r="O7" s="87" t="s">
        <v>34</v>
      </c>
      <c r="P7" s="87"/>
      <c r="Q7" s="87"/>
      <c r="R7" s="87"/>
      <c r="S7" s="87"/>
      <c r="T7" s="83" t="s">
        <v>35</v>
      </c>
      <c r="U7" s="85" t="s">
        <v>26</v>
      </c>
    </row>
    <row r="8" spans="1:22" ht="21.75" customHeight="1">
      <c r="A8" s="66"/>
      <c r="B8" s="66"/>
      <c r="C8" s="101"/>
      <c r="D8" s="101"/>
      <c r="E8" s="66"/>
      <c r="F8" s="120" t="s">
        <v>37</v>
      </c>
      <c r="G8" s="121"/>
      <c r="H8" s="122"/>
      <c r="I8" s="123" t="s">
        <v>38</v>
      </c>
      <c r="J8" s="123"/>
      <c r="K8" s="123"/>
      <c r="L8" s="66"/>
      <c r="M8" s="66"/>
      <c r="N8" s="69"/>
      <c r="O8" s="88">
        <v>1</v>
      </c>
      <c r="P8" s="88">
        <v>2</v>
      </c>
      <c r="Q8" s="88">
        <v>3</v>
      </c>
      <c r="R8" s="88">
        <v>4</v>
      </c>
      <c r="S8" s="88">
        <v>5</v>
      </c>
      <c r="T8" s="83"/>
      <c r="U8" s="85"/>
    </row>
    <row r="9" spans="1:22" ht="21.75" customHeight="1">
      <c r="A9" s="67"/>
      <c r="B9" s="67"/>
      <c r="C9" s="102"/>
      <c r="D9" s="102"/>
      <c r="E9" s="67"/>
      <c r="F9" s="24" t="s">
        <v>39</v>
      </c>
      <c r="G9" s="24" t="s">
        <v>40</v>
      </c>
      <c r="H9" s="24" t="s">
        <v>76</v>
      </c>
      <c r="I9" s="57" t="s">
        <v>39</v>
      </c>
      <c r="J9" s="57" t="s">
        <v>40</v>
      </c>
      <c r="K9" s="57" t="s">
        <v>76</v>
      </c>
      <c r="L9" s="67"/>
      <c r="M9" s="67"/>
      <c r="N9" s="70"/>
      <c r="O9" s="89"/>
      <c r="P9" s="89"/>
      <c r="Q9" s="89"/>
      <c r="R9" s="89"/>
      <c r="S9" s="89"/>
      <c r="T9" s="84"/>
      <c r="U9" s="86"/>
    </row>
    <row r="10" spans="1:22" ht="21.75" customHeight="1">
      <c r="A10" s="87">
        <v>1</v>
      </c>
      <c r="B10" s="7" t="s">
        <v>12</v>
      </c>
      <c r="C10" s="3"/>
      <c r="D10" s="3"/>
      <c r="E10" s="4">
        <f>((($B$3*C10)+(12*D10))*$E$4)/7</f>
        <v>0</v>
      </c>
      <c r="F10" s="3"/>
      <c r="G10" s="3"/>
      <c r="H10" s="3"/>
      <c r="I10" s="3"/>
      <c r="J10" s="3"/>
      <c r="K10" s="3"/>
      <c r="L10" s="3"/>
      <c r="M10" s="5">
        <f>(F10+G10+H10+L10)-E10</f>
        <v>0</v>
      </c>
      <c r="N10" s="28" t="e">
        <f>(((C10*4.5)+(12*D10))*$E$4)/((F10+G10+H10+I10+J10+K10+L10)*7)*100</f>
        <v>#DIV/0!</v>
      </c>
      <c r="O10" s="7"/>
      <c r="P10" s="7"/>
      <c r="Q10" s="7"/>
      <c r="R10" s="7"/>
      <c r="S10" s="3"/>
      <c r="T10" s="37">
        <f t="shared" ref="T10:T73" si="0">SUM(O10:S10)</f>
        <v>0</v>
      </c>
      <c r="U10" s="28" t="e">
        <f>((((O10*1.5+(P10*3.5)+(Q10*5.5)+(R10*7.5)+(S10*12)))/3)/((F10+G10+H10+I10+J10+K10+L10)*7))*100</f>
        <v>#DIV/0!</v>
      </c>
      <c r="V10" s="59">
        <f>C10+D10-T10</f>
        <v>0</v>
      </c>
    </row>
    <row r="11" spans="1:22" ht="21.75" customHeight="1">
      <c r="A11" s="87"/>
      <c r="B11" s="7" t="s">
        <v>13</v>
      </c>
      <c r="C11" s="3"/>
      <c r="D11" s="3"/>
      <c r="E11" s="4">
        <f t="shared" ref="E11:E74" si="1">((($B$3*C11)+(12*D11))*$E$4)/7</f>
        <v>0</v>
      </c>
      <c r="F11" s="3"/>
      <c r="G11" s="3"/>
      <c r="H11" s="3"/>
      <c r="I11" s="3"/>
      <c r="J11" s="3"/>
      <c r="K11" s="3"/>
      <c r="L11" s="3"/>
      <c r="M11" s="5">
        <f t="shared" ref="M11:M74" si="2">(F11+G11+H11+L11)-E11</f>
        <v>0</v>
      </c>
      <c r="N11" s="28" t="e">
        <f t="shared" ref="N11:N74" si="3">(((C11*4.5)+(12*D11))*$E$4)/((F11+G11+H11+I11+J11+K11+L11)*7)*100</f>
        <v>#DIV/0!</v>
      </c>
      <c r="O11" s="7"/>
      <c r="P11" s="7"/>
      <c r="Q11" s="7"/>
      <c r="R11" s="7"/>
      <c r="S11" s="3"/>
      <c r="T11" s="37">
        <f t="shared" si="0"/>
        <v>0</v>
      </c>
      <c r="U11" s="28" t="e">
        <f t="shared" ref="U11:U74" si="4">((((O11*1.5+(P11*3.5)+(Q11*5.5)+(R11*7.5)+(S11*12)))/3)/((F11+G11+H11+I11+J11+K11+L11)*7))*100</f>
        <v>#DIV/0!</v>
      </c>
      <c r="V11" s="59">
        <f t="shared" ref="V11:V74" si="5">C11+D11-T11</f>
        <v>0</v>
      </c>
    </row>
    <row r="12" spans="1:22" ht="21.75" customHeight="1">
      <c r="A12" s="87"/>
      <c r="B12" s="7" t="s">
        <v>14</v>
      </c>
      <c r="C12" s="3"/>
      <c r="D12" s="3"/>
      <c r="E12" s="4">
        <f t="shared" si="1"/>
        <v>0</v>
      </c>
      <c r="F12" s="3"/>
      <c r="G12" s="3"/>
      <c r="H12" s="3"/>
      <c r="I12" s="3"/>
      <c r="J12" s="3"/>
      <c r="K12" s="3"/>
      <c r="L12" s="3"/>
      <c r="M12" s="5">
        <f t="shared" si="2"/>
        <v>0</v>
      </c>
      <c r="N12" s="28" t="e">
        <f t="shared" si="3"/>
        <v>#DIV/0!</v>
      </c>
      <c r="O12" s="7"/>
      <c r="P12" s="7"/>
      <c r="Q12" s="7"/>
      <c r="R12" s="7"/>
      <c r="S12" s="3"/>
      <c r="T12" s="37">
        <f t="shared" si="0"/>
        <v>0</v>
      </c>
      <c r="U12" s="28" t="e">
        <f t="shared" si="4"/>
        <v>#DIV/0!</v>
      </c>
      <c r="V12" s="59">
        <f t="shared" si="5"/>
        <v>0</v>
      </c>
    </row>
    <row r="13" spans="1:22" ht="21.75" customHeight="1">
      <c r="A13" s="87">
        <v>2</v>
      </c>
      <c r="B13" s="7" t="s">
        <v>12</v>
      </c>
      <c r="C13" s="3"/>
      <c r="D13" s="3"/>
      <c r="E13" s="4">
        <f t="shared" si="1"/>
        <v>0</v>
      </c>
      <c r="F13" s="3"/>
      <c r="G13" s="3"/>
      <c r="H13" s="3"/>
      <c r="I13" s="3"/>
      <c r="J13" s="3"/>
      <c r="K13" s="3"/>
      <c r="L13" s="3"/>
      <c r="M13" s="5">
        <f t="shared" si="2"/>
        <v>0</v>
      </c>
      <c r="N13" s="28" t="e">
        <f t="shared" si="3"/>
        <v>#DIV/0!</v>
      </c>
      <c r="O13" s="7"/>
      <c r="P13" s="7"/>
      <c r="Q13" s="7"/>
      <c r="R13" s="7"/>
      <c r="S13" s="3"/>
      <c r="T13" s="37">
        <f t="shared" si="0"/>
        <v>0</v>
      </c>
      <c r="U13" s="28" t="e">
        <f t="shared" si="4"/>
        <v>#DIV/0!</v>
      </c>
      <c r="V13" s="59">
        <f t="shared" si="5"/>
        <v>0</v>
      </c>
    </row>
    <row r="14" spans="1:22" ht="21.75" customHeight="1">
      <c r="A14" s="87"/>
      <c r="B14" s="7" t="s">
        <v>13</v>
      </c>
      <c r="C14" s="3"/>
      <c r="D14" s="3"/>
      <c r="E14" s="4">
        <f t="shared" si="1"/>
        <v>0</v>
      </c>
      <c r="F14" s="3"/>
      <c r="G14" s="3"/>
      <c r="H14" s="3"/>
      <c r="I14" s="3"/>
      <c r="J14" s="3"/>
      <c r="K14" s="3"/>
      <c r="L14" s="3"/>
      <c r="M14" s="5">
        <f t="shared" si="2"/>
        <v>0</v>
      </c>
      <c r="N14" s="28" t="e">
        <f t="shared" si="3"/>
        <v>#DIV/0!</v>
      </c>
      <c r="O14" s="7"/>
      <c r="P14" s="7"/>
      <c r="Q14" s="7"/>
      <c r="R14" s="7"/>
      <c r="S14" s="3"/>
      <c r="T14" s="37">
        <f t="shared" si="0"/>
        <v>0</v>
      </c>
      <c r="U14" s="28" t="e">
        <f t="shared" si="4"/>
        <v>#DIV/0!</v>
      </c>
      <c r="V14" s="59">
        <f t="shared" si="5"/>
        <v>0</v>
      </c>
    </row>
    <row r="15" spans="1:22" ht="21.75" customHeight="1">
      <c r="A15" s="87"/>
      <c r="B15" s="7" t="s">
        <v>14</v>
      </c>
      <c r="C15" s="3"/>
      <c r="D15" s="3"/>
      <c r="E15" s="4">
        <f t="shared" si="1"/>
        <v>0</v>
      </c>
      <c r="F15" s="3"/>
      <c r="G15" s="3"/>
      <c r="H15" s="3"/>
      <c r="I15" s="3"/>
      <c r="J15" s="3"/>
      <c r="K15" s="3"/>
      <c r="L15" s="3"/>
      <c r="M15" s="5">
        <f t="shared" si="2"/>
        <v>0</v>
      </c>
      <c r="N15" s="28" t="e">
        <f t="shared" si="3"/>
        <v>#DIV/0!</v>
      </c>
      <c r="O15" s="7"/>
      <c r="P15" s="7"/>
      <c r="Q15" s="7"/>
      <c r="R15" s="7"/>
      <c r="S15" s="3"/>
      <c r="T15" s="37">
        <f t="shared" si="0"/>
        <v>0</v>
      </c>
      <c r="U15" s="28" t="e">
        <f t="shared" si="4"/>
        <v>#DIV/0!</v>
      </c>
      <c r="V15" s="59">
        <f t="shared" si="5"/>
        <v>0</v>
      </c>
    </row>
    <row r="16" spans="1:22" ht="21.75" customHeight="1">
      <c r="A16" s="87">
        <v>3</v>
      </c>
      <c r="B16" s="7" t="s">
        <v>12</v>
      </c>
      <c r="C16" s="3"/>
      <c r="D16" s="3"/>
      <c r="E16" s="4">
        <f t="shared" si="1"/>
        <v>0</v>
      </c>
      <c r="F16" s="3"/>
      <c r="G16" s="3"/>
      <c r="H16" s="3"/>
      <c r="I16" s="3"/>
      <c r="J16" s="3"/>
      <c r="K16" s="3"/>
      <c r="L16" s="3"/>
      <c r="M16" s="5">
        <f t="shared" si="2"/>
        <v>0</v>
      </c>
      <c r="N16" s="28" t="e">
        <f t="shared" si="3"/>
        <v>#DIV/0!</v>
      </c>
      <c r="O16" s="7"/>
      <c r="P16" s="7"/>
      <c r="Q16" s="7"/>
      <c r="R16" s="7"/>
      <c r="S16" s="3"/>
      <c r="T16" s="37">
        <f t="shared" si="0"/>
        <v>0</v>
      </c>
      <c r="U16" s="28" t="e">
        <f t="shared" si="4"/>
        <v>#DIV/0!</v>
      </c>
      <c r="V16" s="59">
        <f t="shared" si="5"/>
        <v>0</v>
      </c>
    </row>
    <row r="17" spans="1:22" ht="21.75" customHeight="1">
      <c r="A17" s="87"/>
      <c r="B17" s="7" t="s">
        <v>13</v>
      </c>
      <c r="C17" s="3"/>
      <c r="D17" s="3"/>
      <c r="E17" s="4">
        <f t="shared" si="1"/>
        <v>0</v>
      </c>
      <c r="F17" s="3"/>
      <c r="G17" s="3"/>
      <c r="H17" s="3"/>
      <c r="I17" s="3"/>
      <c r="J17" s="3"/>
      <c r="K17" s="3"/>
      <c r="L17" s="3"/>
      <c r="M17" s="5">
        <f t="shared" si="2"/>
        <v>0</v>
      </c>
      <c r="N17" s="28" t="e">
        <f t="shared" si="3"/>
        <v>#DIV/0!</v>
      </c>
      <c r="O17" s="7"/>
      <c r="P17" s="7"/>
      <c r="Q17" s="7"/>
      <c r="R17" s="7"/>
      <c r="S17" s="3"/>
      <c r="T17" s="37">
        <f t="shared" si="0"/>
        <v>0</v>
      </c>
      <c r="U17" s="28" t="e">
        <f t="shared" si="4"/>
        <v>#DIV/0!</v>
      </c>
      <c r="V17" s="59">
        <f t="shared" si="5"/>
        <v>0</v>
      </c>
    </row>
    <row r="18" spans="1:22" ht="21.75" customHeight="1">
      <c r="A18" s="87"/>
      <c r="B18" s="7" t="s">
        <v>14</v>
      </c>
      <c r="C18" s="3"/>
      <c r="D18" s="3"/>
      <c r="E18" s="4">
        <f t="shared" si="1"/>
        <v>0</v>
      </c>
      <c r="F18" s="3"/>
      <c r="G18" s="3"/>
      <c r="H18" s="3"/>
      <c r="I18" s="3"/>
      <c r="J18" s="3"/>
      <c r="K18" s="3"/>
      <c r="L18" s="3"/>
      <c r="M18" s="5">
        <f t="shared" si="2"/>
        <v>0</v>
      </c>
      <c r="N18" s="28" t="e">
        <f t="shared" si="3"/>
        <v>#DIV/0!</v>
      </c>
      <c r="O18" s="7"/>
      <c r="P18" s="7"/>
      <c r="Q18" s="7"/>
      <c r="R18" s="7"/>
      <c r="S18" s="3"/>
      <c r="T18" s="37">
        <f t="shared" si="0"/>
        <v>0</v>
      </c>
      <c r="U18" s="28" t="e">
        <f t="shared" si="4"/>
        <v>#DIV/0!</v>
      </c>
      <c r="V18" s="59">
        <f t="shared" si="5"/>
        <v>0</v>
      </c>
    </row>
    <row r="19" spans="1:22" ht="21.75" customHeight="1">
      <c r="A19" s="87">
        <v>4</v>
      </c>
      <c r="B19" s="7" t="s">
        <v>12</v>
      </c>
      <c r="C19" s="3"/>
      <c r="D19" s="3"/>
      <c r="E19" s="4">
        <f t="shared" si="1"/>
        <v>0</v>
      </c>
      <c r="F19" s="3"/>
      <c r="G19" s="3"/>
      <c r="H19" s="3"/>
      <c r="I19" s="3"/>
      <c r="J19" s="3"/>
      <c r="K19" s="3"/>
      <c r="L19" s="3"/>
      <c r="M19" s="5">
        <f t="shared" si="2"/>
        <v>0</v>
      </c>
      <c r="N19" s="28" t="e">
        <f t="shared" si="3"/>
        <v>#DIV/0!</v>
      </c>
      <c r="O19" s="7"/>
      <c r="P19" s="7"/>
      <c r="Q19" s="7"/>
      <c r="R19" s="7"/>
      <c r="S19" s="3"/>
      <c r="T19" s="37">
        <f t="shared" si="0"/>
        <v>0</v>
      </c>
      <c r="U19" s="28" t="e">
        <f t="shared" si="4"/>
        <v>#DIV/0!</v>
      </c>
      <c r="V19" s="59">
        <f t="shared" si="5"/>
        <v>0</v>
      </c>
    </row>
    <row r="20" spans="1:22" ht="21.75" customHeight="1">
      <c r="A20" s="87"/>
      <c r="B20" s="7" t="s">
        <v>13</v>
      </c>
      <c r="C20" s="3"/>
      <c r="D20" s="3"/>
      <c r="E20" s="4">
        <f t="shared" si="1"/>
        <v>0</v>
      </c>
      <c r="F20" s="3"/>
      <c r="G20" s="3"/>
      <c r="H20" s="3"/>
      <c r="I20" s="3"/>
      <c r="J20" s="3"/>
      <c r="K20" s="3"/>
      <c r="L20" s="3"/>
      <c r="M20" s="5">
        <f t="shared" si="2"/>
        <v>0</v>
      </c>
      <c r="N20" s="28" t="e">
        <f t="shared" si="3"/>
        <v>#DIV/0!</v>
      </c>
      <c r="O20" s="7"/>
      <c r="P20" s="7"/>
      <c r="Q20" s="7"/>
      <c r="R20" s="7"/>
      <c r="S20" s="3"/>
      <c r="T20" s="37">
        <f t="shared" si="0"/>
        <v>0</v>
      </c>
      <c r="U20" s="28" t="e">
        <f t="shared" si="4"/>
        <v>#DIV/0!</v>
      </c>
      <c r="V20" s="59">
        <f t="shared" si="5"/>
        <v>0</v>
      </c>
    </row>
    <row r="21" spans="1:22" ht="21.75" customHeight="1">
      <c r="A21" s="87"/>
      <c r="B21" s="7" t="s">
        <v>14</v>
      </c>
      <c r="C21" s="3"/>
      <c r="D21" s="3"/>
      <c r="E21" s="4">
        <f t="shared" si="1"/>
        <v>0</v>
      </c>
      <c r="F21" s="3"/>
      <c r="G21" s="3"/>
      <c r="H21" s="3"/>
      <c r="I21" s="3"/>
      <c r="J21" s="3"/>
      <c r="K21" s="3"/>
      <c r="L21" s="3"/>
      <c r="M21" s="5">
        <f t="shared" si="2"/>
        <v>0</v>
      </c>
      <c r="N21" s="28" t="e">
        <f t="shared" si="3"/>
        <v>#DIV/0!</v>
      </c>
      <c r="O21" s="7"/>
      <c r="P21" s="7"/>
      <c r="Q21" s="7"/>
      <c r="R21" s="7"/>
      <c r="S21" s="3"/>
      <c r="T21" s="37">
        <f t="shared" si="0"/>
        <v>0</v>
      </c>
      <c r="U21" s="28" t="e">
        <f t="shared" si="4"/>
        <v>#DIV/0!</v>
      </c>
      <c r="V21" s="59">
        <f t="shared" si="5"/>
        <v>0</v>
      </c>
    </row>
    <row r="22" spans="1:22" ht="21.75" customHeight="1">
      <c r="A22" s="87">
        <v>5</v>
      </c>
      <c r="B22" s="7" t="s">
        <v>12</v>
      </c>
      <c r="C22" s="3"/>
      <c r="D22" s="3"/>
      <c r="E22" s="4">
        <f t="shared" si="1"/>
        <v>0</v>
      </c>
      <c r="F22" s="3"/>
      <c r="G22" s="3"/>
      <c r="H22" s="3"/>
      <c r="I22" s="3"/>
      <c r="J22" s="3"/>
      <c r="K22" s="3"/>
      <c r="L22" s="3"/>
      <c r="M22" s="5">
        <f t="shared" si="2"/>
        <v>0</v>
      </c>
      <c r="N22" s="28" t="e">
        <f t="shared" si="3"/>
        <v>#DIV/0!</v>
      </c>
      <c r="O22" s="7"/>
      <c r="P22" s="7"/>
      <c r="Q22" s="7"/>
      <c r="R22" s="7"/>
      <c r="S22" s="3"/>
      <c r="T22" s="37">
        <f t="shared" si="0"/>
        <v>0</v>
      </c>
      <c r="U22" s="28" t="e">
        <f t="shared" si="4"/>
        <v>#DIV/0!</v>
      </c>
      <c r="V22" s="59">
        <f t="shared" si="5"/>
        <v>0</v>
      </c>
    </row>
    <row r="23" spans="1:22" ht="21.75" customHeight="1">
      <c r="A23" s="87"/>
      <c r="B23" s="7" t="s">
        <v>13</v>
      </c>
      <c r="C23" s="3"/>
      <c r="D23" s="3"/>
      <c r="E23" s="4">
        <f t="shared" si="1"/>
        <v>0</v>
      </c>
      <c r="F23" s="3"/>
      <c r="G23" s="3"/>
      <c r="H23" s="3"/>
      <c r="I23" s="3"/>
      <c r="J23" s="3"/>
      <c r="K23" s="3"/>
      <c r="L23" s="3"/>
      <c r="M23" s="5">
        <f t="shared" si="2"/>
        <v>0</v>
      </c>
      <c r="N23" s="28" t="e">
        <f t="shared" si="3"/>
        <v>#DIV/0!</v>
      </c>
      <c r="O23" s="7"/>
      <c r="P23" s="7"/>
      <c r="Q23" s="7"/>
      <c r="R23" s="7"/>
      <c r="S23" s="3"/>
      <c r="T23" s="37">
        <f t="shared" si="0"/>
        <v>0</v>
      </c>
      <c r="U23" s="28" t="e">
        <f t="shared" si="4"/>
        <v>#DIV/0!</v>
      </c>
      <c r="V23" s="59">
        <f t="shared" si="5"/>
        <v>0</v>
      </c>
    </row>
    <row r="24" spans="1:22" ht="21.75" customHeight="1">
      <c r="A24" s="87"/>
      <c r="B24" s="7" t="s">
        <v>14</v>
      </c>
      <c r="C24" s="3"/>
      <c r="D24" s="3"/>
      <c r="E24" s="4">
        <f t="shared" si="1"/>
        <v>0</v>
      </c>
      <c r="F24" s="3"/>
      <c r="G24" s="3"/>
      <c r="H24" s="3"/>
      <c r="I24" s="3"/>
      <c r="J24" s="3"/>
      <c r="K24" s="3"/>
      <c r="L24" s="3"/>
      <c r="M24" s="5">
        <f t="shared" si="2"/>
        <v>0</v>
      </c>
      <c r="N24" s="28" t="e">
        <f t="shared" si="3"/>
        <v>#DIV/0!</v>
      </c>
      <c r="O24" s="7"/>
      <c r="P24" s="7"/>
      <c r="Q24" s="7"/>
      <c r="R24" s="7"/>
      <c r="S24" s="3"/>
      <c r="T24" s="37">
        <f t="shared" si="0"/>
        <v>0</v>
      </c>
      <c r="U24" s="28" t="e">
        <f t="shared" si="4"/>
        <v>#DIV/0!</v>
      </c>
      <c r="V24" s="59">
        <f t="shared" si="5"/>
        <v>0</v>
      </c>
    </row>
    <row r="25" spans="1:22" ht="21.75" customHeight="1">
      <c r="A25" s="87">
        <v>6</v>
      </c>
      <c r="B25" s="7" t="s">
        <v>12</v>
      </c>
      <c r="C25" s="3"/>
      <c r="D25" s="3"/>
      <c r="E25" s="4">
        <f t="shared" si="1"/>
        <v>0</v>
      </c>
      <c r="F25" s="3"/>
      <c r="G25" s="3"/>
      <c r="H25" s="3"/>
      <c r="I25" s="3"/>
      <c r="J25" s="3"/>
      <c r="K25" s="3"/>
      <c r="L25" s="3"/>
      <c r="M25" s="5">
        <f t="shared" si="2"/>
        <v>0</v>
      </c>
      <c r="N25" s="28" t="e">
        <f t="shared" si="3"/>
        <v>#DIV/0!</v>
      </c>
      <c r="O25" s="7"/>
      <c r="P25" s="7"/>
      <c r="Q25" s="7"/>
      <c r="R25" s="7"/>
      <c r="S25" s="3"/>
      <c r="T25" s="37">
        <f t="shared" si="0"/>
        <v>0</v>
      </c>
      <c r="U25" s="28" t="e">
        <f t="shared" si="4"/>
        <v>#DIV/0!</v>
      </c>
      <c r="V25" s="59">
        <f t="shared" si="5"/>
        <v>0</v>
      </c>
    </row>
    <row r="26" spans="1:22" ht="21.75" customHeight="1">
      <c r="A26" s="87"/>
      <c r="B26" s="7" t="s">
        <v>13</v>
      </c>
      <c r="C26" s="3"/>
      <c r="D26" s="3"/>
      <c r="E26" s="4">
        <f t="shared" si="1"/>
        <v>0</v>
      </c>
      <c r="F26" s="3"/>
      <c r="G26" s="3"/>
      <c r="H26" s="3"/>
      <c r="I26" s="3"/>
      <c r="J26" s="3"/>
      <c r="K26" s="3"/>
      <c r="L26" s="3"/>
      <c r="M26" s="5">
        <f t="shared" si="2"/>
        <v>0</v>
      </c>
      <c r="N26" s="28" t="e">
        <f t="shared" si="3"/>
        <v>#DIV/0!</v>
      </c>
      <c r="O26" s="7"/>
      <c r="P26" s="7"/>
      <c r="Q26" s="7"/>
      <c r="R26" s="7"/>
      <c r="S26" s="3"/>
      <c r="T26" s="37">
        <f t="shared" si="0"/>
        <v>0</v>
      </c>
      <c r="U26" s="28" t="e">
        <f t="shared" si="4"/>
        <v>#DIV/0!</v>
      </c>
      <c r="V26" s="59">
        <f t="shared" si="5"/>
        <v>0</v>
      </c>
    </row>
    <row r="27" spans="1:22" ht="21.75" customHeight="1">
      <c r="A27" s="87"/>
      <c r="B27" s="7" t="s">
        <v>14</v>
      </c>
      <c r="C27" s="3"/>
      <c r="D27" s="3"/>
      <c r="E27" s="4">
        <f t="shared" si="1"/>
        <v>0</v>
      </c>
      <c r="F27" s="3"/>
      <c r="G27" s="3"/>
      <c r="H27" s="3"/>
      <c r="I27" s="3"/>
      <c r="J27" s="3"/>
      <c r="K27" s="3"/>
      <c r="L27" s="3"/>
      <c r="M27" s="5">
        <f t="shared" si="2"/>
        <v>0</v>
      </c>
      <c r="N27" s="28" t="e">
        <f t="shared" si="3"/>
        <v>#DIV/0!</v>
      </c>
      <c r="O27" s="7"/>
      <c r="P27" s="7"/>
      <c r="Q27" s="7"/>
      <c r="R27" s="7"/>
      <c r="S27" s="3"/>
      <c r="T27" s="37">
        <f t="shared" si="0"/>
        <v>0</v>
      </c>
      <c r="U27" s="28" t="e">
        <f t="shared" si="4"/>
        <v>#DIV/0!</v>
      </c>
      <c r="V27" s="59">
        <f t="shared" si="5"/>
        <v>0</v>
      </c>
    </row>
    <row r="28" spans="1:22" ht="21.75" customHeight="1">
      <c r="A28" s="87">
        <v>7</v>
      </c>
      <c r="B28" s="7" t="s">
        <v>12</v>
      </c>
      <c r="C28" s="3"/>
      <c r="D28" s="3"/>
      <c r="E28" s="4">
        <f t="shared" si="1"/>
        <v>0</v>
      </c>
      <c r="F28" s="3"/>
      <c r="G28" s="3"/>
      <c r="H28" s="3"/>
      <c r="I28" s="3"/>
      <c r="J28" s="3"/>
      <c r="K28" s="3"/>
      <c r="L28" s="3"/>
      <c r="M28" s="5">
        <f t="shared" si="2"/>
        <v>0</v>
      </c>
      <c r="N28" s="28" t="e">
        <f t="shared" si="3"/>
        <v>#DIV/0!</v>
      </c>
      <c r="O28" s="7"/>
      <c r="P28" s="7"/>
      <c r="Q28" s="7"/>
      <c r="R28" s="7"/>
      <c r="S28" s="3"/>
      <c r="T28" s="37">
        <f t="shared" si="0"/>
        <v>0</v>
      </c>
      <c r="U28" s="28" t="e">
        <f t="shared" si="4"/>
        <v>#DIV/0!</v>
      </c>
      <c r="V28" s="59">
        <f t="shared" si="5"/>
        <v>0</v>
      </c>
    </row>
    <row r="29" spans="1:22" ht="21.75" customHeight="1">
      <c r="A29" s="87"/>
      <c r="B29" s="7" t="s">
        <v>13</v>
      </c>
      <c r="C29" s="3"/>
      <c r="D29" s="3"/>
      <c r="E29" s="4">
        <f t="shared" si="1"/>
        <v>0</v>
      </c>
      <c r="F29" s="3"/>
      <c r="G29" s="3"/>
      <c r="H29" s="3"/>
      <c r="I29" s="3"/>
      <c r="J29" s="3"/>
      <c r="K29" s="3"/>
      <c r="L29" s="3"/>
      <c r="M29" s="5">
        <f t="shared" si="2"/>
        <v>0</v>
      </c>
      <c r="N29" s="28" t="e">
        <f t="shared" si="3"/>
        <v>#DIV/0!</v>
      </c>
      <c r="O29" s="7"/>
      <c r="P29" s="7"/>
      <c r="Q29" s="7"/>
      <c r="R29" s="7"/>
      <c r="S29" s="3"/>
      <c r="T29" s="37">
        <f t="shared" si="0"/>
        <v>0</v>
      </c>
      <c r="U29" s="28" t="e">
        <f t="shared" si="4"/>
        <v>#DIV/0!</v>
      </c>
      <c r="V29" s="59">
        <f t="shared" si="5"/>
        <v>0</v>
      </c>
    </row>
    <row r="30" spans="1:22" ht="21.75" customHeight="1">
      <c r="A30" s="87"/>
      <c r="B30" s="7" t="s">
        <v>14</v>
      </c>
      <c r="C30" s="3"/>
      <c r="D30" s="3"/>
      <c r="E30" s="4">
        <f t="shared" si="1"/>
        <v>0</v>
      </c>
      <c r="F30" s="3"/>
      <c r="G30" s="3"/>
      <c r="H30" s="3"/>
      <c r="I30" s="3"/>
      <c r="J30" s="3"/>
      <c r="K30" s="3"/>
      <c r="L30" s="3"/>
      <c r="M30" s="5">
        <f t="shared" si="2"/>
        <v>0</v>
      </c>
      <c r="N30" s="28" t="e">
        <f t="shared" si="3"/>
        <v>#DIV/0!</v>
      </c>
      <c r="O30" s="7"/>
      <c r="P30" s="7"/>
      <c r="Q30" s="7"/>
      <c r="R30" s="7"/>
      <c r="S30" s="3"/>
      <c r="T30" s="37">
        <f t="shared" si="0"/>
        <v>0</v>
      </c>
      <c r="U30" s="28" t="e">
        <f t="shared" si="4"/>
        <v>#DIV/0!</v>
      </c>
      <c r="V30" s="59">
        <f t="shared" si="5"/>
        <v>0</v>
      </c>
    </row>
    <row r="31" spans="1:22" ht="21.75" customHeight="1">
      <c r="A31" s="87">
        <v>8</v>
      </c>
      <c r="B31" s="7" t="s">
        <v>12</v>
      </c>
      <c r="C31" s="3"/>
      <c r="D31" s="3"/>
      <c r="E31" s="4">
        <f t="shared" si="1"/>
        <v>0</v>
      </c>
      <c r="F31" s="3"/>
      <c r="G31" s="3"/>
      <c r="H31" s="3"/>
      <c r="I31" s="3"/>
      <c r="J31" s="3"/>
      <c r="K31" s="3"/>
      <c r="L31" s="3"/>
      <c r="M31" s="5">
        <f t="shared" si="2"/>
        <v>0</v>
      </c>
      <c r="N31" s="28" t="e">
        <f t="shared" si="3"/>
        <v>#DIV/0!</v>
      </c>
      <c r="O31" s="7"/>
      <c r="P31" s="7"/>
      <c r="Q31" s="7"/>
      <c r="R31" s="7"/>
      <c r="S31" s="3"/>
      <c r="T31" s="37">
        <f t="shared" si="0"/>
        <v>0</v>
      </c>
      <c r="U31" s="28" t="e">
        <f t="shared" si="4"/>
        <v>#DIV/0!</v>
      </c>
      <c r="V31" s="59">
        <f t="shared" si="5"/>
        <v>0</v>
      </c>
    </row>
    <row r="32" spans="1:22" ht="21.75" customHeight="1">
      <c r="A32" s="87"/>
      <c r="B32" s="7" t="s">
        <v>13</v>
      </c>
      <c r="C32" s="3"/>
      <c r="D32" s="3"/>
      <c r="E32" s="4">
        <f t="shared" si="1"/>
        <v>0</v>
      </c>
      <c r="F32" s="3"/>
      <c r="G32" s="3"/>
      <c r="H32" s="3"/>
      <c r="I32" s="3"/>
      <c r="J32" s="3"/>
      <c r="K32" s="3"/>
      <c r="L32" s="3"/>
      <c r="M32" s="5">
        <f t="shared" si="2"/>
        <v>0</v>
      </c>
      <c r="N32" s="28" t="e">
        <f t="shared" si="3"/>
        <v>#DIV/0!</v>
      </c>
      <c r="O32" s="7"/>
      <c r="P32" s="7"/>
      <c r="Q32" s="7"/>
      <c r="R32" s="7"/>
      <c r="S32" s="3"/>
      <c r="T32" s="37">
        <f t="shared" si="0"/>
        <v>0</v>
      </c>
      <c r="U32" s="28" t="e">
        <f t="shared" si="4"/>
        <v>#DIV/0!</v>
      </c>
      <c r="V32" s="59">
        <f t="shared" si="5"/>
        <v>0</v>
      </c>
    </row>
    <row r="33" spans="1:22" ht="21.75" customHeight="1">
      <c r="A33" s="87"/>
      <c r="B33" s="7" t="s">
        <v>14</v>
      </c>
      <c r="C33" s="3"/>
      <c r="D33" s="3"/>
      <c r="E33" s="4">
        <f t="shared" si="1"/>
        <v>0</v>
      </c>
      <c r="F33" s="3"/>
      <c r="G33" s="3"/>
      <c r="H33" s="3"/>
      <c r="I33" s="3"/>
      <c r="J33" s="3"/>
      <c r="K33" s="3"/>
      <c r="L33" s="3"/>
      <c r="M33" s="5">
        <f t="shared" si="2"/>
        <v>0</v>
      </c>
      <c r="N33" s="28" t="e">
        <f t="shared" si="3"/>
        <v>#DIV/0!</v>
      </c>
      <c r="O33" s="7"/>
      <c r="P33" s="7"/>
      <c r="Q33" s="7"/>
      <c r="R33" s="7"/>
      <c r="S33" s="3"/>
      <c r="T33" s="37">
        <f t="shared" si="0"/>
        <v>0</v>
      </c>
      <c r="U33" s="28" t="e">
        <f t="shared" si="4"/>
        <v>#DIV/0!</v>
      </c>
      <c r="V33" s="59">
        <f t="shared" si="5"/>
        <v>0</v>
      </c>
    </row>
    <row r="34" spans="1:22" ht="21.75" customHeight="1">
      <c r="A34" s="87">
        <v>9</v>
      </c>
      <c r="B34" s="7" t="s">
        <v>12</v>
      </c>
      <c r="C34" s="3"/>
      <c r="D34" s="3"/>
      <c r="E34" s="4">
        <f t="shared" si="1"/>
        <v>0</v>
      </c>
      <c r="F34" s="3"/>
      <c r="G34" s="3"/>
      <c r="H34" s="3"/>
      <c r="I34" s="3"/>
      <c r="J34" s="3"/>
      <c r="K34" s="3"/>
      <c r="L34" s="3"/>
      <c r="M34" s="5">
        <f t="shared" si="2"/>
        <v>0</v>
      </c>
      <c r="N34" s="28" t="e">
        <f t="shared" si="3"/>
        <v>#DIV/0!</v>
      </c>
      <c r="O34" s="7"/>
      <c r="P34" s="7"/>
      <c r="Q34" s="7"/>
      <c r="R34" s="7"/>
      <c r="S34" s="3"/>
      <c r="T34" s="37">
        <f t="shared" si="0"/>
        <v>0</v>
      </c>
      <c r="U34" s="28" t="e">
        <f t="shared" si="4"/>
        <v>#DIV/0!</v>
      </c>
      <c r="V34" s="59">
        <f t="shared" si="5"/>
        <v>0</v>
      </c>
    </row>
    <row r="35" spans="1:22" ht="21.75" customHeight="1">
      <c r="A35" s="87"/>
      <c r="B35" s="7" t="s">
        <v>13</v>
      </c>
      <c r="C35" s="3"/>
      <c r="D35" s="3"/>
      <c r="E35" s="4">
        <f t="shared" si="1"/>
        <v>0</v>
      </c>
      <c r="F35" s="3"/>
      <c r="G35" s="3"/>
      <c r="H35" s="3"/>
      <c r="I35" s="3"/>
      <c r="J35" s="3"/>
      <c r="K35" s="3"/>
      <c r="L35" s="3"/>
      <c r="M35" s="5">
        <f t="shared" si="2"/>
        <v>0</v>
      </c>
      <c r="N35" s="28" t="e">
        <f t="shared" si="3"/>
        <v>#DIV/0!</v>
      </c>
      <c r="O35" s="7"/>
      <c r="P35" s="7"/>
      <c r="Q35" s="7"/>
      <c r="R35" s="7"/>
      <c r="S35" s="3"/>
      <c r="T35" s="37">
        <f t="shared" si="0"/>
        <v>0</v>
      </c>
      <c r="U35" s="28" t="e">
        <f t="shared" si="4"/>
        <v>#DIV/0!</v>
      </c>
      <c r="V35" s="59">
        <f t="shared" si="5"/>
        <v>0</v>
      </c>
    </row>
    <row r="36" spans="1:22" ht="21.75" customHeight="1">
      <c r="A36" s="87"/>
      <c r="B36" s="7" t="s">
        <v>14</v>
      </c>
      <c r="C36" s="3"/>
      <c r="D36" s="3"/>
      <c r="E36" s="4">
        <f t="shared" si="1"/>
        <v>0</v>
      </c>
      <c r="F36" s="3"/>
      <c r="G36" s="3"/>
      <c r="H36" s="3"/>
      <c r="I36" s="3"/>
      <c r="J36" s="3"/>
      <c r="K36" s="3"/>
      <c r="L36" s="3"/>
      <c r="M36" s="5">
        <f t="shared" si="2"/>
        <v>0</v>
      </c>
      <c r="N36" s="28" t="e">
        <f t="shared" si="3"/>
        <v>#DIV/0!</v>
      </c>
      <c r="O36" s="7"/>
      <c r="P36" s="7"/>
      <c r="Q36" s="7"/>
      <c r="R36" s="7"/>
      <c r="S36" s="3"/>
      <c r="T36" s="37">
        <f t="shared" si="0"/>
        <v>0</v>
      </c>
      <c r="U36" s="28" t="e">
        <f t="shared" si="4"/>
        <v>#DIV/0!</v>
      </c>
      <c r="V36" s="59">
        <f t="shared" si="5"/>
        <v>0</v>
      </c>
    </row>
    <row r="37" spans="1:22" ht="21.75" customHeight="1">
      <c r="A37" s="87">
        <v>10</v>
      </c>
      <c r="B37" s="7" t="s">
        <v>12</v>
      </c>
      <c r="C37" s="3"/>
      <c r="D37" s="3"/>
      <c r="E37" s="4">
        <f t="shared" si="1"/>
        <v>0</v>
      </c>
      <c r="F37" s="3"/>
      <c r="G37" s="3"/>
      <c r="H37" s="3"/>
      <c r="I37" s="3"/>
      <c r="J37" s="3"/>
      <c r="K37" s="3"/>
      <c r="L37" s="3"/>
      <c r="M37" s="5">
        <f t="shared" si="2"/>
        <v>0</v>
      </c>
      <c r="N37" s="28" t="e">
        <f t="shared" si="3"/>
        <v>#DIV/0!</v>
      </c>
      <c r="O37" s="7"/>
      <c r="P37" s="7"/>
      <c r="Q37" s="7"/>
      <c r="R37" s="7"/>
      <c r="S37" s="3"/>
      <c r="T37" s="37">
        <f t="shared" si="0"/>
        <v>0</v>
      </c>
      <c r="U37" s="28" t="e">
        <f t="shared" si="4"/>
        <v>#DIV/0!</v>
      </c>
      <c r="V37" s="59">
        <f t="shared" si="5"/>
        <v>0</v>
      </c>
    </row>
    <row r="38" spans="1:22" ht="21.75" customHeight="1">
      <c r="A38" s="87"/>
      <c r="B38" s="7" t="s">
        <v>13</v>
      </c>
      <c r="C38" s="3"/>
      <c r="D38" s="3"/>
      <c r="E38" s="4">
        <f t="shared" si="1"/>
        <v>0</v>
      </c>
      <c r="F38" s="3"/>
      <c r="G38" s="3"/>
      <c r="H38" s="3"/>
      <c r="I38" s="3"/>
      <c r="J38" s="3"/>
      <c r="K38" s="3"/>
      <c r="L38" s="3"/>
      <c r="M38" s="5">
        <f t="shared" si="2"/>
        <v>0</v>
      </c>
      <c r="N38" s="28" t="e">
        <f t="shared" si="3"/>
        <v>#DIV/0!</v>
      </c>
      <c r="O38" s="7"/>
      <c r="P38" s="7"/>
      <c r="Q38" s="7"/>
      <c r="R38" s="7"/>
      <c r="S38" s="3"/>
      <c r="T38" s="37">
        <f t="shared" si="0"/>
        <v>0</v>
      </c>
      <c r="U38" s="28" t="e">
        <f t="shared" si="4"/>
        <v>#DIV/0!</v>
      </c>
      <c r="V38" s="59">
        <f t="shared" si="5"/>
        <v>0</v>
      </c>
    </row>
    <row r="39" spans="1:22" ht="21.75" customHeight="1">
      <c r="A39" s="87"/>
      <c r="B39" s="7" t="s">
        <v>14</v>
      </c>
      <c r="C39" s="3"/>
      <c r="D39" s="3"/>
      <c r="E39" s="4">
        <f t="shared" si="1"/>
        <v>0</v>
      </c>
      <c r="F39" s="3"/>
      <c r="G39" s="3"/>
      <c r="H39" s="3"/>
      <c r="I39" s="3"/>
      <c r="J39" s="3"/>
      <c r="K39" s="3"/>
      <c r="L39" s="3"/>
      <c r="M39" s="5">
        <f t="shared" si="2"/>
        <v>0</v>
      </c>
      <c r="N39" s="28" t="e">
        <f t="shared" si="3"/>
        <v>#DIV/0!</v>
      </c>
      <c r="O39" s="7"/>
      <c r="P39" s="7"/>
      <c r="Q39" s="7"/>
      <c r="R39" s="7"/>
      <c r="S39" s="3"/>
      <c r="T39" s="37">
        <f t="shared" si="0"/>
        <v>0</v>
      </c>
      <c r="U39" s="28" t="e">
        <f t="shared" si="4"/>
        <v>#DIV/0!</v>
      </c>
      <c r="V39" s="59">
        <f t="shared" si="5"/>
        <v>0</v>
      </c>
    </row>
    <row r="40" spans="1:22" ht="21.75" customHeight="1">
      <c r="A40" s="87">
        <v>11</v>
      </c>
      <c r="B40" s="7" t="s">
        <v>12</v>
      </c>
      <c r="C40" s="3"/>
      <c r="D40" s="3"/>
      <c r="E40" s="4">
        <f t="shared" si="1"/>
        <v>0</v>
      </c>
      <c r="F40" s="3"/>
      <c r="G40" s="3"/>
      <c r="H40" s="3"/>
      <c r="I40" s="3"/>
      <c r="J40" s="3"/>
      <c r="K40" s="3"/>
      <c r="L40" s="3"/>
      <c r="M40" s="5">
        <f t="shared" si="2"/>
        <v>0</v>
      </c>
      <c r="N40" s="28" t="e">
        <f t="shared" si="3"/>
        <v>#DIV/0!</v>
      </c>
      <c r="O40" s="7"/>
      <c r="P40" s="7"/>
      <c r="Q40" s="7"/>
      <c r="R40" s="7"/>
      <c r="S40" s="3"/>
      <c r="T40" s="37">
        <f t="shared" si="0"/>
        <v>0</v>
      </c>
      <c r="U40" s="28" t="e">
        <f t="shared" si="4"/>
        <v>#DIV/0!</v>
      </c>
      <c r="V40" s="59">
        <f t="shared" si="5"/>
        <v>0</v>
      </c>
    </row>
    <row r="41" spans="1:22" ht="21.75" customHeight="1">
      <c r="A41" s="87"/>
      <c r="B41" s="7" t="s">
        <v>13</v>
      </c>
      <c r="C41" s="3"/>
      <c r="D41" s="3"/>
      <c r="E41" s="4">
        <f t="shared" si="1"/>
        <v>0</v>
      </c>
      <c r="F41" s="3"/>
      <c r="G41" s="3"/>
      <c r="H41" s="3"/>
      <c r="I41" s="3"/>
      <c r="J41" s="3"/>
      <c r="K41" s="3"/>
      <c r="L41" s="3"/>
      <c r="M41" s="5">
        <f t="shared" si="2"/>
        <v>0</v>
      </c>
      <c r="N41" s="28" t="e">
        <f t="shared" si="3"/>
        <v>#DIV/0!</v>
      </c>
      <c r="O41" s="7"/>
      <c r="P41" s="7"/>
      <c r="Q41" s="7"/>
      <c r="R41" s="7"/>
      <c r="S41" s="3"/>
      <c r="T41" s="37">
        <f t="shared" si="0"/>
        <v>0</v>
      </c>
      <c r="U41" s="28" t="e">
        <f t="shared" si="4"/>
        <v>#DIV/0!</v>
      </c>
      <c r="V41" s="59">
        <f t="shared" si="5"/>
        <v>0</v>
      </c>
    </row>
    <row r="42" spans="1:22" ht="21.75" customHeight="1">
      <c r="A42" s="87"/>
      <c r="B42" s="7" t="s">
        <v>14</v>
      </c>
      <c r="C42" s="3"/>
      <c r="D42" s="3"/>
      <c r="E42" s="4">
        <f t="shared" si="1"/>
        <v>0</v>
      </c>
      <c r="F42" s="3"/>
      <c r="G42" s="3"/>
      <c r="H42" s="3"/>
      <c r="I42" s="3"/>
      <c r="J42" s="3"/>
      <c r="K42" s="3"/>
      <c r="L42" s="3"/>
      <c r="M42" s="5">
        <f t="shared" si="2"/>
        <v>0</v>
      </c>
      <c r="N42" s="28" t="e">
        <f t="shared" si="3"/>
        <v>#DIV/0!</v>
      </c>
      <c r="O42" s="7"/>
      <c r="P42" s="7"/>
      <c r="Q42" s="7"/>
      <c r="R42" s="7"/>
      <c r="S42" s="3"/>
      <c r="T42" s="37">
        <f t="shared" si="0"/>
        <v>0</v>
      </c>
      <c r="U42" s="28" t="e">
        <f t="shared" si="4"/>
        <v>#DIV/0!</v>
      </c>
      <c r="V42" s="59">
        <f t="shared" si="5"/>
        <v>0</v>
      </c>
    </row>
    <row r="43" spans="1:22" ht="21.75" customHeight="1">
      <c r="A43" s="87">
        <v>12</v>
      </c>
      <c r="B43" s="7" t="s">
        <v>12</v>
      </c>
      <c r="C43" s="3"/>
      <c r="D43" s="3"/>
      <c r="E43" s="4">
        <f t="shared" si="1"/>
        <v>0</v>
      </c>
      <c r="F43" s="3"/>
      <c r="G43" s="3"/>
      <c r="H43" s="3"/>
      <c r="I43" s="3"/>
      <c r="J43" s="3"/>
      <c r="K43" s="3"/>
      <c r="L43" s="3"/>
      <c r="M43" s="5">
        <f t="shared" si="2"/>
        <v>0</v>
      </c>
      <c r="N43" s="28" t="e">
        <f t="shared" si="3"/>
        <v>#DIV/0!</v>
      </c>
      <c r="O43" s="7"/>
      <c r="P43" s="7"/>
      <c r="Q43" s="7"/>
      <c r="R43" s="7"/>
      <c r="S43" s="3"/>
      <c r="T43" s="37">
        <f t="shared" si="0"/>
        <v>0</v>
      </c>
      <c r="U43" s="28" t="e">
        <f t="shared" si="4"/>
        <v>#DIV/0!</v>
      </c>
      <c r="V43" s="59">
        <f t="shared" si="5"/>
        <v>0</v>
      </c>
    </row>
    <row r="44" spans="1:22" ht="21.75" customHeight="1">
      <c r="A44" s="87"/>
      <c r="B44" s="7" t="s">
        <v>13</v>
      </c>
      <c r="C44" s="3"/>
      <c r="D44" s="3"/>
      <c r="E44" s="4">
        <f t="shared" si="1"/>
        <v>0</v>
      </c>
      <c r="F44" s="3"/>
      <c r="G44" s="3"/>
      <c r="H44" s="3"/>
      <c r="I44" s="3"/>
      <c r="J44" s="3"/>
      <c r="K44" s="3"/>
      <c r="L44" s="3"/>
      <c r="M44" s="5">
        <f t="shared" si="2"/>
        <v>0</v>
      </c>
      <c r="N44" s="28" t="e">
        <f t="shared" si="3"/>
        <v>#DIV/0!</v>
      </c>
      <c r="O44" s="7"/>
      <c r="P44" s="7"/>
      <c r="Q44" s="7"/>
      <c r="R44" s="7"/>
      <c r="S44" s="3"/>
      <c r="T44" s="37">
        <f t="shared" si="0"/>
        <v>0</v>
      </c>
      <c r="U44" s="28" t="e">
        <f t="shared" si="4"/>
        <v>#DIV/0!</v>
      </c>
      <c r="V44" s="59">
        <f t="shared" si="5"/>
        <v>0</v>
      </c>
    </row>
    <row r="45" spans="1:22" ht="21.75" customHeight="1">
      <c r="A45" s="87"/>
      <c r="B45" s="7" t="s">
        <v>14</v>
      </c>
      <c r="C45" s="3"/>
      <c r="D45" s="3"/>
      <c r="E45" s="4">
        <f t="shared" si="1"/>
        <v>0</v>
      </c>
      <c r="F45" s="3"/>
      <c r="G45" s="3"/>
      <c r="H45" s="3"/>
      <c r="I45" s="3"/>
      <c r="J45" s="3"/>
      <c r="K45" s="3"/>
      <c r="L45" s="3"/>
      <c r="M45" s="5">
        <f t="shared" si="2"/>
        <v>0</v>
      </c>
      <c r="N45" s="28" t="e">
        <f t="shared" si="3"/>
        <v>#DIV/0!</v>
      </c>
      <c r="O45" s="7"/>
      <c r="P45" s="7"/>
      <c r="Q45" s="7"/>
      <c r="R45" s="7"/>
      <c r="S45" s="3"/>
      <c r="T45" s="37">
        <f t="shared" si="0"/>
        <v>0</v>
      </c>
      <c r="U45" s="28" t="e">
        <f t="shared" si="4"/>
        <v>#DIV/0!</v>
      </c>
      <c r="V45" s="59">
        <f t="shared" si="5"/>
        <v>0</v>
      </c>
    </row>
    <row r="46" spans="1:22" ht="21.75" customHeight="1">
      <c r="A46" s="87">
        <v>13</v>
      </c>
      <c r="B46" s="7" t="s">
        <v>12</v>
      </c>
      <c r="C46" s="3"/>
      <c r="D46" s="3"/>
      <c r="E46" s="4">
        <f t="shared" si="1"/>
        <v>0</v>
      </c>
      <c r="F46" s="3"/>
      <c r="G46" s="3"/>
      <c r="H46" s="3"/>
      <c r="I46" s="3"/>
      <c r="J46" s="3"/>
      <c r="K46" s="3"/>
      <c r="L46" s="3"/>
      <c r="M46" s="5">
        <f t="shared" si="2"/>
        <v>0</v>
      </c>
      <c r="N46" s="28" t="e">
        <f t="shared" si="3"/>
        <v>#DIV/0!</v>
      </c>
      <c r="O46" s="7"/>
      <c r="P46" s="7"/>
      <c r="Q46" s="7"/>
      <c r="R46" s="7"/>
      <c r="S46" s="3"/>
      <c r="T46" s="37">
        <f t="shared" si="0"/>
        <v>0</v>
      </c>
      <c r="U46" s="28" t="e">
        <f t="shared" si="4"/>
        <v>#DIV/0!</v>
      </c>
      <c r="V46" s="59">
        <f t="shared" si="5"/>
        <v>0</v>
      </c>
    </row>
    <row r="47" spans="1:22" ht="21.75" customHeight="1">
      <c r="A47" s="87"/>
      <c r="B47" s="7" t="s">
        <v>13</v>
      </c>
      <c r="C47" s="3"/>
      <c r="D47" s="3"/>
      <c r="E47" s="4">
        <f t="shared" si="1"/>
        <v>0</v>
      </c>
      <c r="F47" s="3"/>
      <c r="G47" s="3"/>
      <c r="H47" s="3"/>
      <c r="I47" s="3"/>
      <c r="J47" s="3"/>
      <c r="K47" s="3"/>
      <c r="L47" s="3"/>
      <c r="M47" s="5">
        <f t="shared" si="2"/>
        <v>0</v>
      </c>
      <c r="N47" s="28" t="e">
        <f t="shared" si="3"/>
        <v>#DIV/0!</v>
      </c>
      <c r="O47" s="7"/>
      <c r="P47" s="7"/>
      <c r="Q47" s="7"/>
      <c r="R47" s="7"/>
      <c r="S47" s="3"/>
      <c r="T47" s="37">
        <f t="shared" si="0"/>
        <v>0</v>
      </c>
      <c r="U47" s="28" t="e">
        <f t="shared" si="4"/>
        <v>#DIV/0!</v>
      </c>
      <c r="V47" s="59">
        <f t="shared" si="5"/>
        <v>0</v>
      </c>
    </row>
    <row r="48" spans="1:22" ht="21.75" customHeight="1">
      <c r="A48" s="87"/>
      <c r="B48" s="7" t="s">
        <v>14</v>
      </c>
      <c r="C48" s="3"/>
      <c r="D48" s="3"/>
      <c r="E48" s="4">
        <f t="shared" si="1"/>
        <v>0</v>
      </c>
      <c r="F48" s="3"/>
      <c r="G48" s="3"/>
      <c r="H48" s="3"/>
      <c r="I48" s="3"/>
      <c r="J48" s="3"/>
      <c r="K48" s="3"/>
      <c r="L48" s="3"/>
      <c r="M48" s="5">
        <f t="shared" si="2"/>
        <v>0</v>
      </c>
      <c r="N48" s="28" t="e">
        <f t="shared" si="3"/>
        <v>#DIV/0!</v>
      </c>
      <c r="O48" s="7"/>
      <c r="P48" s="7"/>
      <c r="Q48" s="7"/>
      <c r="R48" s="7"/>
      <c r="S48" s="3"/>
      <c r="T48" s="37">
        <f t="shared" si="0"/>
        <v>0</v>
      </c>
      <c r="U48" s="28" t="e">
        <f t="shared" si="4"/>
        <v>#DIV/0!</v>
      </c>
      <c r="V48" s="59">
        <f t="shared" si="5"/>
        <v>0</v>
      </c>
    </row>
    <row r="49" spans="1:22" ht="21.75" customHeight="1">
      <c r="A49" s="87">
        <v>14</v>
      </c>
      <c r="B49" s="7" t="s">
        <v>12</v>
      </c>
      <c r="C49" s="3"/>
      <c r="D49" s="3"/>
      <c r="E49" s="4">
        <f t="shared" si="1"/>
        <v>0</v>
      </c>
      <c r="F49" s="3"/>
      <c r="G49" s="3"/>
      <c r="H49" s="3"/>
      <c r="I49" s="3"/>
      <c r="J49" s="3"/>
      <c r="K49" s="3"/>
      <c r="L49" s="3"/>
      <c r="M49" s="5">
        <f t="shared" si="2"/>
        <v>0</v>
      </c>
      <c r="N49" s="28" t="e">
        <f t="shared" si="3"/>
        <v>#DIV/0!</v>
      </c>
      <c r="O49" s="7"/>
      <c r="P49" s="7"/>
      <c r="Q49" s="7"/>
      <c r="R49" s="7"/>
      <c r="S49" s="3"/>
      <c r="T49" s="37">
        <f t="shared" si="0"/>
        <v>0</v>
      </c>
      <c r="U49" s="28" t="e">
        <f t="shared" si="4"/>
        <v>#DIV/0!</v>
      </c>
      <c r="V49" s="59">
        <f t="shared" si="5"/>
        <v>0</v>
      </c>
    </row>
    <row r="50" spans="1:22" ht="21.75" customHeight="1">
      <c r="A50" s="87"/>
      <c r="B50" s="7" t="s">
        <v>13</v>
      </c>
      <c r="C50" s="3"/>
      <c r="D50" s="3"/>
      <c r="E50" s="4">
        <f t="shared" si="1"/>
        <v>0</v>
      </c>
      <c r="F50" s="3"/>
      <c r="G50" s="3"/>
      <c r="H50" s="3"/>
      <c r="I50" s="3"/>
      <c r="J50" s="3"/>
      <c r="K50" s="3"/>
      <c r="L50" s="3"/>
      <c r="M50" s="5">
        <f t="shared" si="2"/>
        <v>0</v>
      </c>
      <c r="N50" s="28" t="e">
        <f t="shared" si="3"/>
        <v>#DIV/0!</v>
      </c>
      <c r="O50" s="7"/>
      <c r="P50" s="7"/>
      <c r="Q50" s="7"/>
      <c r="R50" s="7"/>
      <c r="S50" s="3"/>
      <c r="T50" s="37">
        <f t="shared" si="0"/>
        <v>0</v>
      </c>
      <c r="U50" s="28" t="e">
        <f t="shared" si="4"/>
        <v>#DIV/0!</v>
      </c>
      <c r="V50" s="59">
        <f t="shared" si="5"/>
        <v>0</v>
      </c>
    </row>
    <row r="51" spans="1:22" ht="21.75" customHeight="1">
      <c r="A51" s="87"/>
      <c r="B51" s="7" t="s">
        <v>14</v>
      </c>
      <c r="C51" s="3"/>
      <c r="D51" s="3"/>
      <c r="E51" s="4">
        <f t="shared" si="1"/>
        <v>0</v>
      </c>
      <c r="F51" s="3"/>
      <c r="G51" s="3"/>
      <c r="H51" s="3"/>
      <c r="I51" s="3"/>
      <c r="J51" s="3"/>
      <c r="K51" s="3"/>
      <c r="L51" s="3"/>
      <c r="M51" s="5">
        <f t="shared" si="2"/>
        <v>0</v>
      </c>
      <c r="N51" s="28" t="e">
        <f t="shared" si="3"/>
        <v>#DIV/0!</v>
      </c>
      <c r="O51" s="7"/>
      <c r="P51" s="7"/>
      <c r="Q51" s="7"/>
      <c r="R51" s="7"/>
      <c r="S51" s="3"/>
      <c r="T51" s="37">
        <f t="shared" si="0"/>
        <v>0</v>
      </c>
      <c r="U51" s="28" t="e">
        <f t="shared" si="4"/>
        <v>#DIV/0!</v>
      </c>
      <c r="V51" s="59">
        <f t="shared" si="5"/>
        <v>0</v>
      </c>
    </row>
    <row r="52" spans="1:22" ht="21.75" customHeight="1">
      <c r="A52" s="87">
        <v>15</v>
      </c>
      <c r="B52" s="7" t="s">
        <v>12</v>
      </c>
      <c r="C52" s="3"/>
      <c r="D52" s="3"/>
      <c r="E52" s="4">
        <f t="shared" si="1"/>
        <v>0</v>
      </c>
      <c r="F52" s="3"/>
      <c r="G52" s="3"/>
      <c r="H52" s="3"/>
      <c r="I52" s="3"/>
      <c r="J52" s="3"/>
      <c r="K52" s="3"/>
      <c r="L52" s="3"/>
      <c r="M52" s="5">
        <f t="shared" si="2"/>
        <v>0</v>
      </c>
      <c r="N52" s="28" t="e">
        <f t="shared" si="3"/>
        <v>#DIV/0!</v>
      </c>
      <c r="O52" s="7"/>
      <c r="P52" s="7"/>
      <c r="Q52" s="7"/>
      <c r="R52" s="7"/>
      <c r="S52" s="3"/>
      <c r="T52" s="37">
        <f t="shared" si="0"/>
        <v>0</v>
      </c>
      <c r="U52" s="28" t="e">
        <f t="shared" si="4"/>
        <v>#DIV/0!</v>
      </c>
      <c r="V52" s="59">
        <f t="shared" si="5"/>
        <v>0</v>
      </c>
    </row>
    <row r="53" spans="1:22" ht="21.75" customHeight="1">
      <c r="A53" s="87"/>
      <c r="B53" s="7" t="s">
        <v>13</v>
      </c>
      <c r="C53" s="3"/>
      <c r="D53" s="3"/>
      <c r="E53" s="4">
        <f t="shared" si="1"/>
        <v>0</v>
      </c>
      <c r="F53" s="3"/>
      <c r="G53" s="3"/>
      <c r="H53" s="3"/>
      <c r="I53" s="3"/>
      <c r="J53" s="3"/>
      <c r="K53" s="3"/>
      <c r="L53" s="3"/>
      <c r="M53" s="5">
        <f t="shared" si="2"/>
        <v>0</v>
      </c>
      <c r="N53" s="28" t="e">
        <f t="shared" si="3"/>
        <v>#DIV/0!</v>
      </c>
      <c r="O53" s="7"/>
      <c r="P53" s="7"/>
      <c r="Q53" s="7"/>
      <c r="R53" s="7"/>
      <c r="S53" s="3"/>
      <c r="T53" s="37">
        <f t="shared" si="0"/>
        <v>0</v>
      </c>
      <c r="U53" s="28" t="e">
        <f t="shared" si="4"/>
        <v>#DIV/0!</v>
      </c>
      <c r="V53" s="59">
        <f t="shared" si="5"/>
        <v>0</v>
      </c>
    </row>
    <row r="54" spans="1:22" ht="21.75" customHeight="1">
      <c r="A54" s="87"/>
      <c r="B54" s="7" t="s">
        <v>14</v>
      </c>
      <c r="C54" s="3"/>
      <c r="D54" s="3"/>
      <c r="E54" s="4">
        <f t="shared" si="1"/>
        <v>0</v>
      </c>
      <c r="F54" s="3"/>
      <c r="G54" s="3"/>
      <c r="H54" s="3"/>
      <c r="I54" s="3"/>
      <c r="J54" s="3"/>
      <c r="K54" s="3"/>
      <c r="L54" s="3"/>
      <c r="M54" s="5">
        <f t="shared" si="2"/>
        <v>0</v>
      </c>
      <c r="N54" s="28" t="e">
        <f t="shared" si="3"/>
        <v>#DIV/0!</v>
      </c>
      <c r="O54" s="7"/>
      <c r="P54" s="7"/>
      <c r="Q54" s="7"/>
      <c r="R54" s="7"/>
      <c r="S54" s="3"/>
      <c r="T54" s="37">
        <f t="shared" si="0"/>
        <v>0</v>
      </c>
      <c r="U54" s="28" t="e">
        <f t="shared" si="4"/>
        <v>#DIV/0!</v>
      </c>
      <c r="V54" s="59">
        <f t="shared" si="5"/>
        <v>0</v>
      </c>
    </row>
    <row r="55" spans="1:22" ht="21.75" customHeight="1">
      <c r="A55" s="87">
        <v>16</v>
      </c>
      <c r="B55" s="7" t="s">
        <v>12</v>
      </c>
      <c r="C55" s="3"/>
      <c r="D55" s="3"/>
      <c r="E55" s="4">
        <f t="shared" si="1"/>
        <v>0</v>
      </c>
      <c r="F55" s="3"/>
      <c r="G55" s="3"/>
      <c r="H55" s="3"/>
      <c r="I55" s="3"/>
      <c r="J55" s="3"/>
      <c r="K55" s="3"/>
      <c r="L55" s="3"/>
      <c r="M55" s="5">
        <f t="shared" si="2"/>
        <v>0</v>
      </c>
      <c r="N55" s="28" t="e">
        <f t="shared" si="3"/>
        <v>#DIV/0!</v>
      </c>
      <c r="O55" s="7"/>
      <c r="P55" s="7"/>
      <c r="Q55" s="7"/>
      <c r="R55" s="7"/>
      <c r="S55" s="3"/>
      <c r="T55" s="37">
        <f t="shared" si="0"/>
        <v>0</v>
      </c>
      <c r="U55" s="28" t="e">
        <f t="shared" si="4"/>
        <v>#DIV/0!</v>
      </c>
      <c r="V55" s="59">
        <f t="shared" si="5"/>
        <v>0</v>
      </c>
    </row>
    <row r="56" spans="1:22" ht="21.75" customHeight="1">
      <c r="A56" s="87"/>
      <c r="B56" s="7" t="s">
        <v>13</v>
      </c>
      <c r="C56" s="3"/>
      <c r="D56" s="3"/>
      <c r="E56" s="4">
        <f t="shared" si="1"/>
        <v>0</v>
      </c>
      <c r="F56" s="3"/>
      <c r="G56" s="3"/>
      <c r="H56" s="3"/>
      <c r="I56" s="3"/>
      <c r="J56" s="3"/>
      <c r="K56" s="3"/>
      <c r="L56" s="3"/>
      <c r="M56" s="5">
        <f t="shared" si="2"/>
        <v>0</v>
      </c>
      <c r="N56" s="28" t="e">
        <f t="shared" si="3"/>
        <v>#DIV/0!</v>
      </c>
      <c r="O56" s="7"/>
      <c r="P56" s="7"/>
      <c r="Q56" s="7"/>
      <c r="R56" s="7"/>
      <c r="S56" s="3"/>
      <c r="T56" s="37">
        <f t="shared" si="0"/>
        <v>0</v>
      </c>
      <c r="U56" s="28" t="e">
        <f t="shared" si="4"/>
        <v>#DIV/0!</v>
      </c>
      <c r="V56" s="59">
        <f t="shared" si="5"/>
        <v>0</v>
      </c>
    </row>
    <row r="57" spans="1:22" ht="21.75" customHeight="1">
      <c r="A57" s="87"/>
      <c r="B57" s="7" t="s">
        <v>14</v>
      </c>
      <c r="C57" s="3"/>
      <c r="D57" s="3"/>
      <c r="E57" s="4">
        <f t="shared" si="1"/>
        <v>0</v>
      </c>
      <c r="F57" s="3"/>
      <c r="G57" s="3"/>
      <c r="H57" s="3"/>
      <c r="I57" s="3"/>
      <c r="J57" s="3"/>
      <c r="K57" s="3"/>
      <c r="L57" s="3"/>
      <c r="M57" s="5">
        <f t="shared" si="2"/>
        <v>0</v>
      </c>
      <c r="N57" s="28" t="e">
        <f t="shared" si="3"/>
        <v>#DIV/0!</v>
      </c>
      <c r="O57" s="7"/>
      <c r="P57" s="7"/>
      <c r="Q57" s="7"/>
      <c r="R57" s="7"/>
      <c r="S57" s="3"/>
      <c r="T57" s="37">
        <f t="shared" si="0"/>
        <v>0</v>
      </c>
      <c r="U57" s="28" t="e">
        <f t="shared" si="4"/>
        <v>#DIV/0!</v>
      </c>
      <c r="V57" s="59">
        <f t="shared" si="5"/>
        <v>0</v>
      </c>
    </row>
    <row r="58" spans="1:22" ht="21.75" customHeight="1">
      <c r="A58" s="87">
        <v>17</v>
      </c>
      <c r="B58" s="7" t="s">
        <v>12</v>
      </c>
      <c r="C58" s="3"/>
      <c r="D58" s="3"/>
      <c r="E58" s="4">
        <f t="shared" si="1"/>
        <v>0</v>
      </c>
      <c r="F58" s="3"/>
      <c r="G58" s="3"/>
      <c r="H58" s="3"/>
      <c r="I58" s="3"/>
      <c r="J58" s="3"/>
      <c r="K58" s="3"/>
      <c r="L58" s="3"/>
      <c r="M58" s="5">
        <f t="shared" si="2"/>
        <v>0</v>
      </c>
      <c r="N58" s="28" t="e">
        <f t="shared" si="3"/>
        <v>#DIV/0!</v>
      </c>
      <c r="O58" s="7"/>
      <c r="P58" s="7"/>
      <c r="Q58" s="7"/>
      <c r="R58" s="7"/>
      <c r="S58" s="3"/>
      <c r="T58" s="37">
        <f t="shared" si="0"/>
        <v>0</v>
      </c>
      <c r="U58" s="28" t="e">
        <f t="shared" si="4"/>
        <v>#DIV/0!</v>
      </c>
      <c r="V58" s="59">
        <f t="shared" si="5"/>
        <v>0</v>
      </c>
    </row>
    <row r="59" spans="1:22" ht="21.75" customHeight="1">
      <c r="A59" s="87"/>
      <c r="B59" s="7" t="s">
        <v>13</v>
      </c>
      <c r="C59" s="3"/>
      <c r="D59" s="3"/>
      <c r="E59" s="4">
        <f t="shared" si="1"/>
        <v>0</v>
      </c>
      <c r="F59" s="3"/>
      <c r="G59" s="3"/>
      <c r="H59" s="3"/>
      <c r="I59" s="3"/>
      <c r="J59" s="3"/>
      <c r="K59" s="3"/>
      <c r="L59" s="3"/>
      <c r="M59" s="5">
        <f t="shared" si="2"/>
        <v>0</v>
      </c>
      <c r="N59" s="28" t="e">
        <f t="shared" si="3"/>
        <v>#DIV/0!</v>
      </c>
      <c r="O59" s="7"/>
      <c r="P59" s="7"/>
      <c r="Q59" s="7"/>
      <c r="R59" s="7"/>
      <c r="S59" s="3"/>
      <c r="T59" s="37">
        <f t="shared" si="0"/>
        <v>0</v>
      </c>
      <c r="U59" s="28" t="e">
        <f t="shared" si="4"/>
        <v>#DIV/0!</v>
      </c>
      <c r="V59" s="59">
        <f t="shared" si="5"/>
        <v>0</v>
      </c>
    </row>
    <row r="60" spans="1:22" ht="21.75" customHeight="1">
      <c r="A60" s="87"/>
      <c r="B60" s="7" t="s">
        <v>14</v>
      </c>
      <c r="C60" s="3"/>
      <c r="D60" s="3"/>
      <c r="E60" s="4">
        <f t="shared" si="1"/>
        <v>0</v>
      </c>
      <c r="F60" s="3"/>
      <c r="G60" s="3"/>
      <c r="H60" s="3"/>
      <c r="I60" s="3"/>
      <c r="J60" s="3"/>
      <c r="K60" s="3"/>
      <c r="L60" s="3"/>
      <c r="M60" s="5">
        <f t="shared" si="2"/>
        <v>0</v>
      </c>
      <c r="N60" s="28" t="e">
        <f t="shared" si="3"/>
        <v>#DIV/0!</v>
      </c>
      <c r="O60" s="7"/>
      <c r="P60" s="7"/>
      <c r="Q60" s="7"/>
      <c r="R60" s="7"/>
      <c r="S60" s="3"/>
      <c r="T60" s="37">
        <f t="shared" si="0"/>
        <v>0</v>
      </c>
      <c r="U60" s="28" t="e">
        <f t="shared" si="4"/>
        <v>#DIV/0!</v>
      </c>
      <c r="V60" s="59">
        <f t="shared" si="5"/>
        <v>0</v>
      </c>
    </row>
    <row r="61" spans="1:22" ht="21.75" customHeight="1">
      <c r="A61" s="87">
        <v>18</v>
      </c>
      <c r="B61" s="7" t="s">
        <v>12</v>
      </c>
      <c r="C61" s="3"/>
      <c r="D61" s="3"/>
      <c r="E61" s="4">
        <f t="shared" si="1"/>
        <v>0</v>
      </c>
      <c r="F61" s="3"/>
      <c r="G61" s="3"/>
      <c r="H61" s="3"/>
      <c r="I61" s="3"/>
      <c r="J61" s="3"/>
      <c r="K61" s="3"/>
      <c r="L61" s="3"/>
      <c r="M61" s="5">
        <f t="shared" si="2"/>
        <v>0</v>
      </c>
      <c r="N61" s="28" t="e">
        <f t="shared" si="3"/>
        <v>#DIV/0!</v>
      </c>
      <c r="O61" s="7"/>
      <c r="P61" s="7"/>
      <c r="Q61" s="7"/>
      <c r="R61" s="7"/>
      <c r="S61" s="3"/>
      <c r="T61" s="37">
        <f t="shared" si="0"/>
        <v>0</v>
      </c>
      <c r="U61" s="28" t="e">
        <f t="shared" si="4"/>
        <v>#DIV/0!</v>
      </c>
      <c r="V61" s="59">
        <f t="shared" si="5"/>
        <v>0</v>
      </c>
    </row>
    <row r="62" spans="1:22" ht="21.75" customHeight="1">
      <c r="A62" s="87"/>
      <c r="B62" s="7" t="s">
        <v>13</v>
      </c>
      <c r="C62" s="3"/>
      <c r="D62" s="3"/>
      <c r="E62" s="4">
        <f t="shared" si="1"/>
        <v>0</v>
      </c>
      <c r="F62" s="3"/>
      <c r="G62" s="3"/>
      <c r="H62" s="3"/>
      <c r="I62" s="3"/>
      <c r="J62" s="3"/>
      <c r="K62" s="3"/>
      <c r="L62" s="3"/>
      <c r="M62" s="5">
        <f t="shared" si="2"/>
        <v>0</v>
      </c>
      <c r="N62" s="28" t="e">
        <f t="shared" si="3"/>
        <v>#DIV/0!</v>
      </c>
      <c r="O62" s="7"/>
      <c r="P62" s="7"/>
      <c r="Q62" s="7"/>
      <c r="R62" s="7"/>
      <c r="S62" s="3"/>
      <c r="T62" s="37">
        <f t="shared" si="0"/>
        <v>0</v>
      </c>
      <c r="U62" s="28" t="e">
        <f t="shared" si="4"/>
        <v>#DIV/0!</v>
      </c>
      <c r="V62" s="59">
        <f t="shared" si="5"/>
        <v>0</v>
      </c>
    </row>
    <row r="63" spans="1:22" ht="21.75" customHeight="1">
      <c r="A63" s="87"/>
      <c r="B63" s="7" t="s">
        <v>14</v>
      </c>
      <c r="C63" s="3"/>
      <c r="D63" s="3"/>
      <c r="E63" s="4">
        <f t="shared" si="1"/>
        <v>0</v>
      </c>
      <c r="F63" s="3"/>
      <c r="G63" s="3"/>
      <c r="H63" s="3"/>
      <c r="I63" s="3"/>
      <c r="J63" s="3"/>
      <c r="K63" s="3"/>
      <c r="L63" s="3"/>
      <c r="M63" s="5">
        <f t="shared" si="2"/>
        <v>0</v>
      </c>
      <c r="N63" s="28" t="e">
        <f t="shared" si="3"/>
        <v>#DIV/0!</v>
      </c>
      <c r="O63" s="7"/>
      <c r="P63" s="7"/>
      <c r="Q63" s="7"/>
      <c r="R63" s="7"/>
      <c r="S63" s="3"/>
      <c r="T63" s="37">
        <f t="shared" si="0"/>
        <v>0</v>
      </c>
      <c r="U63" s="28" t="e">
        <f t="shared" si="4"/>
        <v>#DIV/0!</v>
      </c>
      <c r="V63" s="59">
        <f t="shared" si="5"/>
        <v>0</v>
      </c>
    </row>
    <row r="64" spans="1:22" ht="21.75" customHeight="1">
      <c r="A64" s="87">
        <v>19</v>
      </c>
      <c r="B64" s="7" t="s">
        <v>12</v>
      </c>
      <c r="C64" s="3"/>
      <c r="D64" s="3"/>
      <c r="E64" s="4">
        <f t="shared" si="1"/>
        <v>0</v>
      </c>
      <c r="F64" s="3"/>
      <c r="G64" s="3"/>
      <c r="H64" s="3"/>
      <c r="I64" s="3"/>
      <c r="J64" s="3"/>
      <c r="K64" s="3"/>
      <c r="L64" s="3"/>
      <c r="M64" s="5">
        <f t="shared" si="2"/>
        <v>0</v>
      </c>
      <c r="N64" s="28" t="e">
        <f t="shared" si="3"/>
        <v>#DIV/0!</v>
      </c>
      <c r="O64" s="7"/>
      <c r="P64" s="7"/>
      <c r="Q64" s="7"/>
      <c r="R64" s="7"/>
      <c r="S64" s="3"/>
      <c r="T64" s="37">
        <f t="shared" si="0"/>
        <v>0</v>
      </c>
      <c r="U64" s="28" t="e">
        <f t="shared" si="4"/>
        <v>#DIV/0!</v>
      </c>
      <c r="V64" s="59">
        <f t="shared" si="5"/>
        <v>0</v>
      </c>
    </row>
    <row r="65" spans="1:22" ht="21.75" customHeight="1">
      <c r="A65" s="87"/>
      <c r="B65" s="7" t="s">
        <v>13</v>
      </c>
      <c r="C65" s="3"/>
      <c r="D65" s="3"/>
      <c r="E65" s="4">
        <f t="shared" si="1"/>
        <v>0</v>
      </c>
      <c r="F65" s="3"/>
      <c r="G65" s="3"/>
      <c r="H65" s="3"/>
      <c r="I65" s="3"/>
      <c r="J65" s="3"/>
      <c r="K65" s="3"/>
      <c r="L65" s="3"/>
      <c r="M65" s="5">
        <f t="shared" si="2"/>
        <v>0</v>
      </c>
      <c r="N65" s="28" t="e">
        <f t="shared" si="3"/>
        <v>#DIV/0!</v>
      </c>
      <c r="O65" s="7"/>
      <c r="P65" s="7"/>
      <c r="Q65" s="7"/>
      <c r="R65" s="7"/>
      <c r="S65" s="3"/>
      <c r="T65" s="37">
        <f t="shared" si="0"/>
        <v>0</v>
      </c>
      <c r="U65" s="28" t="e">
        <f t="shared" si="4"/>
        <v>#DIV/0!</v>
      </c>
      <c r="V65" s="59">
        <f t="shared" si="5"/>
        <v>0</v>
      </c>
    </row>
    <row r="66" spans="1:22" ht="21.75" customHeight="1">
      <c r="A66" s="87"/>
      <c r="B66" s="7" t="s">
        <v>14</v>
      </c>
      <c r="C66" s="3"/>
      <c r="D66" s="3"/>
      <c r="E66" s="4">
        <f t="shared" si="1"/>
        <v>0</v>
      </c>
      <c r="F66" s="3"/>
      <c r="G66" s="3"/>
      <c r="H66" s="3"/>
      <c r="I66" s="3"/>
      <c r="J66" s="3"/>
      <c r="K66" s="3"/>
      <c r="L66" s="3"/>
      <c r="M66" s="5">
        <f t="shared" si="2"/>
        <v>0</v>
      </c>
      <c r="N66" s="28" t="e">
        <f t="shared" si="3"/>
        <v>#DIV/0!</v>
      </c>
      <c r="O66" s="7"/>
      <c r="P66" s="7"/>
      <c r="Q66" s="7"/>
      <c r="R66" s="7"/>
      <c r="S66" s="3"/>
      <c r="T66" s="37">
        <f t="shared" si="0"/>
        <v>0</v>
      </c>
      <c r="U66" s="28" t="e">
        <f t="shared" si="4"/>
        <v>#DIV/0!</v>
      </c>
      <c r="V66" s="59">
        <f t="shared" si="5"/>
        <v>0</v>
      </c>
    </row>
    <row r="67" spans="1:22" ht="21.75" customHeight="1">
      <c r="A67" s="87">
        <v>20</v>
      </c>
      <c r="B67" s="7" t="s">
        <v>12</v>
      </c>
      <c r="C67" s="3"/>
      <c r="D67" s="3"/>
      <c r="E67" s="4">
        <f t="shared" si="1"/>
        <v>0</v>
      </c>
      <c r="F67" s="3"/>
      <c r="G67" s="3"/>
      <c r="H67" s="3"/>
      <c r="I67" s="3"/>
      <c r="J67" s="3"/>
      <c r="K67" s="3"/>
      <c r="L67" s="3"/>
      <c r="M67" s="5">
        <f t="shared" si="2"/>
        <v>0</v>
      </c>
      <c r="N67" s="28" t="e">
        <f t="shared" si="3"/>
        <v>#DIV/0!</v>
      </c>
      <c r="O67" s="7"/>
      <c r="P67" s="7"/>
      <c r="Q67" s="7"/>
      <c r="R67" s="7"/>
      <c r="S67" s="3"/>
      <c r="T67" s="37">
        <f t="shared" si="0"/>
        <v>0</v>
      </c>
      <c r="U67" s="28" t="e">
        <f t="shared" si="4"/>
        <v>#DIV/0!</v>
      </c>
      <c r="V67" s="59">
        <f t="shared" si="5"/>
        <v>0</v>
      </c>
    </row>
    <row r="68" spans="1:22" ht="21.75" customHeight="1">
      <c r="A68" s="87"/>
      <c r="B68" s="7" t="s">
        <v>13</v>
      </c>
      <c r="C68" s="3"/>
      <c r="D68" s="3"/>
      <c r="E68" s="4">
        <f t="shared" si="1"/>
        <v>0</v>
      </c>
      <c r="F68" s="3"/>
      <c r="G68" s="3"/>
      <c r="H68" s="3"/>
      <c r="I68" s="3"/>
      <c r="J68" s="3"/>
      <c r="K68" s="3"/>
      <c r="L68" s="3"/>
      <c r="M68" s="5">
        <f t="shared" si="2"/>
        <v>0</v>
      </c>
      <c r="N68" s="28" t="e">
        <f t="shared" si="3"/>
        <v>#DIV/0!</v>
      </c>
      <c r="O68" s="7"/>
      <c r="P68" s="7"/>
      <c r="Q68" s="7"/>
      <c r="R68" s="7"/>
      <c r="S68" s="3"/>
      <c r="T68" s="37">
        <f t="shared" si="0"/>
        <v>0</v>
      </c>
      <c r="U68" s="28" t="e">
        <f t="shared" si="4"/>
        <v>#DIV/0!</v>
      </c>
      <c r="V68" s="59">
        <f t="shared" si="5"/>
        <v>0</v>
      </c>
    </row>
    <row r="69" spans="1:22" ht="21.75" customHeight="1">
      <c r="A69" s="87"/>
      <c r="B69" s="7" t="s">
        <v>14</v>
      </c>
      <c r="C69" s="3"/>
      <c r="D69" s="3"/>
      <c r="E69" s="4">
        <f t="shared" si="1"/>
        <v>0</v>
      </c>
      <c r="F69" s="3"/>
      <c r="G69" s="3"/>
      <c r="H69" s="3"/>
      <c r="I69" s="3"/>
      <c r="J69" s="3"/>
      <c r="K69" s="3"/>
      <c r="L69" s="3"/>
      <c r="M69" s="5">
        <f t="shared" si="2"/>
        <v>0</v>
      </c>
      <c r="N69" s="28" t="e">
        <f t="shared" si="3"/>
        <v>#DIV/0!</v>
      </c>
      <c r="O69" s="7"/>
      <c r="P69" s="7"/>
      <c r="Q69" s="7"/>
      <c r="R69" s="7"/>
      <c r="S69" s="3"/>
      <c r="T69" s="37">
        <f t="shared" si="0"/>
        <v>0</v>
      </c>
      <c r="U69" s="28" t="e">
        <f t="shared" si="4"/>
        <v>#DIV/0!</v>
      </c>
      <c r="V69" s="59">
        <f t="shared" si="5"/>
        <v>0</v>
      </c>
    </row>
    <row r="70" spans="1:22" ht="21.75" customHeight="1">
      <c r="A70" s="87">
        <v>21</v>
      </c>
      <c r="B70" s="7" t="s">
        <v>12</v>
      </c>
      <c r="C70" s="3"/>
      <c r="D70" s="3"/>
      <c r="E70" s="4">
        <f t="shared" si="1"/>
        <v>0</v>
      </c>
      <c r="F70" s="3"/>
      <c r="G70" s="3"/>
      <c r="H70" s="3"/>
      <c r="I70" s="3"/>
      <c r="J70" s="3"/>
      <c r="K70" s="3"/>
      <c r="L70" s="3"/>
      <c r="M70" s="5">
        <f t="shared" si="2"/>
        <v>0</v>
      </c>
      <c r="N70" s="28" t="e">
        <f t="shared" si="3"/>
        <v>#DIV/0!</v>
      </c>
      <c r="O70" s="7"/>
      <c r="P70" s="7"/>
      <c r="Q70" s="7"/>
      <c r="R70" s="7"/>
      <c r="S70" s="3"/>
      <c r="T70" s="37">
        <f t="shared" si="0"/>
        <v>0</v>
      </c>
      <c r="U70" s="28" t="e">
        <f t="shared" si="4"/>
        <v>#DIV/0!</v>
      </c>
      <c r="V70" s="59">
        <f t="shared" si="5"/>
        <v>0</v>
      </c>
    </row>
    <row r="71" spans="1:22" ht="21.75" customHeight="1">
      <c r="A71" s="87"/>
      <c r="B71" s="7" t="s">
        <v>13</v>
      </c>
      <c r="C71" s="3"/>
      <c r="D71" s="3"/>
      <c r="E71" s="4">
        <f t="shared" si="1"/>
        <v>0</v>
      </c>
      <c r="F71" s="3"/>
      <c r="G71" s="3"/>
      <c r="H71" s="3"/>
      <c r="I71" s="3"/>
      <c r="J71" s="3"/>
      <c r="K71" s="3"/>
      <c r="L71" s="3"/>
      <c r="M71" s="5">
        <f t="shared" si="2"/>
        <v>0</v>
      </c>
      <c r="N71" s="28" t="e">
        <f t="shared" si="3"/>
        <v>#DIV/0!</v>
      </c>
      <c r="O71" s="7"/>
      <c r="P71" s="7"/>
      <c r="Q71" s="7"/>
      <c r="R71" s="7"/>
      <c r="S71" s="3"/>
      <c r="T71" s="37">
        <f t="shared" si="0"/>
        <v>0</v>
      </c>
      <c r="U71" s="28" t="e">
        <f t="shared" si="4"/>
        <v>#DIV/0!</v>
      </c>
      <c r="V71" s="59">
        <f t="shared" si="5"/>
        <v>0</v>
      </c>
    </row>
    <row r="72" spans="1:22" ht="21.75" customHeight="1">
      <c r="A72" s="87"/>
      <c r="B72" s="7" t="s">
        <v>14</v>
      </c>
      <c r="C72" s="3"/>
      <c r="D72" s="3"/>
      <c r="E72" s="4">
        <f t="shared" si="1"/>
        <v>0</v>
      </c>
      <c r="F72" s="3"/>
      <c r="G72" s="3"/>
      <c r="H72" s="3"/>
      <c r="I72" s="3"/>
      <c r="J72" s="3"/>
      <c r="K72" s="3"/>
      <c r="L72" s="3"/>
      <c r="M72" s="5">
        <f t="shared" si="2"/>
        <v>0</v>
      </c>
      <c r="N72" s="28" t="e">
        <f t="shared" si="3"/>
        <v>#DIV/0!</v>
      </c>
      <c r="O72" s="7"/>
      <c r="P72" s="7"/>
      <c r="Q72" s="7"/>
      <c r="R72" s="7"/>
      <c r="S72" s="3"/>
      <c r="T72" s="37">
        <f t="shared" si="0"/>
        <v>0</v>
      </c>
      <c r="U72" s="28" t="e">
        <f t="shared" si="4"/>
        <v>#DIV/0!</v>
      </c>
      <c r="V72" s="59">
        <f t="shared" si="5"/>
        <v>0</v>
      </c>
    </row>
    <row r="73" spans="1:22" ht="21.75" customHeight="1">
      <c r="A73" s="87">
        <v>22</v>
      </c>
      <c r="B73" s="7" t="s">
        <v>12</v>
      </c>
      <c r="C73" s="3"/>
      <c r="D73" s="3"/>
      <c r="E73" s="4">
        <f t="shared" si="1"/>
        <v>0</v>
      </c>
      <c r="F73" s="3"/>
      <c r="G73" s="3"/>
      <c r="H73" s="3"/>
      <c r="I73" s="3"/>
      <c r="J73" s="3"/>
      <c r="K73" s="3"/>
      <c r="L73" s="3"/>
      <c r="M73" s="5">
        <f t="shared" si="2"/>
        <v>0</v>
      </c>
      <c r="N73" s="28" t="e">
        <f t="shared" si="3"/>
        <v>#DIV/0!</v>
      </c>
      <c r="O73" s="7"/>
      <c r="P73" s="7"/>
      <c r="Q73" s="7"/>
      <c r="R73" s="7"/>
      <c r="S73" s="3"/>
      <c r="T73" s="37">
        <f t="shared" si="0"/>
        <v>0</v>
      </c>
      <c r="U73" s="28" t="e">
        <f t="shared" si="4"/>
        <v>#DIV/0!</v>
      </c>
      <c r="V73" s="59">
        <f t="shared" si="5"/>
        <v>0</v>
      </c>
    </row>
    <row r="74" spans="1:22" ht="21.75" customHeight="1">
      <c r="A74" s="87"/>
      <c r="B74" s="7" t="s">
        <v>13</v>
      </c>
      <c r="C74" s="3"/>
      <c r="D74" s="3"/>
      <c r="E74" s="4">
        <f t="shared" si="1"/>
        <v>0</v>
      </c>
      <c r="F74" s="3"/>
      <c r="G74" s="3"/>
      <c r="H74" s="3"/>
      <c r="I74" s="3"/>
      <c r="J74" s="3"/>
      <c r="K74" s="3"/>
      <c r="L74" s="3"/>
      <c r="M74" s="5">
        <f t="shared" si="2"/>
        <v>0</v>
      </c>
      <c r="N74" s="28" t="e">
        <f t="shared" si="3"/>
        <v>#DIV/0!</v>
      </c>
      <c r="O74" s="7"/>
      <c r="P74" s="7"/>
      <c r="Q74" s="7"/>
      <c r="R74" s="7"/>
      <c r="S74" s="3"/>
      <c r="T74" s="37">
        <f t="shared" ref="T74:T106" si="6">SUM(O74:S74)</f>
        <v>0</v>
      </c>
      <c r="U74" s="28" t="e">
        <f t="shared" si="4"/>
        <v>#DIV/0!</v>
      </c>
      <c r="V74" s="59">
        <f t="shared" si="5"/>
        <v>0</v>
      </c>
    </row>
    <row r="75" spans="1:22" ht="21.75" customHeight="1">
      <c r="A75" s="87"/>
      <c r="B75" s="7" t="s">
        <v>14</v>
      </c>
      <c r="C75" s="3"/>
      <c r="D75" s="3"/>
      <c r="E75" s="4">
        <f t="shared" ref="E75:E102" si="7">((($B$3*C75)+(12*D75))*$E$4)/7</f>
        <v>0</v>
      </c>
      <c r="F75" s="3"/>
      <c r="G75" s="3"/>
      <c r="H75" s="3"/>
      <c r="I75" s="3"/>
      <c r="J75" s="3"/>
      <c r="K75" s="3"/>
      <c r="L75" s="3"/>
      <c r="M75" s="5">
        <f t="shared" ref="M75:M106" si="8">(F75+G75+H75+L75)-E75</f>
        <v>0</v>
      </c>
      <c r="N75" s="28" t="e">
        <f t="shared" ref="N75:N105" si="9">(((C75*4.5)+(12*D75))*$E$4)/((F75+G75+H75+I75+J75+K75+L75)*7)*100</f>
        <v>#DIV/0!</v>
      </c>
      <c r="O75" s="7"/>
      <c r="P75" s="7"/>
      <c r="Q75" s="7"/>
      <c r="R75" s="7"/>
      <c r="S75" s="3"/>
      <c r="T75" s="37">
        <f t="shared" si="6"/>
        <v>0</v>
      </c>
      <c r="U75" s="28" t="e">
        <f t="shared" ref="U75:U106" si="10">((((O75*1.5+(P75*3.5)+(Q75*5.5)+(R75*7.5)+(S75*12)))/3)/((F75+G75+H75+I75+J75+K75+L75)*7))*100</f>
        <v>#DIV/0!</v>
      </c>
      <c r="V75" s="59">
        <f t="shared" ref="V75:V106" si="11">C75+D75-T75</f>
        <v>0</v>
      </c>
    </row>
    <row r="76" spans="1:22" ht="21.75" customHeight="1">
      <c r="A76" s="87">
        <v>23</v>
      </c>
      <c r="B76" s="7" t="s">
        <v>12</v>
      </c>
      <c r="C76" s="3"/>
      <c r="D76" s="3"/>
      <c r="E76" s="4">
        <f t="shared" si="7"/>
        <v>0</v>
      </c>
      <c r="F76" s="3"/>
      <c r="G76" s="3"/>
      <c r="H76" s="3"/>
      <c r="I76" s="3"/>
      <c r="J76" s="3"/>
      <c r="K76" s="3"/>
      <c r="L76" s="3"/>
      <c r="M76" s="5">
        <f t="shared" si="8"/>
        <v>0</v>
      </c>
      <c r="N76" s="28" t="e">
        <f t="shared" si="9"/>
        <v>#DIV/0!</v>
      </c>
      <c r="O76" s="7"/>
      <c r="P76" s="7"/>
      <c r="Q76" s="7"/>
      <c r="R76" s="7"/>
      <c r="S76" s="3"/>
      <c r="T76" s="37">
        <f t="shared" si="6"/>
        <v>0</v>
      </c>
      <c r="U76" s="28" t="e">
        <f t="shared" si="10"/>
        <v>#DIV/0!</v>
      </c>
      <c r="V76" s="59">
        <f t="shared" si="11"/>
        <v>0</v>
      </c>
    </row>
    <row r="77" spans="1:22" ht="21.75" customHeight="1">
      <c r="A77" s="87"/>
      <c r="B77" s="7" t="s">
        <v>13</v>
      </c>
      <c r="C77" s="3"/>
      <c r="D77" s="3"/>
      <c r="E77" s="4">
        <f t="shared" si="7"/>
        <v>0</v>
      </c>
      <c r="F77" s="3"/>
      <c r="G77" s="3"/>
      <c r="H77" s="3"/>
      <c r="I77" s="3"/>
      <c r="J77" s="3"/>
      <c r="K77" s="3"/>
      <c r="L77" s="3"/>
      <c r="M77" s="5">
        <f t="shared" si="8"/>
        <v>0</v>
      </c>
      <c r="N77" s="28" t="e">
        <f t="shared" si="9"/>
        <v>#DIV/0!</v>
      </c>
      <c r="O77" s="7"/>
      <c r="P77" s="7"/>
      <c r="Q77" s="7"/>
      <c r="R77" s="7"/>
      <c r="S77" s="3"/>
      <c r="T77" s="37">
        <f t="shared" si="6"/>
        <v>0</v>
      </c>
      <c r="U77" s="28" t="e">
        <f t="shared" si="10"/>
        <v>#DIV/0!</v>
      </c>
      <c r="V77" s="59">
        <f t="shared" si="11"/>
        <v>0</v>
      </c>
    </row>
    <row r="78" spans="1:22" ht="21.75" customHeight="1">
      <c r="A78" s="87"/>
      <c r="B78" s="7" t="s">
        <v>14</v>
      </c>
      <c r="C78" s="3"/>
      <c r="D78" s="3"/>
      <c r="E78" s="4">
        <f t="shared" si="7"/>
        <v>0</v>
      </c>
      <c r="F78" s="3"/>
      <c r="G78" s="3"/>
      <c r="H78" s="3"/>
      <c r="I78" s="3"/>
      <c r="J78" s="3"/>
      <c r="K78" s="3"/>
      <c r="L78" s="3"/>
      <c r="M78" s="5">
        <f t="shared" si="8"/>
        <v>0</v>
      </c>
      <c r="N78" s="28" t="e">
        <f t="shared" si="9"/>
        <v>#DIV/0!</v>
      </c>
      <c r="O78" s="7"/>
      <c r="P78" s="7"/>
      <c r="Q78" s="7"/>
      <c r="R78" s="7"/>
      <c r="S78" s="3"/>
      <c r="T78" s="37">
        <f t="shared" si="6"/>
        <v>0</v>
      </c>
      <c r="U78" s="28" t="e">
        <f t="shared" si="10"/>
        <v>#DIV/0!</v>
      </c>
      <c r="V78" s="59">
        <f t="shared" si="11"/>
        <v>0</v>
      </c>
    </row>
    <row r="79" spans="1:22" ht="21.75" customHeight="1">
      <c r="A79" s="87">
        <v>24</v>
      </c>
      <c r="B79" s="7" t="s">
        <v>12</v>
      </c>
      <c r="C79" s="3"/>
      <c r="D79" s="3"/>
      <c r="E79" s="4">
        <f t="shared" si="7"/>
        <v>0</v>
      </c>
      <c r="F79" s="3"/>
      <c r="G79" s="3"/>
      <c r="H79" s="3"/>
      <c r="I79" s="3"/>
      <c r="J79" s="3"/>
      <c r="K79" s="3"/>
      <c r="L79" s="3"/>
      <c r="M79" s="5">
        <f t="shared" si="8"/>
        <v>0</v>
      </c>
      <c r="N79" s="28" t="e">
        <f t="shared" si="9"/>
        <v>#DIV/0!</v>
      </c>
      <c r="O79" s="7"/>
      <c r="P79" s="7"/>
      <c r="Q79" s="7"/>
      <c r="R79" s="7"/>
      <c r="S79" s="3"/>
      <c r="T79" s="37">
        <f t="shared" si="6"/>
        <v>0</v>
      </c>
      <c r="U79" s="28" t="e">
        <f t="shared" si="10"/>
        <v>#DIV/0!</v>
      </c>
      <c r="V79" s="59">
        <f t="shared" si="11"/>
        <v>0</v>
      </c>
    </row>
    <row r="80" spans="1:22" ht="21.75" customHeight="1">
      <c r="A80" s="87"/>
      <c r="B80" s="7" t="s">
        <v>13</v>
      </c>
      <c r="C80" s="3"/>
      <c r="D80" s="3"/>
      <c r="E80" s="4">
        <f t="shared" si="7"/>
        <v>0</v>
      </c>
      <c r="F80" s="3"/>
      <c r="G80" s="3"/>
      <c r="H80" s="3"/>
      <c r="I80" s="3"/>
      <c r="J80" s="3"/>
      <c r="K80" s="3"/>
      <c r="L80" s="3"/>
      <c r="M80" s="5">
        <f t="shared" si="8"/>
        <v>0</v>
      </c>
      <c r="N80" s="28" t="e">
        <f t="shared" si="9"/>
        <v>#DIV/0!</v>
      </c>
      <c r="O80" s="7"/>
      <c r="P80" s="7"/>
      <c r="Q80" s="7"/>
      <c r="R80" s="7"/>
      <c r="S80" s="3"/>
      <c r="T80" s="37">
        <f t="shared" si="6"/>
        <v>0</v>
      </c>
      <c r="U80" s="28" t="e">
        <f t="shared" si="10"/>
        <v>#DIV/0!</v>
      </c>
      <c r="V80" s="59">
        <f t="shared" si="11"/>
        <v>0</v>
      </c>
    </row>
    <row r="81" spans="1:22" ht="21.75" customHeight="1">
      <c r="A81" s="87"/>
      <c r="B81" s="7" t="s">
        <v>14</v>
      </c>
      <c r="C81" s="3"/>
      <c r="D81" s="3"/>
      <c r="E81" s="4">
        <f t="shared" si="7"/>
        <v>0</v>
      </c>
      <c r="F81" s="3"/>
      <c r="G81" s="3"/>
      <c r="H81" s="3"/>
      <c r="I81" s="3"/>
      <c r="J81" s="3"/>
      <c r="K81" s="3"/>
      <c r="L81" s="3"/>
      <c r="M81" s="5">
        <f t="shared" si="8"/>
        <v>0</v>
      </c>
      <c r="N81" s="28" t="e">
        <f t="shared" si="9"/>
        <v>#DIV/0!</v>
      </c>
      <c r="O81" s="7"/>
      <c r="P81" s="7"/>
      <c r="Q81" s="7"/>
      <c r="R81" s="7"/>
      <c r="S81" s="3"/>
      <c r="T81" s="37">
        <f t="shared" si="6"/>
        <v>0</v>
      </c>
      <c r="U81" s="28" t="e">
        <f t="shared" si="10"/>
        <v>#DIV/0!</v>
      </c>
      <c r="V81" s="59">
        <f t="shared" si="11"/>
        <v>0</v>
      </c>
    </row>
    <row r="82" spans="1:22" ht="21.75" customHeight="1">
      <c r="A82" s="87">
        <v>25</v>
      </c>
      <c r="B82" s="7" t="s">
        <v>12</v>
      </c>
      <c r="C82" s="3"/>
      <c r="D82" s="3"/>
      <c r="E82" s="4">
        <f t="shared" si="7"/>
        <v>0</v>
      </c>
      <c r="F82" s="3"/>
      <c r="G82" s="3"/>
      <c r="H82" s="3"/>
      <c r="I82" s="3"/>
      <c r="J82" s="3"/>
      <c r="K82" s="3"/>
      <c r="L82" s="3"/>
      <c r="M82" s="5">
        <f t="shared" si="8"/>
        <v>0</v>
      </c>
      <c r="N82" s="28" t="e">
        <f t="shared" si="9"/>
        <v>#DIV/0!</v>
      </c>
      <c r="O82" s="7"/>
      <c r="P82" s="7"/>
      <c r="Q82" s="7"/>
      <c r="R82" s="7"/>
      <c r="S82" s="3"/>
      <c r="T82" s="37">
        <f t="shared" si="6"/>
        <v>0</v>
      </c>
      <c r="U82" s="28" t="e">
        <f t="shared" si="10"/>
        <v>#DIV/0!</v>
      </c>
      <c r="V82" s="59">
        <f t="shared" si="11"/>
        <v>0</v>
      </c>
    </row>
    <row r="83" spans="1:22" ht="21.75" customHeight="1">
      <c r="A83" s="87"/>
      <c r="B83" s="7" t="s">
        <v>13</v>
      </c>
      <c r="C83" s="3"/>
      <c r="D83" s="3"/>
      <c r="E83" s="4">
        <f t="shared" si="7"/>
        <v>0</v>
      </c>
      <c r="F83" s="3"/>
      <c r="G83" s="3"/>
      <c r="H83" s="3"/>
      <c r="I83" s="3"/>
      <c r="J83" s="3"/>
      <c r="K83" s="3"/>
      <c r="L83" s="3"/>
      <c r="M83" s="5">
        <f t="shared" si="8"/>
        <v>0</v>
      </c>
      <c r="N83" s="28" t="e">
        <f t="shared" si="9"/>
        <v>#DIV/0!</v>
      </c>
      <c r="O83" s="7"/>
      <c r="P83" s="7"/>
      <c r="Q83" s="7"/>
      <c r="R83" s="7"/>
      <c r="S83" s="3"/>
      <c r="T83" s="37">
        <f t="shared" si="6"/>
        <v>0</v>
      </c>
      <c r="U83" s="28" t="e">
        <f t="shared" si="10"/>
        <v>#DIV/0!</v>
      </c>
      <c r="V83" s="59">
        <f t="shared" si="11"/>
        <v>0</v>
      </c>
    </row>
    <row r="84" spans="1:22" ht="21.75" customHeight="1">
      <c r="A84" s="87"/>
      <c r="B84" s="7" t="s">
        <v>14</v>
      </c>
      <c r="C84" s="3"/>
      <c r="D84" s="3"/>
      <c r="E84" s="4">
        <f t="shared" si="7"/>
        <v>0</v>
      </c>
      <c r="F84" s="3"/>
      <c r="G84" s="3"/>
      <c r="H84" s="3"/>
      <c r="I84" s="3"/>
      <c r="J84" s="3"/>
      <c r="K84" s="3"/>
      <c r="L84" s="3"/>
      <c r="M84" s="5">
        <f t="shared" si="8"/>
        <v>0</v>
      </c>
      <c r="N84" s="28" t="e">
        <f t="shared" si="9"/>
        <v>#DIV/0!</v>
      </c>
      <c r="O84" s="7"/>
      <c r="P84" s="7"/>
      <c r="Q84" s="7"/>
      <c r="R84" s="7"/>
      <c r="S84" s="3"/>
      <c r="T84" s="37">
        <f t="shared" si="6"/>
        <v>0</v>
      </c>
      <c r="U84" s="28" t="e">
        <f t="shared" si="10"/>
        <v>#DIV/0!</v>
      </c>
      <c r="V84" s="59">
        <f t="shared" si="11"/>
        <v>0</v>
      </c>
    </row>
    <row r="85" spans="1:22" ht="21.75" customHeight="1">
      <c r="A85" s="87">
        <v>26</v>
      </c>
      <c r="B85" s="7" t="s">
        <v>12</v>
      </c>
      <c r="C85" s="3"/>
      <c r="D85" s="3"/>
      <c r="E85" s="4">
        <f t="shared" si="7"/>
        <v>0</v>
      </c>
      <c r="F85" s="3"/>
      <c r="G85" s="3"/>
      <c r="H85" s="3"/>
      <c r="I85" s="3"/>
      <c r="J85" s="3"/>
      <c r="K85" s="3"/>
      <c r="L85" s="3"/>
      <c r="M85" s="5">
        <f t="shared" si="8"/>
        <v>0</v>
      </c>
      <c r="N85" s="28" t="e">
        <f t="shared" si="9"/>
        <v>#DIV/0!</v>
      </c>
      <c r="O85" s="7"/>
      <c r="P85" s="7"/>
      <c r="Q85" s="7"/>
      <c r="R85" s="7"/>
      <c r="S85" s="3"/>
      <c r="T85" s="37">
        <f t="shared" si="6"/>
        <v>0</v>
      </c>
      <c r="U85" s="28" t="e">
        <f t="shared" si="10"/>
        <v>#DIV/0!</v>
      </c>
      <c r="V85" s="59">
        <f t="shared" si="11"/>
        <v>0</v>
      </c>
    </row>
    <row r="86" spans="1:22" ht="21.75" customHeight="1">
      <c r="A86" s="87"/>
      <c r="B86" s="7" t="s">
        <v>13</v>
      </c>
      <c r="C86" s="3"/>
      <c r="D86" s="3"/>
      <c r="E86" s="4">
        <f t="shared" si="7"/>
        <v>0</v>
      </c>
      <c r="F86" s="3"/>
      <c r="G86" s="3"/>
      <c r="H86" s="3"/>
      <c r="I86" s="3"/>
      <c r="J86" s="3"/>
      <c r="K86" s="3"/>
      <c r="L86" s="3"/>
      <c r="M86" s="5">
        <f t="shared" si="8"/>
        <v>0</v>
      </c>
      <c r="N86" s="28" t="e">
        <f t="shared" si="9"/>
        <v>#DIV/0!</v>
      </c>
      <c r="O86" s="7"/>
      <c r="P86" s="7"/>
      <c r="Q86" s="7"/>
      <c r="R86" s="7"/>
      <c r="S86" s="3"/>
      <c r="T86" s="37">
        <f t="shared" si="6"/>
        <v>0</v>
      </c>
      <c r="U86" s="28" t="e">
        <f t="shared" si="10"/>
        <v>#DIV/0!</v>
      </c>
      <c r="V86" s="59">
        <f t="shared" si="11"/>
        <v>0</v>
      </c>
    </row>
    <row r="87" spans="1:22" ht="21.75" customHeight="1">
      <c r="A87" s="87"/>
      <c r="B87" s="7" t="s">
        <v>14</v>
      </c>
      <c r="C87" s="3"/>
      <c r="D87" s="3"/>
      <c r="E87" s="4">
        <f t="shared" si="7"/>
        <v>0</v>
      </c>
      <c r="F87" s="3"/>
      <c r="G87" s="3"/>
      <c r="H87" s="3"/>
      <c r="I87" s="3"/>
      <c r="J87" s="3"/>
      <c r="K87" s="3"/>
      <c r="L87" s="3"/>
      <c r="M87" s="5">
        <f t="shared" si="8"/>
        <v>0</v>
      </c>
      <c r="N87" s="28" t="e">
        <f t="shared" si="9"/>
        <v>#DIV/0!</v>
      </c>
      <c r="O87" s="7"/>
      <c r="P87" s="7"/>
      <c r="Q87" s="7"/>
      <c r="R87" s="7"/>
      <c r="S87" s="3"/>
      <c r="T87" s="37">
        <f t="shared" si="6"/>
        <v>0</v>
      </c>
      <c r="U87" s="28" t="e">
        <f t="shared" si="10"/>
        <v>#DIV/0!</v>
      </c>
      <c r="V87" s="59">
        <f t="shared" si="11"/>
        <v>0</v>
      </c>
    </row>
    <row r="88" spans="1:22" ht="21.75" customHeight="1">
      <c r="A88" s="87">
        <v>27</v>
      </c>
      <c r="B88" s="7" t="s">
        <v>12</v>
      </c>
      <c r="C88" s="3"/>
      <c r="D88" s="3"/>
      <c r="E88" s="4">
        <f t="shared" si="7"/>
        <v>0</v>
      </c>
      <c r="F88" s="3"/>
      <c r="G88" s="3"/>
      <c r="H88" s="3"/>
      <c r="I88" s="3"/>
      <c r="J88" s="3"/>
      <c r="K88" s="3"/>
      <c r="L88" s="3"/>
      <c r="M88" s="5">
        <f t="shared" si="8"/>
        <v>0</v>
      </c>
      <c r="N88" s="28" t="e">
        <f t="shared" si="9"/>
        <v>#DIV/0!</v>
      </c>
      <c r="O88" s="7"/>
      <c r="P88" s="7"/>
      <c r="Q88" s="7"/>
      <c r="R88" s="7"/>
      <c r="S88" s="3"/>
      <c r="T88" s="37">
        <f t="shared" si="6"/>
        <v>0</v>
      </c>
      <c r="U88" s="28" t="e">
        <f t="shared" si="10"/>
        <v>#DIV/0!</v>
      </c>
      <c r="V88" s="59">
        <f t="shared" si="11"/>
        <v>0</v>
      </c>
    </row>
    <row r="89" spans="1:22" ht="21.75" customHeight="1">
      <c r="A89" s="87"/>
      <c r="B89" s="7" t="s">
        <v>13</v>
      </c>
      <c r="C89" s="3"/>
      <c r="D89" s="3"/>
      <c r="E89" s="4">
        <f t="shared" si="7"/>
        <v>0</v>
      </c>
      <c r="F89" s="3"/>
      <c r="G89" s="3"/>
      <c r="H89" s="3"/>
      <c r="I89" s="3"/>
      <c r="J89" s="3"/>
      <c r="K89" s="3"/>
      <c r="L89" s="3"/>
      <c r="M89" s="5">
        <f t="shared" si="8"/>
        <v>0</v>
      </c>
      <c r="N89" s="28" t="e">
        <f t="shared" si="9"/>
        <v>#DIV/0!</v>
      </c>
      <c r="O89" s="7"/>
      <c r="P89" s="7"/>
      <c r="Q89" s="7"/>
      <c r="R89" s="7"/>
      <c r="S89" s="3"/>
      <c r="T89" s="37">
        <f t="shared" si="6"/>
        <v>0</v>
      </c>
      <c r="U89" s="28" t="e">
        <f t="shared" si="10"/>
        <v>#DIV/0!</v>
      </c>
      <c r="V89" s="59">
        <f t="shared" si="11"/>
        <v>0</v>
      </c>
    </row>
    <row r="90" spans="1:22" ht="21.75" customHeight="1">
      <c r="A90" s="87"/>
      <c r="B90" s="7" t="s">
        <v>14</v>
      </c>
      <c r="C90" s="3"/>
      <c r="D90" s="3"/>
      <c r="E90" s="4">
        <f t="shared" si="7"/>
        <v>0</v>
      </c>
      <c r="F90" s="3"/>
      <c r="G90" s="3"/>
      <c r="H90" s="3"/>
      <c r="I90" s="3"/>
      <c r="J90" s="3"/>
      <c r="K90" s="3"/>
      <c r="L90" s="3"/>
      <c r="M90" s="5">
        <f t="shared" si="8"/>
        <v>0</v>
      </c>
      <c r="N90" s="28" t="e">
        <f t="shared" si="9"/>
        <v>#DIV/0!</v>
      </c>
      <c r="O90" s="7"/>
      <c r="P90" s="7"/>
      <c r="Q90" s="7"/>
      <c r="R90" s="7"/>
      <c r="S90" s="3"/>
      <c r="T90" s="37">
        <f t="shared" si="6"/>
        <v>0</v>
      </c>
      <c r="U90" s="28" t="e">
        <f t="shared" si="10"/>
        <v>#DIV/0!</v>
      </c>
      <c r="V90" s="59">
        <f t="shared" si="11"/>
        <v>0</v>
      </c>
    </row>
    <row r="91" spans="1:22" ht="21.75" customHeight="1">
      <c r="A91" s="87">
        <v>28</v>
      </c>
      <c r="B91" s="7" t="s">
        <v>12</v>
      </c>
      <c r="C91" s="3"/>
      <c r="D91" s="3"/>
      <c r="E91" s="4">
        <f t="shared" si="7"/>
        <v>0</v>
      </c>
      <c r="F91" s="3"/>
      <c r="G91" s="3"/>
      <c r="H91" s="3"/>
      <c r="I91" s="3"/>
      <c r="J91" s="3"/>
      <c r="K91" s="3"/>
      <c r="L91" s="3"/>
      <c r="M91" s="5">
        <f t="shared" si="8"/>
        <v>0</v>
      </c>
      <c r="N91" s="28" t="e">
        <f t="shared" si="9"/>
        <v>#DIV/0!</v>
      </c>
      <c r="O91" s="7"/>
      <c r="P91" s="7"/>
      <c r="Q91" s="7"/>
      <c r="R91" s="7"/>
      <c r="S91" s="3"/>
      <c r="T91" s="37">
        <f t="shared" si="6"/>
        <v>0</v>
      </c>
      <c r="U91" s="28" t="e">
        <f t="shared" si="10"/>
        <v>#DIV/0!</v>
      </c>
      <c r="V91" s="59">
        <f t="shared" si="11"/>
        <v>0</v>
      </c>
    </row>
    <row r="92" spans="1:22" ht="21.75" customHeight="1">
      <c r="A92" s="87"/>
      <c r="B92" s="7" t="s">
        <v>13</v>
      </c>
      <c r="C92" s="3"/>
      <c r="D92" s="3"/>
      <c r="E92" s="4">
        <f t="shared" si="7"/>
        <v>0</v>
      </c>
      <c r="F92" s="3"/>
      <c r="G92" s="3"/>
      <c r="H92" s="3"/>
      <c r="I92" s="3"/>
      <c r="J92" s="3"/>
      <c r="K92" s="3"/>
      <c r="L92" s="3"/>
      <c r="M92" s="5">
        <f t="shared" si="8"/>
        <v>0</v>
      </c>
      <c r="N92" s="28" t="e">
        <f t="shared" si="9"/>
        <v>#DIV/0!</v>
      </c>
      <c r="O92" s="7"/>
      <c r="P92" s="7"/>
      <c r="Q92" s="7"/>
      <c r="R92" s="7"/>
      <c r="S92" s="3"/>
      <c r="T92" s="37">
        <f t="shared" si="6"/>
        <v>0</v>
      </c>
      <c r="U92" s="28" t="e">
        <f t="shared" si="10"/>
        <v>#DIV/0!</v>
      </c>
      <c r="V92" s="59">
        <f t="shared" si="11"/>
        <v>0</v>
      </c>
    </row>
    <row r="93" spans="1:22" ht="21.75" customHeight="1">
      <c r="A93" s="87"/>
      <c r="B93" s="7" t="s">
        <v>14</v>
      </c>
      <c r="C93" s="3"/>
      <c r="D93" s="3"/>
      <c r="E93" s="4">
        <f t="shared" si="7"/>
        <v>0</v>
      </c>
      <c r="F93" s="3"/>
      <c r="G93" s="3"/>
      <c r="H93" s="3"/>
      <c r="I93" s="3"/>
      <c r="J93" s="3"/>
      <c r="K93" s="3"/>
      <c r="L93" s="3"/>
      <c r="M93" s="5">
        <f t="shared" si="8"/>
        <v>0</v>
      </c>
      <c r="N93" s="28" t="e">
        <f t="shared" si="9"/>
        <v>#DIV/0!</v>
      </c>
      <c r="O93" s="7"/>
      <c r="P93" s="7"/>
      <c r="Q93" s="7"/>
      <c r="R93" s="7"/>
      <c r="S93" s="3"/>
      <c r="T93" s="37">
        <f t="shared" si="6"/>
        <v>0</v>
      </c>
      <c r="U93" s="28" t="e">
        <f t="shared" si="10"/>
        <v>#DIV/0!</v>
      </c>
      <c r="V93" s="59">
        <f t="shared" si="11"/>
        <v>0</v>
      </c>
    </row>
    <row r="94" spans="1:22" ht="21.75" customHeight="1">
      <c r="A94" s="87">
        <v>29</v>
      </c>
      <c r="B94" s="7" t="s">
        <v>12</v>
      </c>
      <c r="C94" s="3"/>
      <c r="D94" s="3"/>
      <c r="E94" s="4">
        <f t="shared" si="7"/>
        <v>0</v>
      </c>
      <c r="F94" s="3"/>
      <c r="G94" s="3"/>
      <c r="H94" s="3"/>
      <c r="I94" s="3"/>
      <c r="J94" s="3"/>
      <c r="K94" s="3"/>
      <c r="L94" s="3"/>
      <c r="M94" s="5">
        <f t="shared" si="8"/>
        <v>0</v>
      </c>
      <c r="N94" s="28" t="e">
        <f t="shared" si="9"/>
        <v>#DIV/0!</v>
      </c>
      <c r="O94" s="7"/>
      <c r="P94" s="7"/>
      <c r="Q94" s="7"/>
      <c r="R94" s="7"/>
      <c r="S94" s="3"/>
      <c r="T94" s="37">
        <f t="shared" si="6"/>
        <v>0</v>
      </c>
      <c r="U94" s="28" t="e">
        <f t="shared" si="10"/>
        <v>#DIV/0!</v>
      </c>
      <c r="V94" s="59">
        <f t="shared" si="11"/>
        <v>0</v>
      </c>
    </row>
    <row r="95" spans="1:22" ht="21.75" customHeight="1">
      <c r="A95" s="87"/>
      <c r="B95" s="7" t="s">
        <v>13</v>
      </c>
      <c r="C95" s="3"/>
      <c r="D95" s="3"/>
      <c r="E95" s="4">
        <f t="shared" si="7"/>
        <v>0</v>
      </c>
      <c r="F95" s="3"/>
      <c r="G95" s="3"/>
      <c r="H95" s="3"/>
      <c r="I95" s="3"/>
      <c r="J95" s="3"/>
      <c r="K95" s="3"/>
      <c r="L95" s="3"/>
      <c r="M95" s="5">
        <f t="shared" si="8"/>
        <v>0</v>
      </c>
      <c r="N95" s="28" t="e">
        <f t="shared" si="9"/>
        <v>#DIV/0!</v>
      </c>
      <c r="O95" s="7"/>
      <c r="P95" s="7"/>
      <c r="Q95" s="7"/>
      <c r="R95" s="7"/>
      <c r="S95" s="3"/>
      <c r="T95" s="37">
        <f t="shared" si="6"/>
        <v>0</v>
      </c>
      <c r="U95" s="28" t="e">
        <f t="shared" si="10"/>
        <v>#DIV/0!</v>
      </c>
      <c r="V95" s="59">
        <f t="shared" si="11"/>
        <v>0</v>
      </c>
    </row>
    <row r="96" spans="1:22" ht="21.75" customHeight="1">
      <c r="A96" s="87"/>
      <c r="B96" s="7" t="s">
        <v>14</v>
      </c>
      <c r="C96" s="3"/>
      <c r="D96" s="3"/>
      <c r="E96" s="4">
        <f t="shared" si="7"/>
        <v>0</v>
      </c>
      <c r="F96" s="3"/>
      <c r="G96" s="3"/>
      <c r="H96" s="3"/>
      <c r="I96" s="3"/>
      <c r="J96" s="3"/>
      <c r="K96" s="3"/>
      <c r="L96" s="3"/>
      <c r="M96" s="5">
        <f t="shared" si="8"/>
        <v>0</v>
      </c>
      <c r="N96" s="28" t="e">
        <f t="shared" si="9"/>
        <v>#DIV/0!</v>
      </c>
      <c r="O96" s="7"/>
      <c r="P96" s="7"/>
      <c r="Q96" s="7"/>
      <c r="R96" s="7"/>
      <c r="S96" s="3"/>
      <c r="T96" s="37">
        <f t="shared" si="6"/>
        <v>0</v>
      </c>
      <c r="U96" s="28" t="e">
        <f t="shared" si="10"/>
        <v>#DIV/0!</v>
      </c>
      <c r="V96" s="59">
        <f t="shared" si="11"/>
        <v>0</v>
      </c>
    </row>
    <row r="97" spans="1:22" ht="21.75" customHeight="1">
      <c r="A97" s="87">
        <v>30</v>
      </c>
      <c r="B97" s="7" t="s">
        <v>12</v>
      </c>
      <c r="C97" s="3"/>
      <c r="D97" s="3"/>
      <c r="E97" s="4">
        <f t="shared" si="7"/>
        <v>0</v>
      </c>
      <c r="F97" s="3"/>
      <c r="G97" s="3"/>
      <c r="H97" s="3"/>
      <c r="I97" s="3"/>
      <c r="J97" s="3"/>
      <c r="K97" s="3"/>
      <c r="L97" s="3"/>
      <c r="M97" s="5">
        <f t="shared" si="8"/>
        <v>0</v>
      </c>
      <c r="N97" s="28" t="e">
        <f t="shared" si="9"/>
        <v>#DIV/0!</v>
      </c>
      <c r="O97" s="7"/>
      <c r="P97" s="7"/>
      <c r="Q97" s="7"/>
      <c r="R97" s="7"/>
      <c r="S97" s="3"/>
      <c r="T97" s="37">
        <f t="shared" si="6"/>
        <v>0</v>
      </c>
      <c r="U97" s="28" t="e">
        <f t="shared" si="10"/>
        <v>#DIV/0!</v>
      </c>
      <c r="V97" s="59">
        <f t="shared" si="11"/>
        <v>0</v>
      </c>
    </row>
    <row r="98" spans="1:22" ht="21.75" customHeight="1">
      <c r="A98" s="87"/>
      <c r="B98" s="7" t="s">
        <v>13</v>
      </c>
      <c r="C98" s="3"/>
      <c r="D98" s="3"/>
      <c r="E98" s="4">
        <f t="shared" si="7"/>
        <v>0</v>
      </c>
      <c r="F98" s="3"/>
      <c r="G98" s="3"/>
      <c r="H98" s="3"/>
      <c r="I98" s="3"/>
      <c r="J98" s="3"/>
      <c r="K98" s="3"/>
      <c r="L98" s="3"/>
      <c r="M98" s="5">
        <f t="shared" si="8"/>
        <v>0</v>
      </c>
      <c r="N98" s="28" t="e">
        <f t="shared" si="9"/>
        <v>#DIV/0!</v>
      </c>
      <c r="O98" s="7"/>
      <c r="P98" s="7"/>
      <c r="Q98" s="7"/>
      <c r="R98" s="7"/>
      <c r="S98" s="3"/>
      <c r="T98" s="37">
        <f t="shared" si="6"/>
        <v>0</v>
      </c>
      <c r="U98" s="28" t="e">
        <f t="shared" si="10"/>
        <v>#DIV/0!</v>
      </c>
      <c r="V98" s="59">
        <f t="shared" si="11"/>
        <v>0</v>
      </c>
    </row>
    <row r="99" spans="1:22" ht="21.75" customHeight="1">
      <c r="A99" s="87"/>
      <c r="B99" s="7" t="s">
        <v>14</v>
      </c>
      <c r="C99" s="3"/>
      <c r="D99" s="3"/>
      <c r="E99" s="4">
        <f t="shared" si="7"/>
        <v>0</v>
      </c>
      <c r="F99" s="3"/>
      <c r="G99" s="3"/>
      <c r="H99" s="3"/>
      <c r="I99" s="3"/>
      <c r="J99" s="3"/>
      <c r="K99" s="3"/>
      <c r="L99" s="3"/>
      <c r="M99" s="5">
        <f t="shared" si="8"/>
        <v>0</v>
      </c>
      <c r="N99" s="28" t="e">
        <f t="shared" si="9"/>
        <v>#DIV/0!</v>
      </c>
      <c r="O99" s="7"/>
      <c r="P99" s="7"/>
      <c r="Q99" s="7"/>
      <c r="R99" s="7"/>
      <c r="S99" s="3"/>
      <c r="T99" s="37">
        <f t="shared" si="6"/>
        <v>0</v>
      </c>
      <c r="U99" s="28" t="e">
        <f t="shared" si="10"/>
        <v>#DIV/0!</v>
      </c>
      <c r="V99" s="59">
        <f t="shared" si="11"/>
        <v>0</v>
      </c>
    </row>
    <row r="100" spans="1:22" ht="21.75" customHeight="1">
      <c r="A100" s="87">
        <v>31</v>
      </c>
      <c r="B100" s="7" t="s">
        <v>12</v>
      </c>
      <c r="C100" s="3"/>
      <c r="D100" s="3"/>
      <c r="E100" s="4">
        <f t="shared" si="7"/>
        <v>0</v>
      </c>
      <c r="F100" s="3"/>
      <c r="G100" s="3"/>
      <c r="H100" s="3"/>
      <c r="I100" s="3"/>
      <c r="J100" s="3"/>
      <c r="K100" s="3"/>
      <c r="L100" s="3"/>
      <c r="M100" s="5">
        <f t="shared" si="8"/>
        <v>0</v>
      </c>
      <c r="N100" s="28" t="e">
        <f t="shared" si="9"/>
        <v>#DIV/0!</v>
      </c>
      <c r="O100" s="7"/>
      <c r="P100" s="7"/>
      <c r="Q100" s="7"/>
      <c r="R100" s="7"/>
      <c r="S100" s="3"/>
      <c r="T100" s="37">
        <f t="shared" si="6"/>
        <v>0</v>
      </c>
      <c r="U100" s="28" t="e">
        <f t="shared" si="10"/>
        <v>#DIV/0!</v>
      </c>
      <c r="V100" s="59">
        <f t="shared" si="11"/>
        <v>0</v>
      </c>
    </row>
    <row r="101" spans="1:22" ht="21.75" customHeight="1">
      <c r="A101" s="87"/>
      <c r="B101" s="7" t="s">
        <v>13</v>
      </c>
      <c r="C101" s="3"/>
      <c r="D101" s="3"/>
      <c r="E101" s="4">
        <f t="shared" si="7"/>
        <v>0</v>
      </c>
      <c r="F101" s="3"/>
      <c r="G101" s="3"/>
      <c r="H101" s="3"/>
      <c r="I101" s="3"/>
      <c r="J101" s="3"/>
      <c r="K101" s="3"/>
      <c r="L101" s="3"/>
      <c r="M101" s="5">
        <f t="shared" si="8"/>
        <v>0</v>
      </c>
      <c r="N101" s="28" t="e">
        <f t="shared" si="9"/>
        <v>#DIV/0!</v>
      </c>
      <c r="O101" s="7"/>
      <c r="P101" s="7"/>
      <c r="Q101" s="7"/>
      <c r="R101" s="7"/>
      <c r="S101" s="3"/>
      <c r="T101" s="37">
        <f t="shared" si="6"/>
        <v>0</v>
      </c>
      <c r="U101" s="28" t="e">
        <f t="shared" si="10"/>
        <v>#DIV/0!</v>
      </c>
      <c r="V101" s="59">
        <f t="shared" si="11"/>
        <v>0</v>
      </c>
    </row>
    <row r="102" spans="1:22" ht="21.75" customHeight="1">
      <c r="A102" s="87"/>
      <c r="B102" s="7" t="s">
        <v>14</v>
      </c>
      <c r="C102" s="3"/>
      <c r="D102" s="3"/>
      <c r="E102" s="4">
        <f t="shared" si="7"/>
        <v>0</v>
      </c>
      <c r="F102" s="3"/>
      <c r="G102" s="3"/>
      <c r="H102" s="3"/>
      <c r="I102" s="3"/>
      <c r="J102" s="3"/>
      <c r="K102" s="3"/>
      <c r="L102" s="3"/>
      <c r="M102" s="5">
        <f t="shared" si="8"/>
        <v>0</v>
      </c>
      <c r="N102" s="28" t="e">
        <f t="shared" si="9"/>
        <v>#DIV/0!</v>
      </c>
      <c r="O102" s="7"/>
      <c r="P102" s="7"/>
      <c r="Q102" s="7"/>
      <c r="R102" s="7"/>
      <c r="S102" s="3"/>
      <c r="T102" s="37">
        <f t="shared" si="6"/>
        <v>0</v>
      </c>
      <c r="U102" s="28" t="e">
        <f t="shared" si="10"/>
        <v>#DIV/0!</v>
      </c>
      <c r="V102" s="59">
        <f t="shared" si="11"/>
        <v>0</v>
      </c>
    </row>
    <row r="103" spans="1:22" ht="21.75" customHeight="1">
      <c r="A103" s="87" t="s">
        <v>41</v>
      </c>
      <c r="B103" s="1" t="s">
        <v>12</v>
      </c>
      <c r="C103" s="37">
        <f>C10+C13+C16+C19+C22+C25+C28+C31+C34+C37+C40+C43+C46+C49+C52+C55+C58+C61+C64+C67+C70+C73+C76+C79+C82+C85+C88+C91+C94+C97+C100</f>
        <v>0</v>
      </c>
      <c r="D103" s="37">
        <f>D10+D13+D16+D19+D22+D25+D28+D31+D34+D37+D40+D43+D46+D49+D52+D55+D58+D61+D64+D67+D70+D73+D76+D79+D82+D85+D88+D91+D94+D97+D100</f>
        <v>0</v>
      </c>
      <c r="E103" s="4">
        <f>((($B$3*C103)+(12*D103))*$M$4)/7</f>
        <v>0</v>
      </c>
      <c r="F103" s="1">
        <f t="shared" ref="F103:L105" si="12">F10+F13+F16+F19+F22+F25+F28+F31+F34+F37+F40+F43+F46+F49+F52+F55+F58+F61+F64+F67+F70+F73+F76+F79+F82+F85+F88+F91+F94+F97+F100</f>
        <v>0</v>
      </c>
      <c r="G103" s="1">
        <f t="shared" si="12"/>
        <v>0</v>
      </c>
      <c r="H103" s="1">
        <f t="shared" si="12"/>
        <v>0</v>
      </c>
      <c r="I103" s="1">
        <f t="shared" si="12"/>
        <v>0</v>
      </c>
      <c r="J103" s="1">
        <f t="shared" si="12"/>
        <v>0</v>
      </c>
      <c r="K103" s="1">
        <f t="shared" si="12"/>
        <v>0</v>
      </c>
      <c r="L103" s="1">
        <f t="shared" si="12"/>
        <v>0</v>
      </c>
      <c r="M103" s="5">
        <f t="shared" si="8"/>
        <v>0</v>
      </c>
      <c r="N103" s="28" t="e">
        <f t="shared" si="9"/>
        <v>#DIV/0!</v>
      </c>
      <c r="O103" s="1">
        <f t="shared" ref="O103:S105" si="13">O10+O13+O16+O19+O22+O25+O28+O31+O34+O37+O40+O43+O46+O49+O52+O55+O58+O61+O64+O67+O70+O73+O76+O79+O82+O85+O88+O91+O94+O97+O100</f>
        <v>0</v>
      </c>
      <c r="P103" s="1">
        <f t="shared" si="13"/>
        <v>0</v>
      </c>
      <c r="Q103" s="1">
        <f t="shared" si="13"/>
        <v>0</v>
      </c>
      <c r="R103" s="1">
        <f t="shared" si="13"/>
        <v>0</v>
      </c>
      <c r="S103" s="1">
        <f t="shared" si="13"/>
        <v>0</v>
      </c>
      <c r="T103" s="37">
        <f t="shared" si="6"/>
        <v>0</v>
      </c>
      <c r="U103" s="28" t="e">
        <f t="shared" si="10"/>
        <v>#DIV/0!</v>
      </c>
      <c r="V103" s="59">
        <f t="shared" si="11"/>
        <v>0</v>
      </c>
    </row>
    <row r="104" spans="1:22" ht="21.75" customHeight="1">
      <c r="A104" s="87"/>
      <c r="B104" s="1" t="s">
        <v>13</v>
      </c>
      <c r="C104" s="37">
        <f t="shared" ref="C104:D105" si="14">C11+C14+C17+C20+C23+C26+C29+C32+C35+C38+C41+C44+C47+C50+C53+C56+C59+C62+C65+C68+C71+C74+C77+C80+C83+C86+C89+C92+C95+C98+C101</f>
        <v>0</v>
      </c>
      <c r="D104" s="37">
        <f t="shared" si="14"/>
        <v>0</v>
      </c>
      <c r="E104" s="4">
        <f t="shared" ref="E104:E105" si="15">((($B$3*C104)+(12*D104))*$M$4)/7</f>
        <v>0</v>
      </c>
      <c r="F104" s="1">
        <f t="shared" si="12"/>
        <v>0</v>
      </c>
      <c r="G104" s="1">
        <f t="shared" si="12"/>
        <v>0</v>
      </c>
      <c r="H104" s="1">
        <f t="shared" ref="H104" si="16">H11+H14+H17+H20+H23+H26+H29+H32+H35+H38+H41+H44+H47+H50+H53+H56+H59+H62+H65+H68+H71+H74+H77+H80+H83+H86+H89+H92+H95+H98+H101</f>
        <v>0</v>
      </c>
      <c r="I104" s="1">
        <f t="shared" si="12"/>
        <v>0</v>
      </c>
      <c r="J104" s="1">
        <f t="shared" si="12"/>
        <v>0</v>
      </c>
      <c r="K104" s="1">
        <f t="shared" ref="K104" si="17">K11+K14+K17+K20+K23+K26+K29+K32+K35+K38+K41+K44+K47+K50+K53+K56+K59+K62+K65+K68+K71+K74+K77+K80+K83+K86+K89+K92+K95+K98+K101</f>
        <v>0</v>
      </c>
      <c r="L104" s="1">
        <f t="shared" si="12"/>
        <v>0</v>
      </c>
      <c r="M104" s="5">
        <f t="shared" si="8"/>
        <v>0</v>
      </c>
      <c r="N104" s="28" t="e">
        <f t="shared" si="9"/>
        <v>#DIV/0!</v>
      </c>
      <c r="O104" s="1">
        <f t="shared" si="13"/>
        <v>0</v>
      </c>
      <c r="P104" s="1">
        <f t="shared" si="13"/>
        <v>0</v>
      </c>
      <c r="Q104" s="1">
        <f t="shared" si="13"/>
        <v>0</v>
      </c>
      <c r="R104" s="1">
        <f t="shared" si="13"/>
        <v>0</v>
      </c>
      <c r="S104" s="1">
        <f t="shared" si="13"/>
        <v>0</v>
      </c>
      <c r="T104" s="37">
        <f t="shared" si="6"/>
        <v>0</v>
      </c>
      <c r="U104" s="28" t="e">
        <f t="shared" si="10"/>
        <v>#DIV/0!</v>
      </c>
      <c r="V104" s="59">
        <f t="shared" si="11"/>
        <v>0</v>
      </c>
    </row>
    <row r="105" spans="1:22" ht="21.75" customHeight="1">
      <c r="A105" s="87"/>
      <c r="B105" s="1" t="s">
        <v>14</v>
      </c>
      <c r="C105" s="37">
        <f t="shared" si="14"/>
        <v>0</v>
      </c>
      <c r="D105" s="37">
        <f t="shared" si="14"/>
        <v>0</v>
      </c>
      <c r="E105" s="4">
        <f t="shared" si="15"/>
        <v>0</v>
      </c>
      <c r="F105" s="1">
        <f t="shared" si="12"/>
        <v>0</v>
      </c>
      <c r="G105" s="1">
        <f t="shared" si="12"/>
        <v>0</v>
      </c>
      <c r="H105" s="1">
        <f t="shared" ref="H105" si="18">H12+H15+H18+H21+H24+H27+H30+H33+H36+H39+H42+H45+H48+H51+H54+H57+H60+H63+H66+H69+H72+H75+H78+H81+H84+H87+H90+H93+H96+H99+H102</f>
        <v>0</v>
      </c>
      <c r="I105" s="1">
        <f t="shared" si="12"/>
        <v>0</v>
      </c>
      <c r="J105" s="1">
        <f t="shared" si="12"/>
        <v>0</v>
      </c>
      <c r="K105" s="1">
        <f t="shared" ref="K105" si="19">K12+K15+K18+K21+K24+K27+K30+K33+K36+K39+K42+K45+K48+K51+K54+K57+K60+K63+K66+K69+K72+K75+K78+K81+K84+K87+K90+K93+K96+K99+K102</f>
        <v>0</v>
      </c>
      <c r="L105" s="1">
        <f t="shared" si="12"/>
        <v>0</v>
      </c>
      <c r="M105" s="5">
        <f t="shared" si="8"/>
        <v>0</v>
      </c>
      <c r="N105" s="28" t="e">
        <f t="shared" si="9"/>
        <v>#DIV/0!</v>
      </c>
      <c r="O105" s="1">
        <f t="shared" si="13"/>
        <v>0</v>
      </c>
      <c r="P105" s="1">
        <f t="shared" si="13"/>
        <v>0</v>
      </c>
      <c r="Q105" s="1">
        <f t="shared" si="13"/>
        <v>0</v>
      </c>
      <c r="R105" s="1">
        <f t="shared" si="13"/>
        <v>0</v>
      </c>
      <c r="S105" s="1">
        <f t="shared" si="13"/>
        <v>0</v>
      </c>
      <c r="T105" s="37">
        <f t="shared" si="6"/>
        <v>0</v>
      </c>
      <c r="U105" s="28" t="e">
        <f t="shared" si="10"/>
        <v>#DIV/0!</v>
      </c>
      <c r="V105" s="59">
        <f t="shared" si="11"/>
        <v>0</v>
      </c>
    </row>
    <row r="106" spans="1:22" ht="21.75" customHeight="1">
      <c r="A106" s="7" t="s">
        <v>42</v>
      </c>
      <c r="B106" s="7"/>
      <c r="C106" s="42">
        <f>SUM(C103:C105)/3</f>
        <v>0</v>
      </c>
      <c r="D106" s="42">
        <f>SUM(D103:D105)/3</f>
        <v>0</v>
      </c>
      <c r="E106" s="25"/>
      <c r="F106" s="42">
        <f>SUM(F103:F105)</f>
        <v>0</v>
      </c>
      <c r="G106" s="42">
        <f t="shared" ref="G106:L106" si="20">SUM(G103:G105)</f>
        <v>0</v>
      </c>
      <c r="H106" s="42">
        <f t="shared" si="20"/>
        <v>0</v>
      </c>
      <c r="I106" s="42">
        <f t="shared" si="20"/>
        <v>0</v>
      </c>
      <c r="J106" s="42">
        <f t="shared" si="20"/>
        <v>0</v>
      </c>
      <c r="K106" s="42">
        <f t="shared" si="20"/>
        <v>0</v>
      </c>
      <c r="L106" s="42">
        <f t="shared" si="20"/>
        <v>0</v>
      </c>
      <c r="M106" s="5">
        <f t="shared" si="8"/>
        <v>0</v>
      </c>
      <c r="N106" s="25"/>
      <c r="O106" s="25">
        <f>SUM(O103:O105)/3</f>
        <v>0</v>
      </c>
      <c r="P106" s="25">
        <f>SUM(P103:P105)/3</f>
        <v>0</v>
      </c>
      <c r="Q106" s="25">
        <f t="shared" ref="Q106:S106" si="21">SUM(Q103:Q105)/3</f>
        <v>0</v>
      </c>
      <c r="R106" s="25">
        <f t="shared" si="21"/>
        <v>0</v>
      </c>
      <c r="S106" s="25">
        <f t="shared" si="21"/>
        <v>0</v>
      </c>
      <c r="T106" s="37">
        <f t="shared" si="6"/>
        <v>0</v>
      </c>
      <c r="U106" s="28" t="e">
        <f t="shared" si="10"/>
        <v>#DIV/0!</v>
      </c>
      <c r="V106" s="59">
        <f t="shared" si="11"/>
        <v>0</v>
      </c>
    </row>
  </sheetData>
  <mergeCells count="77">
    <mergeCell ref="O7:S7"/>
    <mergeCell ref="T7:T9"/>
    <mergeCell ref="O8:O9"/>
    <mergeCell ref="Q4:R4"/>
    <mergeCell ref="F5:L5"/>
    <mergeCell ref="O5:P5"/>
    <mergeCell ref="Q5:R5"/>
    <mergeCell ref="O6:Q6"/>
    <mergeCell ref="R6:S6"/>
    <mergeCell ref="P8:P9"/>
    <mergeCell ref="I4:L4"/>
    <mergeCell ref="E4:H4"/>
    <mergeCell ref="F6:H6"/>
    <mergeCell ref="A1:N1"/>
    <mergeCell ref="A2:N2"/>
    <mergeCell ref="M3:N3"/>
    <mergeCell ref="O3:P3"/>
    <mergeCell ref="Q3:R3"/>
    <mergeCell ref="I3:L3"/>
    <mergeCell ref="E3:H3"/>
    <mergeCell ref="C5:D5"/>
    <mergeCell ref="C6:D6"/>
    <mergeCell ref="N7:N9"/>
    <mergeCell ref="E7:E9"/>
    <mergeCell ref="I6:K6"/>
    <mergeCell ref="F7:K7"/>
    <mergeCell ref="I8:K8"/>
    <mergeCell ref="F8:H8"/>
    <mergeCell ref="A97:A99"/>
    <mergeCell ref="A100:A102"/>
    <mergeCell ref="A103:A105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91:A93"/>
    <mergeCell ref="A94:A96"/>
    <mergeCell ref="A49:A51"/>
    <mergeCell ref="A52:A54"/>
    <mergeCell ref="A55:A57"/>
    <mergeCell ref="A58:A60"/>
    <mergeCell ref="A61:A63"/>
    <mergeCell ref="A37:A39"/>
    <mergeCell ref="A40:A42"/>
    <mergeCell ref="A43:A45"/>
    <mergeCell ref="A46:A48"/>
    <mergeCell ref="A7:A9"/>
    <mergeCell ref="A10:A12"/>
    <mergeCell ref="A28:A30"/>
    <mergeCell ref="A31:A33"/>
    <mergeCell ref="A34:A36"/>
    <mergeCell ref="A13:A15"/>
    <mergeCell ref="A16:A18"/>
    <mergeCell ref="A19:A21"/>
    <mergeCell ref="A22:A24"/>
    <mergeCell ref="A25:A27"/>
    <mergeCell ref="U7:U9"/>
    <mergeCell ref="L7:L9"/>
    <mergeCell ref="M7:M9"/>
    <mergeCell ref="A3:A4"/>
    <mergeCell ref="B3:B4"/>
    <mergeCell ref="C3:C4"/>
    <mergeCell ref="Q8:Q9"/>
    <mergeCell ref="R8:R9"/>
    <mergeCell ref="S8:S9"/>
    <mergeCell ref="M4:N4"/>
    <mergeCell ref="O4:P4"/>
    <mergeCell ref="B7:B9"/>
    <mergeCell ref="C7:C9"/>
    <mergeCell ref="D7:D9"/>
    <mergeCell ref="A5:B5"/>
    <mergeCell ref="A6:B6"/>
  </mergeCell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106"/>
  <sheetViews>
    <sheetView zoomScale="85" zoomScaleNormal="85" workbookViewId="0">
      <pane xSplit="2" ySplit="9" topLeftCell="C95" activePane="bottomRight" state="frozen"/>
      <selection pane="topRight" activeCell="C1" sqref="C1"/>
      <selection pane="bottomLeft" activeCell="A10" sqref="A10"/>
      <selection pane="bottomRight" activeCell="M106" sqref="M106"/>
    </sheetView>
  </sheetViews>
  <sheetFormatPr defaultColWidth="9" defaultRowHeight="21.75" customHeight="1"/>
  <cols>
    <col min="1" max="1" width="10.33203125" style="2" customWidth="1"/>
    <col min="2" max="2" width="4.109375" style="2" customWidth="1"/>
    <col min="3" max="3" width="7.88671875" style="2" customWidth="1"/>
    <col min="4" max="4" width="9" style="2" customWidth="1"/>
    <col min="5" max="5" width="8" style="2" customWidth="1"/>
    <col min="6" max="6" width="7.77734375" style="2" customWidth="1"/>
    <col min="7" max="8" width="6" style="2" customWidth="1"/>
    <col min="9" max="9" width="5.33203125" style="2" bestFit="1" customWidth="1"/>
    <col min="10" max="11" width="6.33203125" style="2" customWidth="1"/>
    <col min="12" max="12" width="6" style="2" customWidth="1"/>
    <col min="13" max="13" width="6.88671875" style="2" bestFit="1" customWidth="1"/>
    <col min="14" max="14" width="7.88671875" style="2" bestFit="1" customWidth="1"/>
    <col min="15" max="15" width="5.33203125" style="2" bestFit="1" customWidth="1"/>
    <col min="16" max="17" width="6.33203125" style="2" bestFit="1" customWidth="1"/>
    <col min="18" max="18" width="5" style="2" customWidth="1"/>
    <col min="19" max="19" width="7.21875" style="2" customWidth="1"/>
    <col min="20" max="20" width="6.88671875" style="2" customWidth="1"/>
    <col min="21" max="21" width="6.77734375" style="2" customWidth="1"/>
    <col min="22" max="22" width="4.109375" style="2" bestFit="1" customWidth="1"/>
    <col min="23" max="16384" width="9" style="2"/>
  </cols>
  <sheetData>
    <row r="1" spans="1:22" ht="21.75" customHeight="1">
      <c r="A1" s="90" t="s">
        <v>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</row>
    <row r="2" spans="1:22" ht="21.75" customHeight="1">
      <c r="A2" s="90" t="s">
        <v>65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</row>
    <row r="3" spans="1:22" ht="21.75" customHeight="1">
      <c r="A3" s="91" t="s">
        <v>10</v>
      </c>
      <c r="B3" s="92">
        <v>4.5</v>
      </c>
      <c r="C3" s="93" t="s">
        <v>11</v>
      </c>
      <c r="D3" s="38"/>
      <c r="E3" s="116" t="s">
        <v>12</v>
      </c>
      <c r="F3" s="95"/>
      <c r="G3" s="95"/>
      <c r="H3" s="96"/>
      <c r="I3" s="93" t="s">
        <v>13</v>
      </c>
      <c r="J3" s="93"/>
      <c r="K3" s="93"/>
      <c r="L3" s="93"/>
      <c r="M3" s="95" t="s">
        <v>14</v>
      </c>
      <c r="N3" s="96"/>
      <c r="O3" s="113" t="s">
        <v>15</v>
      </c>
      <c r="P3" s="113"/>
      <c r="Q3" s="115">
        <f>((F103+F105)*240)+((G103+G105)*180)</f>
        <v>0</v>
      </c>
      <c r="R3" s="115"/>
      <c r="S3" s="7" t="s">
        <v>16</v>
      </c>
    </row>
    <row r="4" spans="1:22" ht="21.75" customHeight="1">
      <c r="A4" s="91"/>
      <c r="B4" s="92"/>
      <c r="C4" s="93"/>
      <c r="D4" s="38"/>
      <c r="E4" s="114">
        <v>0.25</v>
      </c>
      <c r="F4" s="97"/>
      <c r="G4" s="97"/>
      <c r="H4" s="98"/>
      <c r="I4" s="94">
        <v>0.4</v>
      </c>
      <c r="J4" s="94"/>
      <c r="K4" s="94"/>
      <c r="L4" s="94"/>
      <c r="M4" s="97">
        <v>0.35</v>
      </c>
      <c r="N4" s="98"/>
      <c r="O4" s="113" t="s">
        <v>17</v>
      </c>
      <c r="P4" s="113"/>
      <c r="Q4" s="115">
        <f>((I103+L103+I104+L104+I105+L105)*660)+((J103+J105+J104)*530)</f>
        <v>0</v>
      </c>
      <c r="R4" s="115"/>
      <c r="S4" s="7" t="s">
        <v>16</v>
      </c>
    </row>
    <row r="5" spans="1:22" ht="21.75" customHeight="1">
      <c r="A5" s="99" t="s">
        <v>18</v>
      </c>
      <c r="B5" s="99"/>
      <c r="C5" s="103">
        <v>0</v>
      </c>
      <c r="D5" s="104"/>
      <c r="E5" s="35" t="s">
        <v>19</v>
      </c>
      <c r="F5" s="114" t="s">
        <v>20</v>
      </c>
      <c r="G5" s="97"/>
      <c r="H5" s="97"/>
      <c r="I5" s="97"/>
      <c r="J5" s="97"/>
      <c r="K5" s="97"/>
      <c r="L5" s="97"/>
      <c r="M5" s="6">
        <v>0</v>
      </c>
      <c r="N5" s="34" t="s">
        <v>21</v>
      </c>
      <c r="O5" s="113"/>
      <c r="P5" s="113"/>
      <c r="Q5" s="115"/>
      <c r="R5" s="115"/>
      <c r="S5" s="7"/>
    </row>
    <row r="6" spans="1:22" ht="21.75" customHeight="1">
      <c r="A6" s="99" t="s">
        <v>23</v>
      </c>
      <c r="B6" s="99"/>
      <c r="C6" s="105" t="e">
        <f>((C106*12)/(M5*7)+((D106*12)/(M5*7)))</f>
        <v>#DIV/0!</v>
      </c>
      <c r="D6" s="106"/>
      <c r="E6" s="35" t="s">
        <v>19</v>
      </c>
      <c r="F6" s="80" t="s">
        <v>24</v>
      </c>
      <c r="G6" s="81"/>
      <c r="H6" s="82"/>
      <c r="I6" s="77" t="e">
        <f>C5-C6</f>
        <v>#DIV/0!</v>
      </c>
      <c r="J6" s="78"/>
      <c r="K6" s="79"/>
      <c r="L6" s="39" t="s">
        <v>19</v>
      </c>
      <c r="M6" s="36" t="s">
        <v>25</v>
      </c>
      <c r="N6" s="27" t="e">
        <f>((((C106*4.5)+(D106*12))/((F106+G106+H106+I106+J106+K106+L106)*7)))*100</f>
        <v>#DIV/0!</v>
      </c>
      <c r="O6" s="71" t="s">
        <v>26</v>
      </c>
      <c r="P6" s="71"/>
      <c r="Q6" s="71"/>
      <c r="R6" s="72" t="e">
        <f>U106</f>
        <v>#DIV/0!</v>
      </c>
      <c r="S6" s="73"/>
    </row>
    <row r="7" spans="1:22" ht="21.75" customHeight="1">
      <c r="A7" s="65" t="s">
        <v>27</v>
      </c>
      <c r="B7" s="65" t="s">
        <v>28</v>
      </c>
      <c r="C7" s="100" t="s">
        <v>77</v>
      </c>
      <c r="D7" s="100" t="s">
        <v>78</v>
      </c>
      <c r="E7" s="65" t="s">
        <v>30</v>
      </c>
      <c r="F7" s="74" t="s">
        <v>31</v>
      </c>
      <c r="G7" s="75"/>
      <c r="H7" s="75"/>
      <c r="I7" s="75"/>
      <c r="J7" s="75"/>
      <c r="K7" s="76"/>
      <c r="L7" s="65" t="s">
        <v>32</v>
      </c>
      <c r="M7" s="65" t="s">
        <v>33</v>
      </c>
      <c r="N7" s="68" t="s">
        <v>25</v>
      </c>
      <c r="O7" s="87" t="s">
        <v>34</v>
      </c>
      <c r="P7" s="87"/>
      <c r="Q7" s="87"/>
      <c r="R7" s="87"/>
      <c r="S7" s="87"/>
      <c r="T7" s="83" t="s">
        <v>35</v>
      </c>
      <c r="U7" s="85" t="s">
        <v>26</v>
      </c>
    </row>
    <row r="8" spans="1:22" ht="21.75" customHeight="1">
      <c r="A8" s="66"/>
      <c r="B8" s="66"/>
      <c r="C8" s="101"/>
      <c r="D8" s="101"/>
      <c r="E8" s="66"/>
      <c r="F8" s="129" t="s">
        <v>37</v>
      </c>
      <c r="G8" s="129"/>
      <c r="H8" s="129"/>
      <c r="I8" s="123" t="s">
        <v>38</v>
      </c>
      <c r="J8" s="123"/>
      <c r="K8" s="123"/>
      <c r="L8" s="66"/>
      <c r="M8" s="66"/>
      <c r="N8" s="69"/>
      <c r="O8" s="88">
        <v>1</v>
      </c>
      <c r="P8" s="88">
        <v>2</v>
      </c>
      <c r="Q8" s="88">
        <v>3</v>
      </c>
      <c r="R8" s="88">
        <v>4</v>
      </c>
      <c r="S8" s="88">
        <v>5</v>
      </c>
      <c r="T8" s="83"/>
      <c r="U8" s="85"/>
    </row>
    <row r="9" spans="1:22" ht="21.75" customHeight="1">
      <c r="A9" s="67"/>
      <c r="B9" s="67"/>
      <c r="C9" s="102"/>
      <c r="D9" s="102"/>
      <c r="E9" s="67"/>
      <c r="F9" s="24" t="s">
        <v>39</v>
      </c>
      <c r="G9" s="24" t="s">
        <v>40</v>
      </c>
      <c r="H9" s="24" t="s">
        <v>76</v>
      </c>
      <c r="I9" s="57" t="s">
        <v>39</v>
      </c>
      <c r="J9" s="57" t="s">
        <v>40</v>
      </c>
      <c r="K9" s="57" t="s">
        <v>76</v>
      </c>
      <c r="L9" s="67"/>
      <c r="M9" s="67"/>
      <c r="N9" s="70"/>
      <c r="O9" s="89"/>
      <c r="P9" s="89"/>
      <c r="Q9" s="89"/>
      <c r="R9" s="89"/>
      <c r="S9" s="89"/>
      <c r="T9" s="84"/>
      <c r="U9" s="86"/>
    </row>
    <row r="10" spans="1:22" ht="21.75" customHeight="1">
      <c r="A10" s="87">
        <v>1</v>
      </c>
      <c r="B10" s="7" t="s">
        <v>12</v>
      </c>
      <c r="C10" s="3"/>
      <c r="D10" s="3"/>
      <c r="E10" s="4">
        <f>((($B$3*C10)+(12*D10))*$E$4)/7</f>
        <v>0</v>
      </c>
      <c r="F10" s="3"/>
      <c r="G10" s="3"/>
      <c r="H10" s="3"/>
      <c r="I10" s="3"/>
      <c r="J10" s="3"/>
      <c r="K10" s="3"/>
      <c r="L10" s="3"/>
      <c r="M10" s="5">
        <f>(F10+G10+H10+L10)-E10</f>
        <v>0</v>
      </c>
      <c r="N10" s="28" t="e">
        <f>(((C10*4.5)+(12*D10))*$E$4)/((F10+G10+H10+I10+J10+K10+L10)*7)*100</f>
        <v>#DIV/0!</v>
      </c>
      <c r="O10" s="7"/>
      <c r="P10" s="7"/>
      <c r="Q10" s="7"/>
      <c r="R10" s="7"/>
      <c r="S10" s="3"/>
      <c r="T10" s="37">
        <f t="shared" ref="T10:T73" si="0">SUM(O10:S10)</f>
        <v>0</v>
      </c>
      <c r="U10" s="28" t="e">
        <f>((((O10*1.5+(P10*3.5)+(Q10*5.5)+(R10*7.5)+(S10*12)))/3)/((F10+G10+H10+I10+J10+K10+L10)*7))*100</f>
        <v>#DIV/0!</v>
      </c>
      <c r="V10" s="59">
        <f>C10+D10-T10</f>
        <v>0</v>
      </c>
    </row>
    <row r="11" spans="1:22" ht="21.75" customHeight="1">
      <c r="A11" s="87"/>
      <c r="B11" s="7" t="s">
        <v>13</v>
      </c>
      <c r="C11" s="3"/>
      <c r="D11" s="3"/>
      <c r="E11" s="4">
        <f t="shared" ref="E11:E74" si="1">((($B$3*C11)+(12*D11))*$E$4)/7</f>
        <v>0</v>
      </c>
      <c r="F11" s="3"/>
      <c r="G11" s="3"/>
      <c r="H11" s="3"/>
      <c r="I11" s="3"/>
      <c r="J11" s="3"/>
      <c r="K11" s="3"/>
      <c r="L11" s="3"/>
      <c r="M11" s="5">
        <f t="shared" ref="M11:M74" si="2">(F11+G11+H11+L11)-E11</f>
        <v>0</v>
      </c>
      <c r="N11" s="28" t="e">
        <f t="shared" ref="N11:N74" si="3">(((C11*4.5)+(12*D11))*$E$4)/((F11+G11+H11+I11+J11+K11+L11)*7)*100</f>
        <v>#DIV/0!</v>
      </c>
      <c r="O11" s="7"/>
      <c r="P11" s="7"/>
      <c r="Q11" s="7"/>
      <c r="R11" s="7"/>
      <c r="S11" s="3"/>
      <c r="T11" s="37">
        <f t="shared" si="0"/>
        <v>0</v>
      </c>
      <c r="U11" s="28" t="e">
        <f t="shared" ref="U11:U74" si="4">((((O11*1.5+(P11*3.5)+(Q11*5.5)+(R11*7.5)+(S11*12)))/3)/((F11+G11+H11+I11+J11+K11+L11)*7))*100</f>
        <v>#DIV/0!</v>
      </c>
      <c r="V11" s="59">
        <f t="shared" ref="V11:V74" si="5">C11+D11-T11</f>
        <v>0</v>
      </c>
    </row>
    <row r="12" spans="1:22" ht="21.75" customHeight="1">
      <c r="A12" s="87"/>
      <c r="B12" s="7" t="s">
        <v>14</v>
      </c>
      <c r="C12" s="3"/>
      <c r="D12" s="3"/>
      <c r="E12" s="4">
        <f t="shared" si="1"/>
        <v>0</v>
      </c>
      <c r="F12" s="3"/>
      <c r="G12" s="3"/>
      <c r="H12" s="3"/>
      <c r="I12" s="3"/>
      <c r="J12" s="3"/>
      <c r="K12" s="3"/>
      <c r="L12" s="3"/>
      <c r="M12" s="5">
        <f t="shared" si="2"/>
        <v>0</v>
      </c>
      <c r="N12" s="28" t="e">
        <f t="shared" si="3"/>
        <v>#DIV/0!</v>
      </c>
      <c r="O12" s="7"/>
      <c r="P12" s="7"/>
      <c r="Q12" s="7"/>
      <c r="R12" s="7"/>
      <c r="S12" s="3"/>
      <c r="T12" s="37">
        <f t="shared" si="0"/>
        <v>0</v>
      </c>
      <c r="U12" s="28" t="e">
        <f t="shared" si="4"/>
        <v>#DIV/0!</v>
      </c>
      <c r="V12" s="59">
        <f t="shared" si="5"/>
        <v>0</v>
      </c>
    </row>
    <row r="13" spans="1:22" ht="21.75" customHeight="1">
      <c r="A13" s="87">
        <v>2</v>
      </c>
      <c r="B13" s="7" t="s">
        <v>12</v>
      </c>
      <c r="C13" s="3"/>
      <c r="D13" s="3"/>
      <c r="E13" s="4">
        <f t="shared" si="1"/>
        <v>0</v>
      </c>
      <c r="F13" s="3"/>
      <c r="G13" s="3"/>
      <c r="H13" s="3"/>
      <c r="I13" s="3"/>
      <c r="J13" s="3"/>
      <c r="K13" s="3"/>
      <c r="L13" s="3"/>
      <c r="M13" s="5">
        <f t="shared" si="2"/>
        <v>0</v>
      </c>
      <c r="N13" s="28" t="e">
        <f t="shared" si="3"/>
        <v>#DIV/0!</v>
      </c>
      <c r="O13" s="7"/>
      <c r="P13" s="7"/>
      <c r="Q13" s="7"/>
      <c r="R13" s="7"/>
      <c r="S13" s="3"/>
      <c r="T13" s="37">
        <f t="shared" si="0"/>
        <v>0</v>
      </c>
      <c r="U13" s="28" t="e">
        <f t="shared" si="4"/>
        <v>#DIV/0!</v>
      </c>
      <c r="V13" s="59">
        <f t="shared" si="5"/>
        <v>0</v>
      </c>
    </row>
    <row r="14" spans="1:22" ht="21.75" customHeight="1">
      <c r="A14" s="87"/>
      <c r="B14" s="7" t="s">
        <v>13</v>
      </c>
      <c r="C14" s="3"/>
      <c r="D14" s="3"/>
      <c r="E14" s="4">
        <f t="shared" si="1"/>
        <v>0</v>
      </c>
      <c r="F14" s="3"/>
      <c r="G14" s="3"/>
      <c r="H14" s="3"/>
      <c r="I14" s="3"/>
      <c r="J14" s="3"/>
      <c r="K14" s="3"/>
      <c r="L14" s="3"/>
      <c r="M14" s="5">
        <f t="shared" si="2"/>
        <v>0</v>
      </c>
      <c r="N14" s="28" t="e">
        <f t="shared" si="3"/>
        <v>#DIV/0!</v>
      </c>
      <c r="O14" s="7"/>
      <c r="P14" s="7"/>
      <c r="Q14" s="7"/>
      <c r="R14" s="7"/>
      <c r="S14" s="3"/>
      <c r="T14" s="37">
        <f t="shared" si="0"/>
        <v>0</v>
      </c>
      <c r="U14" s="28" t="e">
        <f t="shared" si="4"/>
        <v>#DIV/0!</v>
      </c>
      <c r="V14" s="59">
        <f t="shared" si="5"/>
        <v>0</v>
      </c>
    </row>
    <row r="15" spans="1:22" ht="21.75" customHeight="1">
      <c r="A15" s="87"/>
      <c r="B15" s="7" t="s">
        <v>14</v>
      </c>
      <c r="C15" s="3"/>
      <c r="D15" s="3"/>
      <c r="E15" s="4">
        <f t="shared" si="1"/>
        <v>0</v>
      </c>
      <c r="F15" s="3"/>
      <c r="G15" s="3"/>
      <c r="H15" s="3"/>
      <c r="I15" s="3"/>
      <c r="J15" s="3"/>
      <c r="K15" s="3"/>
      <c r="L15" s="3"/>
      <c r="M15" s="5">
        <f t="shared" si="2"/>
        <v>0</v>
      </c>
      <c r="N15" s="28" t="e">
        <f t="shared" si="3"/>
        <v>#DIV/0!</v>
      </c>
      <c r="O15" s="7"/>
      <c r="P15" s="7"/>
      <c r="Q15" s="7"/>
      <c r="R15" s="7"/>
      <c r="S15" s="3"/>
      <c r="T15" s="37">
        <f t="shared" si="0"/>
        <v>0</v>
      </c>
      <c r="U15" s="28" t="e">
        <f t="shared" si="4"/>
        <v>#DIV/0!</v>
      </c>
      <c r="V15" s="59">
        <f t="shared" si="5"/>
        <v>0</v>
      </c>
    </row>
    <row r="16" spans="1:22" ht="21.75" customHeight="1">
      <c r="A16" s="87">
        <v>3</v>
      </c>
      <c r="B16" s="7" t="s">
        <v>12</v>
      </c>
      <c r="C16" s="3"/>
      <c r="D16" s="3"/>
      <c r="E16" s="4">
        <f t="shared" si="1"/>
        <v>0</v>
      </c>
      <c r="F16" s="3"/>
      <c r="G16" s="3"/>
      <c r="H16" s="3"/>
      <c r="I16" s="3"/>
      <c r="J16" s="3"/>
      <c r="K16" s="3"/>
      <c r="L16" s="3"/>
      <c r="M16" s="5">
        <f t="shared" si="2"/>
        <v>0</v>
      </c>
      <c r="N16" s="28" t="e">
        <f t="shared" si="3"/>
        <v>#DIV/0!</v>
      </c>
      <c r="O16" s="7"/>
      <c r="P16" s="7"/>
      <c r="Q16" s="7"/>
      <c r="R16" s="7"/>
      <c r="S16" s="3"/>
      <c r="T16" s="37">
        <f t="shared" si="0"/>
        <v>0</v>
      </c>
      <c r="U16" s="28" t="e">
        <f t="shared" si="4"/>
        <v>#DIV/0!</v>
      </c>
      <c r="V16" s="59">
        <f t="shared" si="5"/>
        <v>0</v>
      </c>
    </row>
    <row r="17" spans="1:22" ht="21.75" customHeight="1">
      <c r="A17" s="87"/>
      <c r="B17" s="7" t="s">
        <v>13</v>
      </c>
      <c r="C17" s="3"/>
      <c r="D17" s="3"/>
      <c r="E17" s="4">
        <f t="shared" si="1"/>
        <v>0</v>
      </c>
      <c r="F17" s="3"/>
      <c r="G17" s="3"/>
      <c r="H17" s="3"/>
      <c r="I17" s="3"/>
      <c r="J17" s="3"/>
      <c r="K17" s="3"/>
      <c r="L17" s="3"/>
      <c r="M17" s="5">
        <f t="shared" si="2"/>
        <v>0</v>
      </c>
      <c r="N17" s="28" t="e">
        <f t="shared" si="3"/>
        <v>#DIV/0!</v>
      </c>
      <c r="O17" s="7"/>
      <c r="P17" s="7"/>
      <c r="Q17" s="7"/>
      <c r="R17" s="7"/>
      <c r="S17" s="3"/>
      <c r="T17" s="37">
        <f t="shared" si="0"/>
        <v>0</v>
      </c>
      <c r="U17" s="28" t="e">
        <f t="shared" si="4"/>
        <v>#DIV/0!</v>
      </c>
      <c r="V17" s="59">
        <f t="shared" si="5"/>
        <v>0</v>
      </c>
    </row>
    <row r="18" spans="1:22" ht="21.75" customHeight="1">
      <c r="A18" s="87"/>
      <c r="B18" s="7" t="s">
        <v>14</v>
      </c>
      <c r="C18" s="3"/>
      <c r="D18" s="3"/>
      <c r="E18" s="4">
        <f t="shared" si="1"/>
        <v>0</v>
      </c>
      <c r="F18" s="3"/>
      <c r="G18" s="3"/>
      <c r="H18" s="3"/>
      <c r="I18" s="3"/>
      <c r="J18" s="3"/>
      <c r="K18" s="3"/>
      <c r="L18" s="3"/>
      <c r="M18" s="5">
        <f t="shared" si="2"/>
        <v>0</v>
      </c>
      <c r="N18" s="28" t="e">
        <f t="shared" si="3"/>
        <v>#DIV/0!</v>
      </c>
      <c r="O18" s="7"/>
      <c r="P18" s="7"/>
      <c r="Q18" s="7"/>
      <c r="R18" s="7"/>
      <c r="S18" s="3"/>
      <c r="T18" s="37">
        <f t="shared" si="0"/>
        <v>0</v>
      </c>
      <c r="U18" s="28" t="e">
        <f t="shared" si="4"/>
        <v>#DIV/0!</v>
      </c>
      <c r="V18" s="59">
        <f t="shared" si="5"/>
        <v>0</v>
      </c>
    </row>
    <row r="19" spans="1:22" ht="21.75" customHeight="1">
      <c r="A19" s="87">
        <v>4</v>
      </c>
      <c r="B19" s="7" t="s">
        <v>12</v>
      </c>
      <c r="C19" s="3"/>
      <c r="D19" s="3"/>
      <c r="E19" s="4">
        <f t="shared" si="1"/>
        <v>0</v>
      </c>
      <c r="F19" s="3"/>
      <c r="G19" s="3"/>
      <c r="H19" s="3"/>
      <c r="I19" s="3"/>
      <c r="J19" s="3"/>
      <c r="K19" s="3"/>
      <c r="L19" s="3"/>
      <c r="M19" s="5">
        <f t="shared" si="2"/>
        <v>0</v>
      </c>
      <c r="N19" s="28" t="e">
        <f t="shared" si="3"/>
        <v>#DIV/0!</v>
      </c>
      <c r="O19" s="7"/>
      <c r="P19" s="7"/>
      <c r="Q19" s="7"/>
      <c r="R19" s="7"/>
      <c r="S19" s="3"/>
      <c r="T19" s="37">
        <f t="shared" si="0"/>
        <v>0</v>
      </c>
      <c r="U19" s="28" t="e">
        <f t="shared" si="4"/>
        <v>#DIV/0!</v>
      </c>
      <c r="V19" s="59">
        <f t="shared" si="5"/>
        <v>0</v>
      </c>
    </row>
    <row r="20" spans="1:22" ht="21.75" customHeight="1">
      <c r="A20" s="87"/>
      <c r="B20" s="7" t="s">
        <v>13</v>
      </c>
      <c r="C20" s="3"/>
      <c r="D20" s="3"/>
      <c r="E20" s="4">
        <f t="shared" si="1"/>
        <v>0</v>
      </c>
      <c r="F20" s="3"/>
      <c r="G20" s="3"/>
      <c r="H20" s="3"/>
      <c r="I20" s="3"/>
      <c r="J20" s="3"/>
      <c r="K20" s="3"/>
      <c r="L20" s="3"/>
      <c r="M20" s="5">
        <f t="shared" si="2"/>
        <v>0</v>
      </c>
      <c r="N20" s="28" t="e">
        <f t="shared" si="3"/>
        <v>#DIV/0!</v>
      </c>
      <c r="O20" s="7"/>
      <c r="P20" s="7"/>
      <c r="Q20" s="7"/>
      <c r="R20" s="7"/>
      <c r="S20" s="3"/>
      <c r="T20" s="37">
        <f t="shared" si="0"/>
        <v>0</v>
      </c>
      <c r="U20" s="28" t="e">
        <f t="shared" si="4"/>
        <v>#DIV/0!</v>
      </c>
      <c r="V20" s="59">
        <f t="shared" si="5"/>
        <v>0</v>
      </c>
    </row>
    <row r="21" spans="1:22" ht="21.75" customHeight="1">
      <c r="A21" s="87"/>
      <c r="B21" s="7" t="s">
        <v>14</v>
      </c>
      <c r="C21" s="3"/>
      <c r="D21" s="3"/>
      <c r="E21" s="4">
        <f t="shared" si="1"/>
        <v>0</v>
      </c>
      <c r="F21" s="3"/>
      <c r="G21" s="3"/>
      <c r="H21" s="3"/>
      <c r="I21" s="3"/>
      <c r="J21" s="3"/>
      <c r="K21" s="3"/>
      <c r="L21" s="3"/>
      <c r="M21" s="5">
        <f t="shared" si="2"/>
        <v>0</v>
      </c>
      <c r="N21" s="28" t="e">
        <f t="shared" si="3"/>
        <v>#DIV/0!</v>
      </c>
      <c r="O21" s="7"/>
      <c r="P21" s="7"/>
      <c r="Q21" s="7"/>
      <c r="R21" s="7"/>
      <c r="S21" s="3"/>
      <c r="T21" s="37">
        <f t="shared" si="0"/>
        <v>0</v>
      </c>
      <c r="U21" s="28" t="e">
        <f t="shared" si="4"/>
        <v>#DIV/0!</v>
      </c>
      <c r="V21" s="59">
        <f t="shared" si="5"/>
        <v>0</v>
      </c>
    </row>
    <row r="22" spans="1:22" ht="21.75" customHeight="1">
      <c r="A22" s="87">
        <v>5</v>
      </c>
      <c r="B22" s="7" t="s">
        <v>12</v>
      </c>
      <c r="C22" s="3"/>
      <c r="D22" s="3"/>
      <c r="E22" s="4">
        <f t="shared" si="1"/>
        <v>0</v>
      </c>
      <c r="F22" s="3"/>
      <c r="G22" s="3"/>
      <c r="H22" s="3"/>
      <c r="I22" s="3"/>
      <c r="J22" s="3"/>
      <c r="K22" s="3"/>
      <c r="L22" s="3"/>
      <c r="M22" s="5">
        <f t="shared" si="2"/>
        <v>0</v>
      </c>
      <c r="N22" s="28" t="e">
        <f t="shared" si="3"/>
        <v>#DIV/0!</v>
      </c>
      <c r="O22" s="7"/>
      <c r="P22" s="7"/>
      <c r="Q22" s="7"/>
      <c r="R22" s="7"/>
      <c r="S22" s="3"/>
      <c r="T22" s="37">
        <f t="shared" si="0"/>
        <v>0</v>
      </c>
      <c r="U22" s="28" t="e">
        <f t="shared" si="4"/>
        <v>#DIV/0!</v>
      </c>
      <c r="V22" s="59">
        <f t="shared" si="5"/>
        <v>0</v>
      </c>
    </row>
    <row r="23" spans="1:22" ht="21.75" customHeight="1">
      <c r="A23" s="87"/>
      <c r="B23" s="7" t="s">
        <v>13</v>
      </c>
      <c r="C23" s="3"/>
      <c r="D23" s="3"/>
      <c r="E23" s="4">
        <f t="shared" si="1"/>
        <v>0</v>
      </c>
      <c r="F23" s="3"/>
      <c r="G23" s="3"/>
      <c r="H23" s="3"/>
      <c r="I23" s="3"/>
      <c r="J23" s="3"/>
      <c r="K23" s="3"/>
      <c r="L23" s="3"/>
      <c r="M23" s="5">
        <f t="shared" si="2"/>
        <v>0</v>
      </c>
      <c r="N23" s="28" t="e">
        <f t="shared" si="3"/>
        <v>#DIV/0!</v>
      </c>
      <c r="O23" s="7"/>
      <c r="P23" s="7"/>
      <c r="Q23" s="7"/>
      <c r="R23" s="7"/>
      <c r="S23" s="3"/>
      <c r="T23" s="37">
        <f t="shared" si="0"/>
        <v>0</v>
      </c>
      <c r="U23" s="28" t="e">
        <f t="shared" si="4"/>
        <v>#DIV/0!</v>
      </c>
      <c r="V23" s="59">
        <f t="shared" si="5"/>
        <v>0</v>
      </c>
    </row>
    <row r="24" spans="1:22" ht="21.75" customHeight="1">
      <c r="A24" s="87"/>
      <c r="B24" s="7" t="s">
        <v>14</v>
      </c>
      <c r="C24" s="3"/>
      <c r="D24" s="3"/>
      <c r="E24" s="4">
        <f t="shared" si="1"/>
        <v>0</v>
      </c>
      <c r="F24" s="3"/>
      <c r="G24" s="3"/>
      <c r="H24" s="3"/>
      <c r="I24" s="3"/>
      <c r="J24" s="3"/>
      <c r="K24" s="3"/>
      <c r="L24" s="3"/>
      <c r="M24" s="5">
        <f t="shared" si="2"/>
        <v>0</v>
      </c>
      <c r="N24" s="28" t="e">
        <f t="shared" si="3"/>
        <v>#DIV/0!</v>
      </c>
      <c r="O24" s="7"/>
      <c r="P24" s="7"/>
      <c r="Q24" s="7"/>
      <c r="R24" s="7"/>
      <c r="S24" s="3"/>
      <c r="T24" s="37">
        <f t="shared" si="0"/>
        <v>0</v>
      </c>
      <c r="U24" s="28" t="e">
        <f t="shared" si="4"/>
        <v>#DIV/0!</v>
      </c>
      <c r="V24" s="59">
        <f t="shared" si="5"/>
        <v>0</v>
      </c>
    </row>
    <row r="25" spans="1:22" ht="21.75" customHeight="1">
      <c r="A25" s="87">
        <v>6</v>
      </c>
      <c r="B25" s="7" t="s">
        <v>12</v>
      </c>
      <c r="C25" s="3"/>
      <c r="D25" s="3"/>
      <c r="E25" s="4">
        <f t="shared" si="1"/>
        <v>0</v>
      </c>
      <c r="F25" s="3"/>
      <c r="G25" s="3"/>
      <c r="H25" s="3"/>
      <c r="I25" s="3"/>
      <c r="J25" s="3"/>
      <c r="K25" s="3"/>
      <c r="L25" s="3"/>
      <c r="M25" s="5">
        <f t="shared" si="2"/>
        <v>0</v>
      </c>
      <c r="N25" s="28" t="e">
        <f t="shared" si="3"/>
        <v>#DIV/0!</v>
      </c>
      <c r="O25" s="7"/>
      <c r="P25" s="7"/>
      <c r="Q25" s="7"/>
      <c r="R25" s="7"/>
      <c r="S25" s="3"/>
      <c r="T25" s="37">
        <f t="shared" si="0"/>
        <v>0</v>
      </c>
      <c r="U25" s="28" t="e">
        <f t="shared" si="4"/>
        <v>#DIV/0!</v>
      </c>
      <c r="V25" s="59">
        <f t="shared" si="5"/>
        <v>0</v>
      </c>
    </row>
    <row r="26" spans="1:22" ht="21.75" customHeight="1">
      <c r="A26" s="87"/>
      <c r="B26" s="7" t="s">
        <v>13</v>
      </c>
      <c r="C26" s="3"/>
      <c r="D26" s="3"/>
      <c r="E26" s="4">
        <f t="shared" si="1"/>
        <v>0</v>
      </c>
      <c r="F26" s="3"/>
      <c r="G26" s="3"/>
      <c r="H26" s="3"/>
      <c r="I26" s="3"/>
      <c r="J26" s="3"/>
      <c r="K26" s="3"/>
      <c r="L26" s="3"/>
      <c r="M26" s="5">
        <f t="shared" si="2"/>
        <v>0</v>
      </c>
      <c r="N26" s="28" t="e">
        <f t="shared" si="3"/>
        <v>#DIV/0!</v>
      </c>
      <c r="O26" s="7"/>
      <c r="P26" s="7"/>
      <c r="Q26" s="7"/>
      <c r="R26" s="7"/>
      <c r="S26" s="3"/>
      <c r="T26" s="37">
        <f t="shared" si="0"/>
        <v>0</v>
      </c>
      <c r="U26" s="28" t="e">
        <f t="shared" si="4"/>
        <v>#DIV/0!</v>
      </c>
      <c r="V26" s="59">
        <f t="shared" si="5"/>
        <v>0</v>
      </c>
    </row>
    <row r="27" spans="1:22" ht="21.75" customHeight="1">
      <c r="A27" s="87"/>
      <c r="B27" s="7" t="s">
        <v>14</v>
      </c>
      <c r="C27" s="3"/>
      <c r="D27" s="3"/>
      <c r="E27" s="4">
        <f t="shared" si="1"/>
        <v>0</v>
      </c>
      <c r="F27" s="3"/>
      <c r="G27" s="3"/>
      <c r="H27" s="3"/>
      <c r="I27" s="3"/>
      <c r="J27" s="3"/>
      <c r="K27" s="3"/>
      <c r="L27" s="3"/>
      <c r="M27" s="5">
        <f t="shared" si="2"/>
        <v>0</v>
      </c>
      <c r="N27" s="28" t="e">
        <f t="shared" si="3"/>
        <v>#DIV/0!</v>
      </c>
      <c r="O27" s="7"/>
      <c r="P27" s="7"/>
      <c r="Q27" s="7"/>
      <c r="R27" s="7"/>
      <c r="S27" s="3"/>
      <c r="T27" s="37">
        <f t="shared" si="0"/>
        <v>0</v>
      </c>
      <c r="U27" s="28" t="e">
        <f t="shared" si="4"/>
        <v>#DIV/0!</v>
      </c>
      <c r="V27" s="59">
        <f t="shared" si="5"/>
        <v>0</v>
      </c>
    </row>
    <row r="28" spans="1:22" ht="21.75" customHeight="1">
      <c r="A28" s="87">
        <v>7</v>
      </c>
      <c r="B28" s="7" t="s">
        <v>12</v>
      </c>
      <c r="C28" s="3"/>
      <c r="D28" s="3"/>
      <c r="E28" s="4">
        <f t="shared" si="1"/>
        <v>0</v>
      </c>
      <c r="F28" s="3"/>
      <c r="G28" s="3"/>
      <c r="H28" s="3"/>
      <c r="I28" s="3"/>
      <c r="J28" s="3"/>
      <c r="K28" s="3"/>
      <c r="L28" s="3"/>
      <c r="M28" s="5">
        <f t="shared" si="2"/>
        <v>0</v>
      </c>
      <c r="N28" s="28" t="e">
        <f t="shared" si="3"/>
        <v>#DIV/0!</v>
      </c>
      <c r="O28" s="7"/>
      <c r="P28" s="7"/>
      <c r="Q28" s="7"/>
      <c r="R28" s="7"/>
      <c r="S28" s="3"/>
      <c r="T28" s="37">
        <f t="shared" si="0"/>
        <v>0</v>
      </c>
      <c r="U28" s="28" t="e">
        <f t="shared" si="4"/>
        <v>#DIV/0!</v>
      </c>
      <c r="V28" s="59">
        <f t="shared" si="5"/>
        <v>0</v>
      </c>
    </row>
    <row r="29" spans="1:22" ht="21.75" customHeight="1">
      <c r="A29" s="87"/>
      <c r="B29" s="7" t="s">
        <v>13</v>
      </c>
      <c r="C29" s="3"/>
      <c r="D29" s="3"/>
      <c r="E29" s="4">
        <f t="shared" si="1"/>
        <v>0</v>
      </c>
      <c r="F29" s="3"/>
      <c r="G29" s="3"/>
      <c r="H29" s="3"/>
      <c r="I29" s="3"/>
      <c r="J29" s="3"/>
      <c r="K29" s="3"/>
      <c r="L29" s="3"/>
      <c r="M29" s="5">
        <f t="shared" si="2"/>
        <v>0</v>
      </c>
      <c r="N29" s="28" t="e">
        <f t="shared" si="3"/>
        <v>#DIV/0!</v>
      </c>
      <c r="O29" s="7"/>
      <c r="P29" s="7"/>
      <c r="Q29" s="7"/>
      <c r="R29" s="7"/>
      <c r="S29" s="3"/>
      <c r="T29" s="37">
        <f t="shared" si="0"/>
        <v>0</v>
      </c>
      <c r="U29" s="28" t="e">
        <f t="shared" si="4"/>
        <v>#DIV/0!</v>
      </c>
      <c r="V29" s="59">
        <f t="shared" si="5"/>
        <v>0</v>
      </c>
    </row>
    <row r="30" spans="1:22" ht="21.75" customHeight="1">
      <c r="A30" s="87"/>
      <c r="B30" s="7" t="s">
        <v>14</v>
      </c>
      <c r="C30" s="3"/>
      <c r="D30" s="3"/>
      <c r="E30" s="4">
        <f t="shared" si="1"/>
        <v>0</v>
      </c>
      <c r="F30" s="3"/>
      <c r="G30" s="3"/>
      <c r="H30" s="3"/>
      <c r="I30" s="3"/>
      <c r="J30" s="3"/>
      <c r="K30" s="3"/>
      <c r="L30" s="3"/>
      <c r="M30" s="5">
        <f t="shared" si="2"/>
        <v>0</v>
      </c>
      <c r="N30" s="28" t="e">
        <f t="shared" si="3"/>
        <v>#DIV/0!</v>
      </c>
      <c r="O30" s="7"/>
      <c r="P30" s="7"/>
      <c r="Q30" s="7"/>
      <c r="R30" s="7"/>
      <c r="S30" s="3"/>
      <c r="T30" s="37">
        <f t="shared" si="0"/>
        <v>0</v>
      </c>
      <c r="U30" s="28" t="e">
        <f t="shared" si="4"/>
        <v>#DIV/0!</v>
      </c>
      <c r="V30" s="59">
        <f t="shared" si="5"/>
        <v>0</v>
      </c>
    </row>
    <row r="31" spans="1:22" ht="21.75" customHeight="1">
      <c r="A31" s="87">
        <v>8</v>
      </c>
      <c r="B31" s="7" t="s">
        <v>12</v>
      </c>
      <c r="C31" s="3"/>
      <c r="D31" s="3"/>
      <c r="E31" s="4">
        <f t="shared" si="1"/>
        <v>0</v>
      </c>
      <c r="F31" s="3"/>
      <c r="G31" s="3"/>
      <c r="H31" s="3"/>
      <c r="I31" s="3"/>
      <c r="J31" s="3"/>
      <c r="K31" s="3"/>
      <c r="L31" s="3"/>
      <c r="M31" s="5">
        <f t="shared" si="2"/>
        <v>0</v>
      </c>
      <c r="N31" s="28" t="e">
        <f t="shared" si="3"/>
        <v>#DIV/0!</v>
      </c>
      <c r="O31" s="7"/>
      <c r="P31" s="7"/>
      <c r="Q31" s="7"/>
      <c r="R31" s="7"/>
      <c r="S31" s="3"/>
      <c r="T31" s="37">
        <f t="shared" si="0"/>
        <v>0</v>
      </c>
      <c r="U31" s="28" t="e">
        <f t="shared" si="4"/>
        <v>#DIV/0!</v>
      </c>
      <c r="V31" s="59">
        <f t="shared" si="5"/>
        <v>0</v>
      </c>
    </row>
    <row r="32" spans="1:22" ht="21.75" customHeight="1">
      <c r="A32" s="87"/>
      <c r="B32" s="7" t="s">
        <v>13</v>
      </c>
      <c r="C32" s="3"/>
      <c r="D32" s="3"/>
      <c r="E32" s="4">
        <f t="shared" si="1"/>
        <v>0</v>
      </c>
      <c r="F32" s="3"/>
      <c r="G32" s="3"/>
      <c r="H32" s="3"/>
      <c r="I32" s="3"/>
      <c r="J32" s="3"/>
      <c r="K32" s="3"/>
      <c r="L32" s="3"/>
      <c r="M32" s="5">
        <f t="shared" si="2"/>
        <v>0</v>
      </c>
      <c r="N32" s="28" t="e">
        <f t="shared" si="3"/>
        <v>#DIV/0!</v>
      </c>
      <c r="O32" s="7"/>
      <c r="P32" s="7"/>
      <c r="Q32" s="7"/>
      <c r="R32" s="7"/>
      <c r="S32" s="3"/>
      <c r="T32" s="37">
        <f t="shared" si="0"/>
        <v>0</v>
      </c>
      <c r="U32" s="28" t="e">
        <f t="shared" si="4"/>
        <v>#DIV/0!</v>
      </c>
      <c r="V32" s="59">
        <f t="shared" si="5"/>
        <v>0</v>
      </c>
    </row>
    <row r="33" spans="1:22" ht="21.75" customHeight="1">
      <c r="A33" s="87"/>
      <c r="B33" s="7" t="s">
        <v>14</v>
      </c>
      <c r="C33" s="3"/>
      <c r="D33" s="3"/>
      <c r="E33" s="4">
        <f t="shared" si="1"/>
        <v>0</v>
      </c>
      <c r="F33" s="3"/>
      <c r="G33" s="3"/>
      <c r="H33" s="3"/>
      <c r="I33" s="3"/>
      <c r="J33" s="3"/>
      <c r="K33" s="3"/>
      <c r="L33" s="3"/>
      <c r="M33" s="5">
        <f t="shared" si="2"/>
        <v>0</v>
      </c>
      <c r="N33" s="28" t="e">
        <f t="shared" si="3"/>
        <v>#DIV/0!</v>
      </c>
      <c r="O33" s="7"/>
      <c r="P33" s="7"/>
      <c r="Q33" s="7"/>
      <c r="R33" s="7"/>
      <c r="S33" s="3"/>
      <c r="T33" s="37">
        <f t="shared" si="0"/>
        <v>0</v>
      </c>
      <c r="U33" s="28" t="e">
        <f t="shared" si="4"/>
        <v>#DIV/0!</v>
      </c>
      <c r="V33" s="59">
        <f t="shared" si="5"/>
        <v>0</v>
      </c>
    </row>
    <row r="34" spans="1:22" ht="21.75" customHeight="1">
      <c r="A34" s="87">
        <v>9</v>
      </c>
      <c r="B34" s="7" t="s">
        <v>12</v>
      </c>
      <c r="C34" s="3"/>
      <c r="D34" s="3"/>
      <c r="E34" s="4">
        <f t="shared" si="1"/>
        <v>0</v>
      </c>
      <c r="F34" s="3"/>
      <c r="G34" s="3"/>
      <c r="H34" s="3"/>
      <c r="I34" s="3"/>
      <c r="J34" s="3"/>
      <c r="K34" s="3"/>
      <c r="L34" s="3"/>
      <c r="M34" s="5">
        <f t="shared" si="2"/>
        <v>0</v>
      </c>
      <c r="N34" s="28" t="e">
        <f t="shared" si="3"/>
        <v>#DIV/0!</v>
      </c>
      <c r="O34" s="7"/>
      <c r="P34" s="7"/>
      <c r="Q34" s="7"/>
      <c r="R34" s="7"/>
      <c r="S34" s="3"/>
      <c r="T34" s="37">
        <f t="shared" si="0"/>
        <v>0</v>
      </c>
      <c r="U34" s="28" t="e">
        <f t="shared" si="4"/>
        <v>#DIV/0!</v>
      </c>
      <c r="V34" s="59">
        <f t="shared" si="5"/>
        <v>0</v>
      </c>
    </row>
    <row r="35" spans="1:22" ht="21.75" customHeight="1">
      <c r="A35" s="87"/>
      <c r="B35" s="7" t="s">
        <v>13</v>
      </c>
      <c r="C35" s="3"/>
      <c r="D35" s="3"/>
      <c r="E35" s="4">
        <f t="shared" si="1"/>
        <v>0</v>
      </c>
      <c r="F35" s="3"/>
      <c r="G35" s="3"/>
      <c r="H35" s="3"/>
      <c r="I35" s="3"/>
      <c r="J35" s="3"/>
      <c r="K35" s="3"/>
      <c r="L35" s="3"/>
      <c r="M35" s="5">
        <f t="shared" si="2"/>
        <v>0</v>
      </c>
      <c r="N35" s="28" t="e">
        <f t="shared" si="3"/>
        <v>#DIV/0!</v>
      </c>
      <c r="O35" s="7"/>
      <c r="P35" s="7"/>
      <c r="Q35" s="7"/>
      <c r="R35" s="7"/>
      <c r="S35" s="3"/>
      <c r="T35" s="37">
        <f t="shared" si="0"/>
        <v>0</v>
      </c>
      <c r="U35" s="28" t="e">
        <f t="shared" si="4"/>
        <v>#DIV/0!</v>
      </c>
      <c r="V35" s="59">
        <f t="shared" si="5"/>
        <v>0</v>
      </c>
    </row>
    <row r="36" spans="1:22" ht="21.75" customHeight="1">
      <c r="A36" s="87"/>
      <c r="B36" s="7" t="s">
        <v>14</v>
      </c>
      <c r="C36" s="3"/>
      <c r="D36" s="3"/>
      <c r="E36" s="4">
        <f t="shared" si="1"/>
        <v>0</v>
      </c>
      <c r="F36" s="3"/>
      <c r="G36" s="3"/>
      <c r="H36" s="3"/>
      <c r="I36" s="3"/>
      <c r="J36" s="3"/>
      <c r="K36" s="3"/>
      <c r="L36" s="3"/>
      <c r="M36" s="5">
        <f t="shared" si="2"/>
        <v>0</v>
      </c>
      <c r="N36" s="28" t="e">
        <f t="shared" si="3"/>
        <v>#DIV/0!</v>
      </c>
      <c r="O36" s="7"/>
      <c r="P36" s="7"/>
      <c r="Q36" s="7"/>
      <c r="R36" s="7"/>
      <c r="S36" s="3"/>
      <c r="T36" s="37">
        <f t="shared" si="0"/>
        <v>0</v>
      </c>
      <c r="U36" s="28" t="e">
        <f t="shared" si="4"/>
        <v>#DIV/0!</v>
      </c>
      <c r="V36" s="59">
        <f t="shared" si="5"/>
        <v>0</v>
      </c>
    </row>
    <row r="37" spans="1:22" ht="21.75" customHeight="1">
      <c r="A37" s="87">
        <v>10</v>
      </c>
      <c r="B37" s="7" t="s">
        <v>12</v>
      </c>
      <c r="C37" s="3"/>
      <c r="D37" s="3"/>
      <c r="E37" s="4">
        <f t="shared" si="1"/>
        <v>0</v>
      </c>
      <c r="F37" s="3"/>
      <c r="G37" s="3"/>
      <c r="H37" s="3"/>
      <c r="I37" s="3"/>
      <c r="J37" s="3"/>
      <c r="K37" s="3"/>
      <c r="L37" s="3"/>
      <c r="M37" s="5">
        <f t="shared" si="2"/>
        <v>0</v>
      </c>
      <c r="N37" s="28" t="e">
        <f t="shared" si="3"/>
        <v>#DIV/0!</v>
      </c>
      <c r="O37" s="7"/>
      <c r="P37" s="7"/>
      <c r="Q37" s="7"/>
      <c r="R37" s="7"/>
      <c r="S37" s="3"/>
      <c r="T37" s="37">
        <f t="shared" si="0"/>
        <v>0</v>
      </c>
      <c r="U37" s="28" t="e">
        <f t="shared" si="4"/>
        <v>#DIV/0!</v>
      </c>
      <c r="V37" s="59">
        <f t="shared" si="5"/>
        <v>0</v>
      </c>
    </row>
    <row r="38" spans="1:22" ht="21.75" customHeight="1">
      <c r="A38" s="87"/>
      <c r="B38" s="7" t="s">
        <v>13</v>
      </c>
      <c r="C38" s="3"/>
      <c r="D38" s="3"/>
      <c r="E38" s="4">
        <f t="shared" si="1"/>
        <v>0</v>
      </c>
      <c r="F38" s="3"/>
      <c r="G38" s="3"/>
      <c r="H38" s="3"/>
      <c r="I38" s="3"/>
      <c r="J38" s="3"/>
      <c r="K38" s="3"/>
      <c r="L38" s="3"/>
      <c r="M38" s="5">
        <f t="shared" si="2"/>
        <v>0</v>
      </c>
      <c r="N38" s="28" t="e">
        <f t="shared" si="3"/>
        <v>#DIV/0!</v>
      </c>
      <c r="O38" s="7"/>
      <c r="P38" s="7"/>
      <c r="Q38" s="7"/>
      <c r="R38" s="7"/>
      <c r="S38" s="3"/>
      <c r="T38" s="37">
        <f t="shared" si="0"/>
        <v>0</v>
      </c>
      <c r="U38" s="28" t="e">
        <f t="shared" si="4"/>
        <v>#DIV/0!</v>
      </c>
      <c r="V38" s="59">
        <f t="shared" si="5"/>
        <v>0</v>
      </c>
    </row>
    <row r="39" spans="1:22" ht="21.75" customHeight="1">
      <c r="A39" s="87"/>
      <c r="B39" s="7" t="s">
        <v>14</v>
      </c>
      <c r="C39" s="3"/>
      <c r="D39" s="3"/>
      <c r="E39" s="4">
        <f t="shared" si="1"/>
        <v>0</v>
      </c>
      <c r="F39" s="3"/>
      <c r="G39" s="3"/>
      <c r="H39" s="3"/>
      <c r="I39" s="3"/>
      <c r="J39" s="3"/>
      <c r="K39" s="3"/>
      <c r="L39" s="3"/>
      <c r="M39" s="5">
        <f t="shared" si="2"/>
        <v>0</v>
      </c>
      <c r="N39" s="28" t="e">
        <f t="shared" si="3"/>
        <v>#DIV/0!</v>
      </c>
      <c r="O39" s="7"/>
      <c r="P39" s="7"/>
      <c r="Q39" s="7"/>
      <c r="R39" s="7"/>
      <c r="S39" s="3"/>
      <c r="T39" s="37">
        <f t="shared" si="0"/>
        <v>0</v>
      </c>
      <c r="U39" s="28" t="e">
        <f t="shared" si="4"/>
        <v>#DIV/0!</v>
      </c>
      <c r="V39" s="59">
        <f t="shared" si="5"/>
        <v>0</v>
      </c>
    </row>
    <row r="40" spans="1:22" ht="21.75" customHeight="1">
      <c r="A40" s="87">
        <v>11</v>
      </c>
      <c r="B40" s="7" t="s">
        <v>12</v>
      </c>
      <c r="C40" s="3"/>
      <c r="D40" s="3"/>
      <c r="E40" s="4">
        <f t="shared" si="1"/>
        <v>0</v>
      </c>
      <c r="F40" s="3"/>
      <c r="G40" s="3"/>
      <c r="H40" s="3"/>
      <c r="I40" s="3"/>
      <c r="J40" s="3"/>
      <c r="K40" s="3"/>
      <c r="L40" s="3"/>
      <c r="M40" s="5">
        <f t="shared" si="2"/>
        <v>0</v>
      </c>
      <c r="N40" s="28" t="e">
        <f t="shared" si="3"/>
        <v>#DIV/0!</v>
      </c>
      <c r="O40" s="7"/>
      <c r="P40" s="7"/>
      <c r="Q40" s="7"/>
      <c r="R40" s="7"/>
      <c r="S40" s="3"/>
      <c r="T40" s="37">
        <f t="shared" si="0"/>
        <v>0</v>
      </c>
      <c r="U40" s="28" t="e">
        <f t="shared" si="4"/>
        <v>#DIV/0!</v>
      </c>
      <c r="V40" s="59">
        <f t="shared" si="5"/>
        <v>0</v>
      </c>
    </row>
    <row r="41" spans="1:22" ht="21.75" customHeight="1">
      <c r="A41" s="87"/>
      <c r="B41" s="7" t="s">
        <v>13</v>
      </c>
      <c r="C41" s="3"/>
      <c r="D41" s="3"/>
      <c r="E41" s="4">
        <f t="shared" si="1"/>
        <v>0</v>
      </c>
      <c r="F41" s="3"/>
      <c r="G41" s="3"/>
      <c r="H41" s="3"/>
      <c r="I41" s="3"/>
      <c r="J41" s="3"/>
      <c r="K41" s="3"/>
      <c r="L41" s="3"/>
      <c r="M41" s="5">
        <f t="shared" si="2"/>
        <v>0</v>
      </c>
      <c r="N41" s="28" t="e">
        <f t="shared" si="3"/>
        <v>#DIV/0!</v>
      </c>
      <c r="O41" s="7"/>
      <c r="P41" s="7"/>
      <c r="Q41" s="7"/>
      <c r="R41" s="7"/>
      <c r="S41" s="3"/>
      <c r="T41" s="37">
        <f t="shared" si="0"/>
        <v>0</v>
      </c>
      <c r="U41" s="28" t="e">
        <f t="shared" si="4"/>
        <v>#DIV/0!</v>
      </c>
      <c r="V41" s="59">
        <f t="shared" si="5"/>
        <v>0</v>
      </c>
    </row>
    <row r="42" spans="1:22" ht="21.75" customHeight="1">
      <c r="A42" s="87"/>
      <c r="B42" s="7" t="s">
        <v>14</v>
      </c>
      <c r="C42" s="3"/>
      <c r="D42" s="3"/>
      <c r="E42" s="4">
        <f t="shared" si="1"/>
        <v>0</v>
      </c>
      <c r="F42" s="3"/>
      <c r="G42" s="3"/>
      <c r="H42" s="3"/>
      <c r="I42" s="3"/>
      <c r="J42" s="3"/>
      <c r="K42" s="3"/>
      <c r="L42" s="3"/>
      <c r="M42" s="5">
        <f t="shared" si="2"/>
        <v>0</v>
      </c>
      <c r="N42" s="28" t="e">
        <f t="shared" si="3"/>
        <v>#DIV/0!</v>
      </c>
      <c r="O42" s="7"/>
      <c r="P42" s="7"/>
      <c r="Q42" s="7"/>
      <c r="R42" s="7"/>
      <c r="S42" s="3"/>
      <c r="T42" s="37">
        <f t="shared" si="0"/>
        <v>0</v>
      </c>
      <c r="U42" s="28" t="e">
        <f t="shared" si="4"/>
        <v>#DIV/0!</v>
      </c>
      <c r="V42" s="59">
        <f t="shared" si="5"/>
        <v>0</v>
      </c>
    </row>
    <row r="43" spans="1:22" ht="21.75" customHeight="1">
      <c r="A43" s="87">
        <v>12</v>
      </c>
      <c r="B43" s="7" t="s">
        <v>12</v>
      </c>
      <c r="C43" s="3"/>
      <c r="D43" s="3"/>
      <c r="E43" s="4">
        <f t="shared" si="1"/>
        <v>0</v>
      </c>
      <c r="F43" s="3"/>
      <c r="G43" s="3"/>
      <c r="H43" s="3"/>
      <c r="I43" s="3"/>
      <c r="J43" s="3"/>
      <c r="K43" s="3"/>
      <c r="L43" s="3"/>
      <c r="M43" s="5">
        <f t="shared" si="2"/>
        <v>0</v>
      </c>
      <c r="N43" s="28" t="e">
        <f t="shared" si="3"/>
        <v>#DIV/0!</v>
      </c>
      <c r="O43" s="7"/>
      <c r="P43" s="7"/>
      <c r="Q43" s="7"/>
      <c r="R43" s="7"/>
      <c r="S43" s="3"/>
      <c r="T43" s="37">
        <f t="shared" si="0"/>
        <v>0</v>
      </c>
      <c r="U43" s="28" t="e">
        <f t="shared" si="4"/>
        <v>#DIV/0!</v>
      </c>
      <c r="V43" s="59">
        <f t="shared" si="5"/>
        <v>0</v>
      </c>
    </row>
    <row r="44" spans="1:22" ht="21.75" customHeight="1">
      <c r="A44" s="87"/>
      <c r="B44" s="7" t="s">
        <v>13</v>
      </c>
      <c r="C44" s="3"/>
      <c r="D44" s="3"/>
      <c r="E44" s="4">
        <f t="shared" si="1"/>
        <v>0</v>
      </c>
      <c r="F44" s="3"/>
      <c r="G44" s="3"/>
      <c r="H44" s="3"/>
      <c r="I44" s="3"/>
      <c r="J44" s="3"/>
      <c r="K44" s="3"/>
      <c r="L44" s="3"/>
      <c r="M44" s="5">
        <f t="shared" si="2"/>
        <v>0</v>
      </c>
      <c r="N44" s="28" t="e">
        <f t="shared" si="3"/>
        <v>#DIV/0!</v>
      </c>
      <c r="O44" s="7"/>
      <c r="P44" s="7"/>
      <c r="Q44" s="7"/>
      <c r="R44" s="7"/>
      <c r="S44" s="3"/>
      <c r="T44" s="37">
        <f t="shared" si="0"/>
        <v>0</v>
      </c>
      <c r="U44" s="28" t="e">
        <f t="shared" si="4"/>
        <v>#DIV/0!</v>
      </c>
      <c r="V44" s="59">
        <f t="shared" si="5"/>
        <v>0</v>
      </c>
    </row>
    <row r="45" spans="1:22" ht="21.75" customHeight="1">
      <c r="A45" s="87"/>
      <c r="B45" s="7" t="s">
        <v>14</v>
      </c>
      <c r="C45" s="3"/>
      <c r="D45" s="3"/>
      <c r="E45" s="4">
        <f t="shared" si="1"/>
        <v>0</v>
      </c>
      <c r="F45" s="3"/>
      <c r="G45" s="3"/>
      <c r="H45" s="3"/>
      <c r="I45" s="3"/>
      <c r="J45" s="3"/>
      <c r="K45" s="3"/>
      <c r="L45" s="3"/>
      <c r="M45" s="5">
        <f t="shared" si="2"/>
        <v>0</v>
      </c>
      <c r="N45" s="28" t="e">
        <f t="shared" si="3"/>
        <v>#DIV/0!</v>
      </c>
      <c r="O45" s="7"/>
      <c r="P45" s="7"/>
      <c r="Q45" s="7"/>
      <c r="R45" s="7"/>
      <c r="S45" s="3"/>
      <c r="T45" s="37">
        <f t="shared" si="0"/>
        <v>0</v>
      </c>
      <c r="U45" s="28" t="e">
        <f t="shared" si="4"/>
        <v>#DIV/0!</v>
      </c>
      <c r="V45" s="59">
        <f t="shared" si="5"/>
        <v>0</v>
      </c>
    </row>
    <row r="46" spans="1:22" ht="21.75" customHeight="1">
      <c r="A46" s="87">
        <v>13</v>
      </c>
      <c r="B46" s="7" t="s">
        <v>12</v>
      </c>
      <c r="C46" s="3"/>
      <c r="D46" s="3"/>
      <c r="E46" s="4">
        <f t="shared" si="1"/>
        <v>0</v>
      </c>
      <c r="F46" s="3"/>
      <c r="G46" s="3"/>
      <c r="H46" s="3"/>
      <c r="I46" s="3"/>
      <c r="J46" s="3"/>
      <c r="K46" s="3"/>
      <c r="L46" s="3"/>
      <c r="M46" s="5">
        <f t="shared" si="2"/>
        <v>0</v>
      </c>
      <c r="N46" s="28" t="e">
        <f t="shared" si="3"/>
        <v>#DIV/0!</v>
      </c>
      <c r="O46" s="7"/>
      <c r="P46" s="7"/>
      <c r="Q46" s="7"/>
      <c r="R46" s="7"/>
      <c r="S46" s="3"/>
      <c r="T46" s="37">
        <f t="shared" si="0"/>
        <v>0</v>
      </c>
      <c r="U46" s="28" t="e">
        <f t="shared" si="4"/>
        <v>#DIV/0!</v>
      </c>
      <c r="V46" s="59">
        <f t="shared" si="5"/>
        <v>0</v>
      </c>
    </row>
    <row r="47" spans="1:22" ht="21.75" customHeight="1">
      <c r="A47" s="87"/>
      <c r="B47" s="7" t="s">
        <v>13</v>
      </c>
      <c r="C47" s="3"/>
      <c r="D47" s="3"/>
      <c r="E47" s="4">
        <f t="shared" si="1"/>
        <v>0</v>
      </c>
      <c r="F47" s="3"/>
      <c r="G47" s="3"/>
      <c r="H47" s="3"/>
      <c r="I47" s="3"/>
      <c r="J47" s="3"/>
      <c r="K47" s="3"/>
      <c r="L47" s="3"/>
      <c r="M47" s="5">
        <f t="shared" si="2"/>
        <v>0</v>
      </c>
      <c r="N47" s="28" t="e">
        <f t="shared" si="3"/>
        <v>#DIV/0!</v>
      </c>
      <c r="O47" s="7"/>
      <c r="P47" s="7"/>
      <c r="Q47" s="7"/>
      <c r="R47" s="7"/>
      <c r="S47" s="3"/>
      <c r="T47" s="37">
        <f t="shared" si="0"/>
        <v>0</v>
      </c>
      <c r="U47" s="28" t="e">
        <f t="shared" si="4"/>
        <v>#DIV/0!</v>
      </c>
      <c r="V47" s="59">
        <f t="shared" si="5"/>
        <v>0</v>
      </c>
    </row>
    <row r="48" spans="1:22" ht="21.75" customHeight="1">
      <c r="A48" s="87"/>
      <c r="B48" s="7" t="s">
        <v>14</v>
      </c>
      <c r="C48" s="3"/>
      <c r="D48" s="3"/>
      <c r="E48" s="4">
        <f t="shared" si="1"/>
        <v>0</v>
      </c>
      <c r="F48" s="3"/>
      <c r="G48" s="3"/>
      <c r="H48" s="3"/>
      <c r="I48" s="3"/>
      <c r="J48" s="3"/>
      <c r="K48" s="3"/>
      <c r="L48" s="3"/>
      <c r="M48" s="5">
        <f t="shared" si="2"/>
        <v>0</v>
      </c>
      <c r="N48" s="28" t="e">
        <f t="shared" si="3"/>
        <v>#DIV/0!</v>
      </c>
      <c r="O48" s="7"/>
      <c r="P48" s="7"/>
      <c r="Q48" s="7"/>
      <c r="R48" s="7"/>
      <c r="S48" s="3"/>
      <c r="T48" s="37">
        <f t="shared" si="0"/>
        <v>0</v>
      </c>
      <c r="U48" s="28" t="e">
        <f t="shared" si="4"/>
        <v>#DIV/0!</v>
      </c>
      <c r="V48" s="59">
        <f t="shared" si="5"/>
        <v>0</v>
      </c>
    </row>
    <row r="49" spans="1:22" ht="21.75" customHeight="1">
      <c r="A49" s="87">
        <v>14</v>
      </c>
      <c r="B49" s="7" t="s">
        <v>12</v>
      </c>
      <c r="C49" s="3"/>
      <c r="D49" s="3"/>
      <c r="E49" s="4">
        <f t="shared" si="1"/>
        <v>0</v>
      </c>
      <c r="F49" s="3"/>
      <c r="G49" s="3"/>
      <c r="H49" s="3"/>
      <c r="I49" s="3"/>
      <c r="J49" s="3"/>
      <c r="K49" s="3"/>
      <c r="L49" s="3"/>
      <c r="M49" s="5">
        <f t="shared" si="2"/>
        <v>0</v>
      </c>
      <c r="N49" s="28" t="e">
        <f t="shared" si="3"/>
        <v>#DIV/0!</v>
      </c>
      <c r="O49" s="7"/>
      <c r="P49" s="7"/>
      <c r="Q49" s="7"/>
      <c r="R49" s="7"/>
      <c r="S49" s="3"/>
      <c r="T49" s="37">
        <f t="shared" si="0"/>
        <v>0</v>
      </c>
      <c r="U49" s="28" t="e">
        <f t="shared" si="4"/>
        <v>#DIV/0!</v>
      </c>
      <c r="V49" s="59">
        <f t="shared" si="5"/>
        <v>0</v>
      </c>
    </row>
    <row r="50" spans="1:22" ht="21.75" customHeight="1">
      <c r="A50" s="87"/>
      <c r="B50" s="7" t="s">
        <v>13</v>
      </c>
      <c r="C50" s="3"/>
      <c r="D50" s="3"/>
      <c r="E50" s="4">
        <f t="shared" si="1"/>
        <v>0</v>
      </c>
      <c r="F50" s="3"/>
      <c r="G50" s="3"/>
      <c r="H50" s="3"/>
      <c r="I50" s="3"/>
      <c r="J50" s="3"/>
      <c r="K50" s="3"/>
      <c r="L50" s="3"/>
      <c r="M50" s="5">
        <f t="shared" si="2"/>
        <v>0</v>
      </c>
      <c r="N50" s="28" t="e">
        <f t="shared" si="3"/>
        <v>#DIV/0!</v>
      </c>
      <c r="O50" s="7"/>
      <c r="P50" s="7"/>
      <c r="Q50" s="7"/>
      <c r="R50" s="7"/>
      <c r="S50" s="3"/>
      <c r="T50" s="37">
        <f t="shared" si="0"/>
        <v>0</v>
      </c>
      <c r="U50" s="28" t="e">
        <f t="shared" si="4"/>
        <v>#DIV/0!</v>
      </c>
      <c r="V50" s="59">
        <f t="shared" si="5"/>
        <v>0</v>
      </c>
    </row>
    <row r="51" spans="1:22" ht="21.75" customHeight="1">
      <c r="A51" s="87"/>
      <c r="B51" s="7" t="s">
        <v>14</v>
      </c>
      <c r="C51" s="3"/>
      <c r="D51" s="3"/>
      <c r="E51" s="4">
        <f t="shared" si="1"/>
        <v>0</v>
      </c>
      <c r="F51" s="3"/>
      <c r="G51" s="3"/>
      <c r="H51" s="3"/>
      <c r="I51" s="3"/>
      <c r="J51" s="3"/>
      <c r="K51" s="3"/>
      <c r="L51" s="3"/>
      <c r="M51" s="5">
        <f t="shared" si="2"/>
        <v>0</v>
      </c>
      <c r="N51" s="28" t="e">
        <f t="shared" si="3"/>
        <v>#DIV/0!</v>
      </c>
      <c r="O51" s="7"/>
      <c r="P51" s="7"/>
      <c r="Q51" s="7"/>
      <c r="R51" s="7"/>
      <c r="S51" s="3"/>
      <c r="T51" s="37">
        <f t="shared" si="0"/>
        <v>0</v>
      </c>
      <c r="U51" s="28" t="e">
        <f t="shared" si="4"/>
        <v>#DIV/0!</v>
      </c>
      <c r="V51" s="59">
        <f t="shared" si="5"/>
        <v>0</v>
      </c>
    </row>
    <row r="52" spans="1:22" ht="21.75" customHeight="1">
      <c r="A52" s="87">
        <v>15</v>
      </c>
      <c r="B52" s="7" t="s">
        <v>12</v>
      </c>
      <c r="C52" s="3"/>
      <c r="D52" s="3"/>
      <c r="E52" s="4">
        <f t="shared" si="1"/>
        <v>0</v>
      </c>
      <c r="F52" s="3"/>
      <c r="G52" s="3"/>
      <c r="H52" s="3"/>
      <c r="I52" s="3"/>
      <c r="J52" s="3"/>
      <c r="K52" s="3"/>
      <c r="L52" s="3"/>
      <c r="M52" s="5">
        <f t="shared" si="2"/>
        <v>0</v>
      </c>
      <c r="N52" s="28" t="e">
        <f t="shared" si="3"/>
        <v>#DIV/0!</v>
      </c>
      <c r="O52" s="7"/>
      <c r="P52" s="7"/>
      <c r="Q52" s="7"/>
      <c r="R52" s="7"/>
      <c r="S52" s="3"/>
      <c r="T52" s="37">
        <f t="shared" si="0"/>
        <v>0</v>
      </c>
      <c r="U52" s="28" t="e">
        <f t="shared" si="4"/>
        <v>#DIV/0!</v>
      </c>
      <c r="V52" s="59">
        <f t="shared" si="5"/>
        <v>0</v>
      </c>
    </row>
    <row r="53" spans="1:22" ht="21.75" customHeight="1">
      <c r="A53" s="87"/>
      <c r="B53" s="7" t="s">
        <v>13</v>
      </c>
      <c r="C53" s="3"/>
      <c r="D53" s="3"/>
      <c r="E53" s="4">
        <f t="shared" si="1"/>
        <v>0</v>
      </c>
      <c r="F53" s="3"/>
      <c r="G53" s="3"/>
      <c r="H53" s="3"/>
      <c r="I53" s="3"/>
      <c r="J53" s="3"/>
      <c r="K53" s="3"/>
      <c r="L53" s="3"/>
      <c r="M53" s="5">
        <f t="shared" si="2"/>
        <v>0</v>
      </c>
      <c r="N53" s="28" t="e">
        <f t="shared" si="3"/>
        <v>#DIV/0!</v>
      </c>
      <c r="O53" s="7"/>
      <c r="P53" s="7"/>
      <c r="Q53" s="7"/>
      <c r="R53" s="7"/>
      <c r="S53" s="3"/>
      <c r="T53" s="37">
        <f t="shared" si="0"/>
        <v>0</v>
      </c>
      <c r="U53" s="28" t="e">
        <f t="shared" si="4"/>
        <v>#DIV/0!</v>
      </c>
      <c r="V53" s="59">
        <f t="shared" si="5"/>
        <v>0</v>
      </c>
    </row>
    <row r="54" spans="1:22" ht="21.75" customHeight="1">
      <c r="A54" s="87"/>
      <c r="B54" s="7" t="s">
        <v>14</v>
      </c>
      <c r="C54" s="3"/>
      <c r="D54" s="3"/>
      <c r="E54" s="4">
        <f t="shared" si="1"/>
        <v>0</v>
      </c>
      <c r="F54" s="3"/>
      <c r="G54" s="3"/>
      <c r="H54" s="3"/>
      <c r="I54" s="3"/>
      <c r="J54" s="3"/>
      <c r="K54" s="3"/>
      <c r="L54" s="3"/>
      <c r="M54" s="5">
        <f t="shared" si="2"/>
        <v>0</v>
      </c>
      <c r="N54" s="28" t="e">
        <f t="shared" si="3"/>
        <v>#DIV/0!</v>
      </c>
      <c r="O54" s="7"/>
      <c r="P54" s="7"/>
      <c r="Q54" s="7"/>
      <c r="R54" s="7"/>
      <c r="S54" s="3"/>
      <c r="T54" s="37">
        <f t="shared" si="0"/>
        <v>0</v>
      </c>
      <c r="U54" s="28" t="e">
        <f t="shared" si="4"/>
        <v>#DIV/0!</v>
      </c>
      <c r="V54" s="59">
        <f t="shared" si="5"/>
        <v>0</v>
      </c>
    </row>
    <row r="55" spans="1:22" ht="21.75" customHeight="1">
      <c r="A55" s="87">
        <v>16</v>
      </c>
      <c r="B55" s="7" t="s">
        <v>12</v>
      </c>
      <c r="C55" s="3"/>
      <c r="D55" s="3"/>
      <c r="E55" s="4">
        <f t="shared" si="1"/>
        <v>0</v>
      </c>
      <c r="F55" s="3"/>
      <c r="G55" s="3"/>
      <c r="H55" s="3"/>
      <c r="I55" s="3"/>
      <c r="J55" s="3"/>
      <c r="K55" s="3"/>
      <c r="L55" s="3"/>
      <c r="M55" s="5">
        <f t="shared" si="2"/>
        <v>0</v>
      </c>
      <c r="N55" s="28" t="e">
        <f t="shared" si="3"/>
        <v>#DIV/0!</v>
      </c>
      <c r="O55" s="7"/>
      <c r="P55" s="7"/>
      <c r="Q55" s="7"/>
      <c r="R55" s="7"/>
      <c r="S55" s="3"/>
      <c r="T55" s="37">
        <f t="shared" si="0"/>
        <v>0</v>
      </c>
      <c r="U55" s="28" t="e">
        <f t="shared" si="4"/>
        <v>#DIV/0!</v>
      </c>
      <c r="V55" s="59">
        <f t="shared" si="5"/>
        <v>0</v>
      </c>
    </row>
    <row r="56" spans="1:22" ht="21.75" customHeight="1">
      <c r="A56" s="87"/>
      <c r="B56" s="7" t="s">
        <v>13</v>
      </c>
      <c r="C56" s="3"/>
      <c r="D56" s="3"/>
      <c r="E56" s="4">
        <f t="shared" si="1"/>
        <v>0</v>
      </c>
      <c r="F56" s="3"/>
      <c r="G56" s="3"/>
      <c r="H56" s="3"/>
      <c r="I56" s="3"/>
      <c r="J56" s="3"/>
      <c r="K56" s="3"/>
      <c r="L56" s="3"/>
      <c r="M56" s="5">
        <f t="shared" si="2"/>
        <v>0</v>
      </c>
      <c r="N56" s="28" t="e">
        <f t="shared" si="3"/>
        <v>#DIV/0!</v>
      </c>
      <c r="O56" s="7"/>
      <c r="P56" s="7"/>
      <c r="Q56" s="7"/>
      <c r="R56" s="7"/>
      <c r="S56" s="3"/>
      <c r="T56" s="37">
        <f t="shared" si="0"/>
        <v>0</v>
      </c>
      <c r="U56" s="28" t="e">
        <f t="shared" si="4"/>
        <v>#DIV/0!</v>
      </c>
      <c r="V56" s="59">
        <f t="shared" si="5"/>
        <v>0</v>
      </c>
    </row>
    <row r="57" spans="1:22" ht="21.75" customHeight="1">
      <c r="A57" s="87"/>
      <c r="B57" s="7" t="s">
        <v>14</v>
      </c>
      <c r="C57" s="3"/>
      <c r="D57" s="3"/>
      <c r="E57" s="4">
        <f t="shared" si="1"/>
        <v>0</v>
      </c>
      <c r="F57" s="3"/>
      <c r="G57" s="3"/>
      <c r="H57" s="3"/>
      <c r="I57" s="3"/>
      <c r="J57" s="3"/>
      <c r="K57" s="3"/>
      <c r="L57" s="3"/>
      <c r="M57" s="5">
        <f t="shared" si="2"/>
        <v>0</v>
      </c>
      <c r="N57" s="28" t="e">
        <f t="shared" si="3"/>
        <v>#DIV/0!</v>
      </c>
      <c r="O57" s="7"/>
      <c r="P57" s="7"/>
      <c r="Q57" s="7"/>
      <c r="R57" s="7"/>
      <c r="S57" s="3"/>
      <c r="T57" s="37">
        <f t="shared" si="0"/>
        <v>0</v>
      </c>
      <c r="U57" s="28" t="e">
        <f t="shared" si="4"/>
        <v>#DIV/0!</v>
      </c>
      <c r="V57" s="59">
        <f t="shared" si="5"/>
        <v>0</v>
      </c>
    </row>
    <row r="58" spans="1:22" ht="21.75" customHeight="1">
      <c r="A58" s="87">
        <v>17</v>
      </c>
      <c r="B58" s="7" t="s">
        <v>12</v>
      </c>
      <c r="C58" s="3"/>
      <c r="D58" s="3"/>
      <c r="E58" s="4">
        <f t="shared" si="1"/>
        <v>0</v>
      </c>
      <c r="F58" s="3"/>
      <c r="G58" s="3"/>
      <c r="H58" s="3"/>
      <c r="I58" s="3"/>
      <c r="J58" s="3"/>
      <c r="K58" s="3"/>
      <c r="L58" s="3"/>
      <c r="M58" s="5">
        <f t="shared" si="2"/>
        <v>0</v>
      </c>
      <c r="N58" s="28" t="e">
        <f t="shared" si="3"/>
        <v>#DIV/0!</v>
      </c>
      <c r="O58" s="7"/>
      <c r="P58" s="7"/>
      <c r="Q58" s="7"/>
      <c r="R58" s="7"/>
      <c r="S58" s="3"/>
      <c r="T58" s="37">
        <f t="shared" si="0"/>
        <v>0</v>
      </c>
      <c r="U58" s="28" t="e">
        <f t="shared" si="4"/>
        <v>#DIV/0!</v>
      </c>
      <c r="V58" s="59">
        <f t="shared" si="5"/>
        <v>0</v>
      </c>
    </row>
    <row r="59" spans="1:22" ht="21.75" customHeight="1">
      <c r="A59" s="87"/>
      <c r="B59" s="7" t="s">
        <v>13</v>
      </c>
      <c r="C59" s="3"/>
      <c r="D59" s="3"/>
      <c r="E59" s="4">
        <f t="shared" si="1"/>
        <v>0</v>
      </c>
      <c r="F59" s="3"/>
      <c r="G59" s="3"/>
      <c r="H59" s="3"/>
      <c r="I59" s="3"/>
      <c r="J59" s="3"/>
      <c r="K59" s="3"/>
      <c r="L59" s="3"/>
      <c r="M59" s="5">
        <f t="shared" si="2"/>
        <v>0</v>
      </c>
      <c r="N59" s="28" t="e">
        <f t="shared" si="3"/>
        <v>#DIV/0!</v>
      </c>
      <c r="O59" s="7"/>
      <c r="P59" s="7"/>
      <c r="Q59" s="7"/>
      <c r="R59" s="7"/>
      <c r="S59" s="3"/>
      <c r="T59" s="37">
        <f t="shared" si="0"/>
        <v>0</v>
      </c>
      <c r="U59" s="28" t="e">
        <f t="shared" si="4"/>
        <v>#DIV/0!</v>
      </c>
      <c r="V59" s="59">
        <f t="shared" si="5"/>
        <v>0</v>
      </c>
    </row>
    <row r="60" spans="1:22" ht="21.75" customHeight="1">
      <c r="A60" s="87"/>
      <c r="B60" s="7" t="s">
        <v>14</v>
      </c>
      <c r="C60" s="3"/>
      <c r="D60" s="3"/>
      <c r="E60" s="4">
        <f t="shared" si="1"/>
        <v>0</v>
      </c>
      <c r="F60" s="3"/>
      <c r="G60" s="3"/>
      <c r="H60" s="3"/>
      <c r="I60" s="3"/>
      <c r="J60" s="3"/>
      <c r="K60" s="3"/>
      <c r="L60" s="3"/>
      <c r="M60" s="5">
        <f t="shared" si="2"/>
        <v>0</v>
      </c>
      <c r="N60" s="28" t="e">
        <f t="shared" si="3"/>
        <v>#DIV/0!</v>
      </c>
      <c r="O60" s="7"/>
      <c r="P60" s="7"/>
      <c r="Q60" s="7"/>
      <c r="R60" s="7"/>
      <c r="S60" s="3"/>
      <c r="T60" s="37">
        <f t="shared" si="0"/>
        <v>0</v>
      </c>
      <c r="U60" s="28" t="e">
        <f t="shared" si="4"/>
        <v>#DIV/0!</v>
      </c>
      <c r="V60" s="59">
        <f t="shared" si="5"/>
        <v>0</v>
      </c>
    </row>
    <row r="61" spans="1:22" ht="21.75" customHeight="1">
      <c r="A61" s="87">
        <v>18</v>
      </c>
      <c r="B61" s="7" t="s">
        <v>12</v>
      </c>
      <c r="C61" s="3"/>
      <c r="D61" s="3"/>
      <c r="E61" s="4">
        <f t="shared" si="1"/>
        <v>0</v>
      </c>
      <c r="F61" s="3"/>
      <c r="G61" s="3"/>
      <c r="H61" s="3"/>
      <c r="I61" s="3"/>
      <c r="J61" s="3"/>
      <c r="K61" s="3"/>
      <c r="L61" s="3"/>
      <c r="M61" s="5">
        <f t="shared" si="2"/>
        <v>0</v>
      </c>
      <c r="N61" s="28" t="e">
        <f t="shared" si="3"/>
        <v>#DIV/0!</v>
      </c>
      <c r="O61" s="7"/>
      <c r="P61" s="7"/>
      <c r="Q61" s="7"/>
      <c r="R61" s="7"/>
      <c r="S61" s="3"/>
      <c r="T61" s="37">
        <f t="shared" si="0"/>
        <v>0</v>
      </c>
      <c r="U61" s="28" t="e">
        <f t="shared" si="4"/>
        <v>#DIV/0!</v>
      </c>
      <c r="V61" s="59">
        <f t="shared" si="5"/>
        <v>0</v>
      </c>
    </row>
    <row r="62" spans="1:22" ht="21.75" customHeight="1">
      <c r="A62" s="87"/>
      <c r="B62" s="7" t="s">
        <v>13</v>
      </c>
      <c r="C62" s="3"/>
      <c r="D62" s="3"/>
      <c r="E62" s="4">
        <f t="shared" si="1"/>
        <v>0</v>
      </c>
      <c r="F62" s="3"/>
      <c r="G62" s="3"/>
      <c r="H62" s="3"/>
      <c r="I62" s="3"/>
      <c r="J62" s="3"/>
      <c r="K62" s="3"/>
      <c r="L62" s="3"/>
      <c r="M62" s="5">
        <f t="shared" si="2"/>
        <v>0</v>
      </c>
      <c r="N62" s="28" t="e">
        <f t="shared" si="3"/>
        <v>#DIV/0!</v>
      </c>
      <c r="O62" s="7"/>
      <c r="P62" s="7"/>
      <c r="Q62" s="7"/>
      <c r="R62" s="7"/>
      <c r="S62" s="3"/>
      <c r="T62" s="37">
        <f t="shared" si="0"/>
        <v>0</v>
      </c>
      <c r="U62" s="28" t="e">
        <f t="shared" si="4"/>
        <v>#DIV/0!</v>
      </c>
      <c r="V62" s="59">
        <f t="shared" si="5"/>
        <v>0</v>
      </c>
    </row>
    <row r="63" spans="1:22" ht="21.75" customHeight="1">
      <c r="A63" s="87"/>
      <c r="B63" s="7" t="s">
        <v>14</v>
      </c>
      <c r="C63" s="3"/>
      <c r="D63" s="3"/>
      <c r="E63" s="4">
        <f t="shared" si="1"/>
        <v>0</v>
      </c>
      <c r="F63" s="3"/>
      <c r="G63" s="3"/>
      <c r="H63" s="3"/>
      <c r="I63" s="3"/>
      <c r="J63" s="3"/>
      <c r="K63" s="3"/>
      <c r="L63" s="3"/>
      <c r="M63" s="5">
        <f t="shared" si="2"/>
        <v>0</v>
      </c>
      <c r="N63" s="28" t="e">
        <f t="shared" si="3"/>
        <v>#DIV/0!</v>
      </c>
      <c r="O63" s="7"/>
      <c r="P63" s="7"/>
      <c r="Q63" s="7"/>
      <c r="R63" s="7"/>
      <c r="S63" s="3"/>
      <c r="T63" s="37">
        <f t="shared" si="0"/>
        <v>0</v>
      </c>
      <c r="U63" s="28" t="e">
        <f t="shared" si="4"/>
        <v>#DIV/0!</v>
      </c>
      <c r="V63" s="59">
        <f t="shared" si="5"/>
        <v>0</v>
      </c>
    </row>
    <row r="64" spans="1:22" ht="21.75" customHeight="1">
      <c r="A64" s="87">
        <v>19</v>
      </c>
      <c r="B64" s="7" t="s">
        <v>12</v>
      </c>
      <c r="C64" s="3"/>
      <c r="D64" s="3"/>
      <c r="E64" s="4">
        <f t="shared" si="1"/>
        <v>0</v>
      </c>
      <c r="F64" s="3"/>
      <c r="G64" s="3"/>
      <c r="H64" s="3"/>
      <c r="I64" s="3"/>
      <c r="J64" s="3"/>
      <c r="K64" s="3"/>
      <c r="L64" s="3"/>
      <c r="M64" s="5">
        <f t="shared" si="2"/>
        <v>0</v>
      </c>
      <c r="N64" s="28" t="e">
        <f t="shared" si="3"/>
        <v>#DIV/0!</v>
      </c>
      <c r="O64" s="7"/>
      <c r="P64" s="7"/>
      <c r="Q64" s="7"/>
      <c r="R64" s="7"/>
      <c r="S64" s="3"/>
      <c r="T64" s="37">
        <f t="shared" si="0"/>
        <v>0</v>
      </c>
      <c r="U64" s="28" t="e">
        <f t="shared" si="4"/>
        <v>#DIV/0!</v>
      </c>
      <c r="V64" s="59">
        <f t="shared" si="5"/>
        <v>0</v>
      </c>
    </row>
    <row r="65" spans="1:22" ht="21.75" customHeight="1">
      <c r="A65" s="87"/>
      <c r="B65" s="7" t="s">
        <v>13</v>
      </c>
      <c r="C65" s="3"/>
      <c r="D65" s="3"/>
      <c r="E65" s="4">
        <f t="shared" si="1"/>
        <v>0</v>
      </c>
      <c r="F65" s="3"/>
      <c r="G65" s="3"/>
      <c r="H65" s="3"/>
      <c r="I65" s="3"/>
      <c r="J65" s="3"/>
      <c r="K65" s="3"/>
      <c r="L65" s="3"/>
      <c r="M65" s="5">
        <f t="shared" si="2"/>
        <v>0</v>
      </c>
      <c r="N65" s="28" t="e">
        <f t="shared" si="3"/>
        <v>#DIV/0!</v>
      </c>
      <c r="O65" s="7"/>
      <c r="P65" s="7"/>
      <c r="Q65" s="7"/>
      <c r="R65" s="7"/>
      <c r="S65" s="3"/>
      <c r="T65" s="37">
        <f t="shared" si="0"/>
        <v>0</v>
      </c>
      <c r="U65" s="28" t="e">
        <f t="shared" si="4"/>
        <v>#DIV/0!</v>
      </c>
      <c r="V65" s="59">
        <f t="shared" si="5"/>
        <v>0</v>
      </c>
    </row>
    <row r="66" spans="1:22" ht="21.75" customHeight="1">
      <c r="A66" s="87"/>
      <c r="B66" s="7" t="s">
        <v>14</v>
      </c>
      <c r="C66" s="3"/>
      <c r="D66" s="3"/>
      <c r="E66" s="4">
        <f t="shared" si="1"/>
        <v>0</v>
      </c>
      <c r="F66" s="3"/>
      <c r="G66" s="3"/>
      <c r="H66" s="3"/>
      <c r="I66" s="3"/>
      <c r="J66" s="3"/>
      <c r="K66" s="3"/>
      <c r="L66" s="3"/>
      <c r="M66" s="5">
        <f t="shared" si="2"/>
        <v>0</v>
      </c>
      <c r="N66" s="28" t="e">
        <f t="shared" si="3"/>
        <v>#DIV/0!</v>
      </c>
      <c r="O66" s="7"/>
      <c r="P66" s="7"/>
      <c r="Q66" s="7"/>
      <c r="R66" s="7"/>
      <c r="S66" s="3"/>
      <c r="T66" s="37">
        <f t="shared" si="0"/>
        <v>0</v>
      </c>
      <c r="U66" s="28" t="e">
        <f t="shared" si="4"/>
        <v>#DIV/0!</v>
      </c>
      <c r="V66" s="59">
        <f t="shared" si="5"/>
        <v>0</v>
      </c>
    </row>
    <row r="67" spans="1:22" ht="21.75" customHeight="1">
      <c r="A67" s="87">
        <v>20</v>
      </c>
      <c r="B67" s="7" t="s">
        <v>12</v>
      </c>
      <c r="C67" s="3"/>
      <c r="D67" s="3"/>
      <c r="E67" s="4">
        <f t="shared" si="1"/>
        <v>0</v>
      </c>
      <c r="F67" s="3"/>
      <c r="G67" s="3"/>
      <c r="H67" s="3"/>
      <c r="I67" s="3"/>
      <c r="J67" s="3"/>
      <c r="K67" s="3"/>
      <c r="L67" s="3"/>
      <c r="M67" s="5">
        <f t="shared" si="2"/>
        <v>0</v>
      </c>
      <c r="N67" s="28" t="e">
        <f t="shared" si="3"/>
        <v>#DIV/0!</v>
      </c>
      <c r="O67" s="7"/>
      <c r="P67" s="7"/>
      <c r="Q67" s="7"/>
      <c r="R67" s="7"/>
      <c r="S67" s="3"/>
      <c r="T67" s="37">
        <f t="shared" si="0"/>
        <v>0</v>
      </c>
      <c r="U67" s="28" t="e">
        <f t="shared" si="4"/>
        <v>#DIV/0!</v>
      </c>
      <c r="V67" s="59">
        <f t="shared" si="5"/>
        <v>0</v>
      </c>
    </row>
    <row r="68" spans="1:22" ht="21.75" customHeight="1">
      <c r="A68" s="87"/>
      <c r="B68" s="7" t="s">
        <v>13</v>
      </c>
      <c r="C68" s="3"/>
      <c r="D68" s="3"/>
      <c r="E68" s="4">
        <f t="shared" si="1"/>
        <v>0</v>
      </c>
      <c r="F68" s="3"/>
      <c r="G68" s="3"/>
      <c r="H68" s="3"/>
      <c r="I68" s="3"/>
      <c r="J68" s="3"/>
      <c r="K68" s="3"/>
      <c r="L68" s="3"/>
      <c r="M68" s="5">
        <f t="shared" si="2"/>
        <v>0</v>
      </c>
      <c r="N68" s="28" t="e">
        <f t="shared" si="3"/>
        <v>#DIV/0!</v>
      </c>
      <c r="O68" s="7"/>
      <c r="P68" s="7"/>
      <c r="Q68" s="7"/>
      <c r="R68" s="7"/>
      <c r="S68" s="3"/>
      <c r="T68" s="37">
        <f t="shared" si="0"/>
        <v>0</v>
      </c>
      <c r="U68" s="28" t="e">
        <f t="shared" si="4"/>
        <v>#DIV/0!</v>
      </c>
      <c r="V68" s="59">
        <f t="shared" si="5"/>
        <v>0</v>
      </c>
    </row>
    <row r="69" spans="1:22" ht="21.75" customHeight="1">
      <c r="A69" s="87"/>
      <c r="B69" s="7" t="s">
        <v>14</v>
      </c>
      <c r="C69" s="3"/>
      <c r="D69" s="3"/>
      <c r="E69" s="4">
        <f t="shared" si="1"/>
        <v>0</v>
      </c>
      <c r="F69" s="3"/>
      <c r="G69" s="3"/>
      <c r="H69" s="3"/>
      <c r="I69" s="3"/>
      <c r="J69" s="3"/>
      <c r="K69" s="3"/>
      <c r="L69" s="3"/>
      <c r="M69" s="5">
        <f t="shared" si="2"/>
        <v>0</v>
      </c>
      <c r="N69" s="28" t="e">
        <f t="shared" si="3"/>
        <v>#DIV/0!</v>
      </c>
      <c r="O69" s="7"/>
      <c r="P69" s="7"/>
      <c r="Q69" s="7"/>
      <c r="R69" s="7"/>
      <c r="S69" s="3"/>
      <c r="T69" s="37">
        <f t="shared" si="0"/>
        <v>0</v>
      </c>
      <c r="U69" s="28" t="e">
        <f t="shared" si="4"/>
        <v>#DIV/0!</v>
      </c>
      <c r="V69" s="59">
        <f t="shared" si="5"/>
        <v>0</v>
      </c>
    </row>
    <row r="70" spans="1:22" ht="21.75" customHeight="1">
      <c r="A70" s="87">
        <v>21</v>
      </c>
      <c r="B70" s="7" t="s">
        <v>12</v>
      </c>
      <c r="C70" s="3"/>
      <c r="D70" s="3"/>
      <c r="E70" s="4">
        <f t="shared" si="1"/>
        <v>0</v>
      </c>
      <c r="F70" s="3"/>
      <c r="G70" s="3"/>
      <c r="H70" s="3"/>
      <c r="I70" s="3"/>
      <c r="J70" s="3"/>
      <c r="K70" s="3"/>
      <c r="L70" s="3"/>
      <c r="M70" s="5">
        <f t="shared" si="2"/>
        <v>0</v>
      </c>
      <c r="N70" s="28" t="e">
        <f t="shared" si="3"/>
        <v>#DIV/0!</v>
      </c>
      <c r="O70" s="7"/>
      <c r="P70" s="7"/>
      <c r="Q70" s="7"/>
      <c r="R70" s="7"/>
      <c r="S70" s="3"/>
      <c r="T70" s="37">
        <f t="shared" si="0"/>
        <v>0</v>
      </c>
      <c r="U70" s="28" t="e">
        <f t="shared" si="4"/>
        <v>#DIV/0!</v>
      </c>
      <c r="V70" s="59">
        <f t="shared" si="5"/>
        <v>0</v>
      </c>
    </row>
    <row r="71" spans="1:22" ht="21.75" customHeight="1">
      <c r="A71" s="87"/>
      <c r="B71" s="7" t="s">
        <v>13</v>
      </c>
      <c r="C71" s="3"/>
      <c r="D71" s="3"/>
      <c r="E71" s="4">
        <f t="shared" si="1"/>
        <v>0</v>
      </c>
      <c r="F71" s="3"/>
      <c r="G71" s="3"/>
      <c r="H71" s="3"/>
      <c r="I71" s="3"/>
      <c r="J71" s="3"/>
      <c r="K71" s="3"/>
      <c r="L71" s="3"/>
      <c r="M71" s="5">
        <f t="shared" si="2"/>
        <v>0</v>
      </c>
      <c r="N71" s="28" t="e">
        <f t="shared" si="3"/>
        <v>#DIV/0!</v>
      </c>
      <c r="O71" s="7"/>
      <c r="P71" s="7"/>
      <c r="Q71" s="7"/>
      <c r="R71" s="7"/>
      <c r="S71" s="3"/>
      <c r="T71" s="37">
        <f t="shared" si="0"/>
        <v>0</v>
      </c>
      <c r="U71" s="28" t="e">
        <f t="shared" si="4"/>
        <v>#DIV/0!</v>
      </c>
      <c r="V71" s="59">
        <f t="shared" si="5"/>
        <v>0</v>
      </c>
    </row>
    <row r="72" spans="1:22" ht="21.75" customHeight="1">
      <c r="A72" s="87"/>
      <c r="B72" s="7" t="s">
        <v>14</v>
      </c>
      <c r="C72" s="3"/>
      <c r="D72" s="3"/>
      <c r="E72" s="4">
        <f t="shared" si="1"/>
        <v>0</v>
      </c>
      <c r="F72" s="3"/>
      <c r="G72" s="3"/>
      <c r="H72" s="3"/>
      <c r="I72" s="3"/>
      <c r="J72" s="3"/>
      <c r="K72" s="3"/>
      <c r="L72" s="3"/>
      <c r="M72" s="5">
        <f t="shared" si="2"/>
        <v>0</v>
      </c>
      <c r="N72" s="28" t="e">
        <f t="shared" si="3"/>
        <v>#DIV/0!</v>
      </c>
      <c r="O72" s="7"/>
      <c r="P72" s="7"/>
      <c r="Q72" s="7"/>
      <c r="R72" s="7"/>
      <c r="S72" s="3"/>
      <c r="T72" s="37">
        <f t="shared" si="0"/>
        <v>0</v>
      </c>
      <c r="U72" s="28" t="e">
        <f t="shared" si="4"/>
        <v>#DIV/0!</v>
      </c>
      <c r="V72" s="59">
        <f t="shared" si="5"/>
        <v>0</v>
      </c>
    </row>
    <row r="73" spans="1:22" ht="21.75" customHeight="1">
      <c r="A73" s="87">
        <v>22</v>
      </c>
      <c r="B73" s="7" t="s">
        <v>12</v>
      </c>
      <c r="C73" s="3"/>
      <c r="D73" s="3"/>
      <c r="E73" s="4">
        <f t="shared" si="1"/>
        <v>0</v>
      </c>
      <c r="F73" s="3"/>
      <c r="G73" s="3"/>
      <c r="H73" s="3"/>
      <c r="I73" s="3"/>
      <c r="J73" s="3"/>
      <c r="K73" s="3"/>
      <c r="L73" s="3"/>
      <c r="M73" s="5">
        <f t="shared" si="2"/>
        <v>0</v>
      </c>
      <c r="N73" s="28" t="e">
        <f t="shared" si="3"/>
        <v>#DIV/0!</v>
      </c>
      <c r="O73" s="7"/>
      <c r="P73" s="7"/>
      <c r="Q73" s="7"/>
      <c r="R73" s="7"/>
      <c r="S73" s="3"/>
      <c r="T73" s="37">
        <f t="shared" si="0"/>
        <v>0</v>
      </c>
      <c r="U73" s="28" t="e">
        <f t="shared" si="4"/>
        <v>#DIV/0!</v>
      </c>
      <c r="V73" s="59">
        <f t="shared" si="5"/>
        <v>0</v>
      </c>
    </row>
    <row r="74" spans="1:22" ht="21.75" customHeight="1">
      <c r="A74" s="87"/>
      <c r="B74" s="7" t="s">
        <v>13</v>
      </c>
      <c r="C74" s="3"/>
      <c r="D74" s="3"/>
      <c r="E74" s="4">
        <f t="shared" si="1"/>
        <v>0</v>
      </c>
      <c r="F74" s="3"/>
      <c r="G74" s="3"/>
      <c r="H74" s="3"/>
      <c r="I74" s="3"/>
      <c r="J74" s="3"/>
      <c r="K74" s="3"/>
      <c r="L74" s="3"/>
      <c r="M74" s="5">
        <f t="shared" si="2"/>
        <v>0</v>
      </c>
      <c r="N74" s="28" t="e">
        <f t="shared" si="3"/>
        <v>#DIV/0!</v>
      </c>
      <c r="O74" s="7"/>
      <c r="P74" s="7"/>
      <c r="Q74" s="7"/>
      <c r="R74" s="7"/>
      <c r="S74" s="3"/>
      <c r="T74" s="37">
        <f t="shared" ref="T74:T106" si="6">SUM(O74:S74)</f>
        <v>0</v>
      </c>
      <c r="U74" s="28" t="e">
        <f t="shared" si="4"/>
        <v>#DIV/0!</v>
      </c>
      <c r="V74" s="59">
        <f t="shared" si="5"/>
        <v>0</v>
      </c>
    </row>
    <row r="75" spans="1:22" ht="21.75" customHeight="1">
      <c r="A75" s="87"/>
      <c r="B75" s="7" t="s">
        <v>14</v>
      </c>
      <c r="C75" s="3"/>
      <c r="D75" s="3"/>
      <c r="E75" s="4">
        <f t="shared" ref="E75:E102" si="7">((($B$3*C75)+(12*D75))*$E$4)/7</f>
        <v>0</v>
      </c>
      <c r="F75" s="3"/>
      <c r="G75" s="3"/>
      <c r="H75" s="3"/>
      <c r="I75" s="3"/>
      <c r="J75" s="3"/>
      <c r="K75" s="3"/>
      <c r="L75" s="3"/>
      <c r="M75" s="5">
        <f t="shared" ref="M75:M106" si="8">(F75+G75+H75+L75)-E75</f>
        <v>0</v>
      </c>
      <c r="N75" s="28" t="e">
        <f t="shared" ref="N75:N105" si="9">(((C75*4.5)+(12*D75))*$E$4)/((F75+G75+H75+I75+J75+K75+L75)*7)*100</f>
        <v>#DIV/0!</v>
      </c>
      <c r="O75" s="7"/>
      <c r="P75" s="7"/>
      <c r="Q75" s="7"/>
      <c r="R75" s="7"/>
      <c r="S75" s="3"/>
      <c r="T75" s="37">
        <f t="shared" si="6"/>
        <v>0</v>
      </c>
      <c r="U75" s="28" t="e">
        <f t="shared" ref="U75:U106" si="10">((((O75*1.5+(P75*3.5)+(Q75*5.5)+(R75*7.5)+(S75*12)))/3)/((F75+G75+H75+I75+J75+K75+L75)*7))*100</f>
        <v>#DIV/0!</v>
      </c>
      <c r="V75" s="59">
        <f t="shared" ref="V75:V106" si="11">C75+D75-T75</f>
        <v>0</v>
      </c>
    </row>
    <row r="76" spans="1:22" ht="21.75" customHeight="1">
      <c r="A76" s="87">
        <v>23</v>
      </c>
      <c r="B76" s="7" t="s">
        <v>12</v>
      </c>
      <c r="C76" s="3"/>
      <c r="D76" s="3"/>
      <c r="E76" s="4">
        <f t="shared" si="7"/>
        <v>0</v>
      </c>
      <c r="F76" s="3"/>
      <c r="G76" s="3"/>
      <c r="H76" s="3"/>
      <c r="I76" s="3"/>
      <c r="J76" s="3"/>
      <c r="K76" s="3"/>
      <c r="L76" s="3"/>
      <c r="M76" s="5">
        <f t="shared" si="8"/>
        <v>0</v>
      </c>
      <c r="N76" s="28" t="e">
        <f t="shared" si="9"/>
        <v>#DIV/0!</v>
      </c>
      <c r="O76" s="7"/>
      <c r="P76" s="7"/>
      <c r="Q76" s="7"/>
      <c r="R76" s="7"/>
      <c r="S76" s="3"/>
      <c r="T76" s="37">
        <f t="shared" si="6"/>
        <v>0</v>
      </c>
      <c r="U76" s="28" t="e">
        <f t="shared" si="10"/>
        <v>#DIV/0!</v>
      </c>
      <c r="V76" s="59">
        <f t="shared" si="11"/>
        <v>0</v>
      </c>
    </row>
    <row r="77" spans="1:22" ht="21.75" customHeight="1">
      <c r="A77" s="87"/>
      <c r="B77" s="7" t="s">
        <v>13</v>
      </c>
      <c r="C77" s="3"/>
      <c r="D77" s="3"/>
      <c r="E77" s="4">
        <f t="shared" si="7"/>
        <v>0</v>
      </c>
      <c r="F77" s="3"/>
      <c r="G77" s="3"/>
      <c r="H77" s="3"/>
      <c r="I77" s="3"/>
      <c r="J77" s="3"/>
      <c r="K77" s="3"/>
      <c r="L77" s="3"/>
      <c r="M77" s="5">
        <f t="shared" si="8"/>
        <v>0</v>
      </c>
      <c r="N77" s="28" t="e">
        <f t="shared" si="9"/>
        <v>#DIV/0!</v>
      </c>
      <c r="O77" s="7"/>
      <c r="P77" s="7"/>
      <c r="Q77" s="7"/>
      <c r="R77" s="7"/>
      <c r="S77" s="3"/>
      <c r="T77" s="37">
        <f t="shared" si="6"/>
        <v>0</v>
      </c>
      <c r="U77" s="28" t="e">
        <f t="shared" si="10"/>
        <v>#DIV/0!</v>
      </c>
      <c r="V77" s="59">
        <f t="shared" si="11"/>
        <v>0</v>
      </c>
    </row>
    <row r="78" spans="1:22" ht="21.75" customHeight="1">
      <c r="A78" s="87"/>
      <c r="B78" s="7" t="s">
        <v>14</v>
      </c>
      <c r="C78" s="3"/>
      <c r="D78" s="3"/>
      <c r="E78" s="4">
        <f t="shared" si="7"/>
        <v>0</v>
      </c>
      <c r="F78" s="3"/>
      <c r="G78" s="3"/>
      <c r="H78" s="3"/>
      <c r="I78" s="3"/>
      <c r="J78" s="3"/>
      <c r="K78" s="3"/>
      <c r="L78" s="3"/>
      <c r="M78" s="5">
        <f t="shared" si="8"/>
        <v>0</v>
      </c>
      <c r="N78" s="28" t="e">
        <f t="shared" si="9"/>
        <v>#DIV/0!</v>
      </c>
      <c r="O78" s="7"/>
      <c r="P78" s="7"/>
      <c r="Q78" s="7"/>
      <c r="R78" s="7"/>
      <c r="S78" s="3"/>
      <c r="T78" s="37">
        <f t="shared" si="6"/>
        <v>0</v>
      </c>
      <c r="U78" s="28" t="e">
        <f t="shared" si="10"/>
        <v>#DIV/0!</v>
      </c>
      <c r="V78" s="59">
        <f t="shared" si="11"/>
        <v>0</v>
      </c>
    </row>
    <row r="79" spans="1:22" ht="21.75" customHeight="1">
      <c r="A79" s="87">
        <v>24</v>
      </c>
      <c r="B79" s="7" t="s">
        <v>12</v>
      </c>
      <c r="C79" s="3"/>
      <c r="D79" s="3"/>
      <c r="E79" s="4">
        <f t="shared" si="7"/>
        <v>0</v>
      </c>
      <c r="F79" s="3"/>
      <c r="G79" s="3"/>
      <c r="H79" s="3"/>
      <c r="I79" s="3"/>
      <c r="J79" s="3"/>
      <c r="K79" s="3"/>
      <c r="L79" s="3"/>
      <c r="M79" s="5">
        <f t="shared" si="8"/>
        <v>0</v>
      </c>
      <c r="N79" s="28" t="e">
        <f t="shared" si="9"/>
        <v>#DIV/0!</v>
      </c>
      <c r="O79" s="7"/>
      <c r="P79" s="7"/>
      <c r="Q79" s="7"/>
      <c r="R79" s="7"/>
      <c r="S79" s="3"/>
      <c r="T79" s="37">
        <f t="shared" si="6"/>
        <v>0</v>
      </c>
      <c r="U79" s="28" t="e">
        <f t="shared" si="10"/>
        <v>#DIV/0!</v>
      </c>
      <c r="V79" s="59">
        <f t="shared" si="11"/>
        <v>0</v>
      </c>
    </row>
    <row r="80" spans="1:22" ht="21.75" customHeight="1">
      <c r="A80" s="87"/>
      <c r="B80" s="7" t="s">
        <v>13</v>
      </c>
      <c r="C80" s="3"/>
      <c r="D80" s="3"/>
      <c r="E80" s="4">
        <f t="shared" si="7"/>
        <v>0</v>
      </c>
      <c r="F80" s="3"/>
      <c r="G80" s="3"/>
      <c r="H80" s="3"/>
      <c r="I80" s="3"/>
      <c r="J80" s="3"/>
      <c r="K80" s="3"/>
      <c r="L80" s="3"/>
      <c r="M80" s="5">
        <f t="shared" si="8"/>
        <v>0</v>
      </c>
      <c r="N80" s="28" t="e">
        <f t="shared" si="9"/>
        <v>#DIV/0!</v>
      </c>
      <c r="O80" s="7"/>
      <c r="P80" s="7"/>
      <c r="Q80" s="7"/>
      <c r="R80" s="7"/>
      <c r="S80" s="3"/>
      <c r="T80" s="37">
        <f t="shared" si="6"/>
        <v>0</v>
      </c>
      <c r="U80" s="28" t="e">
        <f t="shared" si="10"/>
        <v>#DIV/0!</v>
      </c>
      <c r="V80" s="59">
        <f t="shared" si="11"/>
        <v>0</v>
      </c>
    </row>
    <row r="81" spans="1:22" ht="21.75" customHeight="1">
      <c r="A81" s="87"/>
      <c r="B81" s="7" t="s">
        <v>14</v>
      </c>
      <c r="C81" s="3"/>
      <c r="D81" s="3"/>
      <c r="E81" s="4">
        <f t="shared" si="7"/>
        <v>0</v>
      </c>
      <c r="F81" s="3"/>
      <c r="G81" s="3"/>
      <c r="H81" s="3"/>
      <c r="I81" s="3"/>
      <c r="J81" s="3"/>
      <c r="K81" s="3"/>
      <c r="L81" s="3"/>
      <c r="M81" s="5">
        <f t="shared" si="8"/>
        <v>0</v>
      </c>
      <c r="N81" s="28" t="e">
        <f t="shared" si="9"/>
        <v>#DIV/0!</v>
      </c>
      <c r="O81" s="7"/>
      <c r="P81" s="7"/>
      <c r="Q81" s="7"/>
      <c r="R81" s="7"/>
      <c r="S81" s="3"/>
      <c r="T81" s="37">
        <f t="shared" si="6"/>
        <v>0</v>
      </c>
      <c r="U81" s="28" t="e">
        <f t="shared" si="10"/>
        <v>#DIV/0!</v>
      </c>
      <c r="V81" s="59">
        <f t="shared" si="11"/>
        <v>0</v>
      </c>
    </row>
    <row r="82" spans="1:22" ht="21.75" customHeight="1">
      <c r="A82" s="87">
        <v>25</v>
      </c>
      <c r="B82" s="7" t="s">
        <v>12</v>
      </c>
      <c r="C82" s="3"/>
      <c r="D82" s="3"/>
      <c r="E82" s="4">
        <f t="shared" si="7"/>
        <v>0</v>
      </c>
      <c r="F82" s="3"/>
      <c r="G82" s="3"/>
      <c r="H82" s="3"/>
      <c r="I82" s="3"/>
      <c r="J82" s="3"/>
      <c r="K82" s="3"/>
      <c r="L82" s="3"/>
      <c r="M82" s="5">
        <f t="shared" si="8"/>
        <v>0</v>
      </c>
      <c r="N82" s="28" t="e">
        <f t="shared" si="9"/>
        <v>#DIV/0!</v>
      </c>
      <c r="O82" s="7"/>
      <c r="P82" s="7"/>
      <c r="Q82" s="7"/>
      <c r="R82" s="7"/>
      <c r="S82" s="3"/>
      <c r="T82" s="37">
        <f t="shared" si="6"/>
        <v>0</v>
      </c>
      <c r="U82" s="28" t="e">
        <f t="shared" si="10"/>
        <v>#DIV/0!</v>
      </c>
      <c r="V82" s="59">
        <f t="shared" si="11"/>
        <v>0</v>
      </c>
    </row>
    <row r="83" spans="1:22" ht="21.75" customHeight="1">
      <c r="A83" s="87"/>
      <c r="B83" s="7" t="s">
        <v>13</v>
      </c>
      <c r="C83" s="3"/>
      <c r="D83" s="3"/>
      <c r="E83" s="4">
        <f t="shared" si="7"/>
        <v>0</v>
      </c>
      <c r="F83" s="3"/>
      <c r="G83" s="3"/>
      <c r="H83" s="3"/>
      <c r="I83" s="3"/>
      <c r="J83" s="3"/>
      <c r="K83" s="3"/>
      <c r="L83" s="3"/>
      <c r="M83" s="5">
        <f t="shared" si="8"/>
        <v>0</v>
      </c>
      <c r="N83" s="28" t="e">
        <f t="shared" si="9"/>
        <v>#DIV/0!</v>
      </c>
      <c r="O83" s="7"/>
      <c r="P83" s="7"/>
      <c r="Q83" s="7"/>
      <c r="R83" s="7"/>
      <c r="S83" s="3"/>
      <c r="T83" s="37">
        <f t="shared" si="6"/>
        <v>0</v>
      </c>
      <c r="U83" s="28" t="e">
        <f t="shared" si="10"/>
        <v>#DIV/0!</v>
      </c>
      <c r="V83" s="59">
        <f t="shared" si="11"/>
        <v>0</v>
      </c>
    </row>
    <row r="84" spans="1:22" ht="21.75" customHeight="1">
      <c r="A84" s="87"/>
      <c r="B84" s="7" t="s">
        <v>14</v>
      </c>
      <c r="C84" s="3"/>
      <c r="D84" s="3"/>
      <c r="E84" s="4">
        <f t="shared" si="7"/>
        <v>0</v>
      </c>
      <c r="F84" s="3"/>
      <c r="G84" s="3"/>
      <c r="H84" s="3"/>
      <c r="I84" s="3"/>
      <c r="J84" s="3"/>
      <c r="K84" s="3"/>
      <c r="L84" s="3"/>
      <c r="M84" s="5">
        <f t="shared" si="8"/>
        <v>0</v>
      </c>
      <c r="N84" s="28" t="e">
        <f t="shared" si="9"/>
        <v>#DIV/0!</v>
      </c>
      <c r="O84" s="7"/>
      <c r="P84" s="7"/>
      <c r="Q84" s="7"/>
      <c r="R84" s="7"/>
      <c r="S84" s="3"/>
      <c r="T84" s="37">
        <f t="shared" si="6"/>
        <v>0</v>
      </c>
      <c r="U84" s="28" t="e">
        <f t="shared" si="10"/>
        <v>#DIV/0!</v>
      </c>
      <c r="V84" s="59">
        <f t="shared" si="11"/>
        <v>0</v>
      </c>
    </row>
    <row r="85" spans="1:22" ht="21.75" customHeight="1">
      <c r="A85" s="87">
        <v>26</v>
      </c>
      <c r="B85" s="7" t="s">
        <v>12</v>
      </c>
      <c r="C85" s="3"/>
      <c r="D85" s="3"/>
      <c r="E85" s="4">
        <f t="shared" si="7"/>
        <v>0</v>
      </c>
      <c r="F85" s="3"/>
      <c r="G85" s="3"/>
      <c r="H85" s="3"/>
      <c r="I85" s="3"/>
      <c r="J85" s="3"/>
      <c r="K85" s="3"/>
      <c r="L85" s="3"/>
      <c r="M85" s="5">
        <f t="shared" si="8"/>
        <v>0</v>
      </c>
      <c r="N85" s="28" t="e">
        <f t="shared" si="9"/>
        <v>#DIV/0!</v>
      </c>
      <c r="O85" s="7"/>
      <c r="P85" s="7"/>
      <c r="Q85" s="7"/>
      <c r="R85" s="7"/>
      <c r="S85" s="3"/>
      <c r="T85" s="37">
        <f t="shared" si="6"/>
        <v>0</v>
      </c>
      <c r="U85" s="28" t="e">
        <f t="shared" si="10"/>
        <v>#DIV/0!</v>
      </c>
      <c r="V85" s="59">
        <f t="shared" si="11"/>
        <v>0</v>
      </c>
    </row>
    <row r="86" spans="1:22" ht="21.75" customHeight="1">
      <c r="A86" s="87"/>
      <c r="B86" s="7" t="s">
        <v>13</v>
      </c>
      <c r="C86" s="3"/>
      <c r="D86" s="3"/>
      <c r="E86" s="4">
        <f t="shared" si="7"/>
        <v>0</v>
      </c>
      <c r="F86" s="3"/>
      <c r="G86" s="3"/>
      <c r="H86" s="3"/>
      <c r="I86" s="3"/>
      <c r="J86" s="3"/>
      <c r="K86" s="3"/>
      <c r="L86" s="3"/>
      <c r="M86" s="5">
        <f t="shared" si="8"/>
        <v>0</v>
      </c>
      <c r="N86" s="28" t="e">
        <f t="shared" si="9"/>
        <v>#DIV/0!</v>
      </c>
      <c r="O86" s="7"/>
      <c r="P86" s="7"/>
      <c r="Q86" s="7"/>
      <c r="R86" s="7"/>
      <c r="S86" s="3"/>
      <c r="T86" s="37">
        <f t="shared" si="6"/>
        <v>0</v>
      </c>
      <c r="U86" s="28" t="e">
        <f t="shared" si="10"/>
        <v>#DIV/0!</v>
      </c>
      <c r="V86" s="59">
        <f t="shared" si="11"/>
        <v>0</v>
      </c>
    </row>
    <row r="87" spans="1:22" ht="21.75" customHeight="1">
      <c r="A87" s="87"/>
      <c r="B87" s="7" t="s">
        <v>14</v>
      </c>
      <c r="C87" s="3"/>
      <c r="D87" s="3"/>
      <c r="E87" s="4">
        <f t="shared" si="7"/>
        <v>0</v>
      </c>
      <c r="F87" s="3"/>
      <c r="G87" s="3"/>
      <c r="H87" s="3"/>
      <c r="I87" s="3"/>
      <c r="J87" s="3"/>
      <c r="K87" s="3"/>
      <c r="L87" s="3"/>
      <c r="M87" s="5">
        <f t="shared" si="8"/>
        <v>0</v>
      </c>
      <c r="N87" s="28" t="e">
        <f t="shared" si="9"/>
        <v>#DIV/0!</v>
      </c>
      <c r="O87" s="7"/>
      <c r="P87" s="7"/>
      <c r="Q87" s="7"/>
      <c r="R87" s="7"/>
      <c r="S87" s="3"/>
      <c r="T87" s="37">
        <f t="shared" si="6"/>
        <v>0</v>
      </c>
      <c r="U87" s="28" t="e">
        <f t="shared" si="10"/>
        <v>#DIV/0!</v>
      </c>
      <c r="V87" s="59">
        <f t="shared" si="11"/>
        <v>0</v>
      </c>
    </row>
    <row r="88" spans="1:22" ht="21.75" customHeight="1">
      <c r="A88" s="87">
        <v>27</v>
      </c>
      <c r="B88" s="7" t="s">
        <v>12</v>
      </c>
      <c r="C88" s="3"/>
      <c r="D88" s="3"/>
      <c r="E88" s="4">
        <f t="shared" si="7"/>
        <v>0</v>
      </c>
      <c r="F88" s="3"/>
      <c r="G88" s="3"/>
      <c r="H88" s="3"/>
      <c r="I88" s="3"/>
      <c r="J88" s="3"/>
      <c r="K88" s="3"/>
      <c r="L88" s="3"/>
      <c r="M88" s="5">
        <f t="shared" si="8"/>
        <v>0</v>
      </c>
      <c r="N88" s="28" t="e">
        <f t="shared" si="9"/>
        <v>#DIV/0!</v>
      </c>
      <c r="O88" s="7"/>
      <c r="P88" s="7"/>
      <c r="Q88" s="7"/>
      <c r="R88" s="7"/>
      <c r="S88" s="3"/>
      <c r="T88" s="37">
        <f t="shared" si="6"/>
        <v>0</v>
      </c>
      <c r="U88" s="28" t="e">
        <f t="shared" si="10"/>
        <v>#DIV/0!</v>
      </c>
      <c r="V88" s="59">
        <f t="shared" si="11"/>
        <v>0</v>
      </c>
    </row>
    <row r="89" spans="1:22" ht="21.75" customHeight="1">
      <c r="A89" s="87"/>
      <c r="B89" s="7" t="s">
        <v>13</v>
      </c>
      <c r="C89" s="3"/>
      <c r="D89" s="3"/>
      <c r="E89" s="4">
        <f t="shared" si="7"/>
        <v>0</v>
      </c>
      <c r="F89" s="3"/>
      <c r="G89" s="3"/>
      <c r="H89" s="3"/>
      <c r="I89" s="3"/>
      <c r="J89" s="3"/>
      <c r="K89" s="3"/>
      <c r="L89" s="3"/>
      <c r="M89" s="5">
        <f t="shared" si="8"/>
        <v>0</v>
      </c>
      <c r="N89" s="28" t="e">
        <f t="shared" si="9"/>
        <v>#DIV/0!</v>
      </c>
      <c r="O89" s="7"/>
      <c r="P89" s="7"/>
      <c r="Q89" s="7"/>
      <c r="R89" s="7"/>
      <c r="S89" s="3"/>
      <c r="T89" s="37">
        <f t="shared" si="6"/>
        <v>0</v>
      </c>
      <c r="U89" s="28" t="e">
        <f t="shared" si="10"/>
        <v>#DIV/0!</v>
      </c>
      <c r="V89" s="59">
        <f t="shared" si="11"/>
        <v>0</v>
      </c>
    </row>
    <row r="90" spans="1:22" ht="21.75" customHeight="1">
      <c r="A90" s="87"/>
      <c r="B90" s="7" t="s">
        <v>14</v>
      </c>
      <c r="C90" s="3"/>
      <c r="D90" s="3"/>
      <c r="E90" s="4">
        <f t="shared" si="7"/>
        <v>0</v>
      </c>
      <c r="F90" s="3"/>
      <c r="G90" s="3"/>
      <c r="H90" s="3"/>
      <c r="I90" s="3"/>
      <c r="J90" s="3"/>
      <c r="K90" s="3"/>
      <c r="L90" s="3"/>
      <c r="M90" s="5">
        <f t="shared" si="8"/>
        <v>0</v>
      </c>
      <c r="N90" s="28" t="e">
        <f t="shared" si="9"/>
        <v>#DIV/0!</v>
      </c>
      <c r="O90" s="7"/>
      <c r="P90" s="7"/>
      <c r="Q90" s="7"/>
      <c r="R90" s="7"/>
      <c r="S90" s="3"/>
      <c r="T90" s="37">
        <f t="shared" si="6"/>
        <v>0</v>
      </c>
      <c r="U90" s="28" t="e">
        <f t="shared" si="10"/>
        <v>#DIV/0!</v>
      </c>
      <c r="V90" s="59">
        <f t="shared" si="11"/>
        <v>0</v>
      </c>
    </row>
    <row r="91" spans="1:22" ht="21.75" customHeight="1">
      <c r="A91" s="87">
        <v>28</v>
      </c>
      <c r="B91" s="7" t="s">
        <v>12</v>
      </c>
      <c r="C91" s="3"/>
      <c r="D91" s="3"/>
      <c r="E91" s="4">
        <f t="shared" si="7"/>
        <v>0</v>
      </c>
      <c r="F91" s="3"/>
      <c r="G91" s="3"/>
      <c r="H91" s="3"/>
      <c r="I91" s="3"/>
      <c r="J91" s="3"/>
      <c r="K91" s="3"/>
      <c r="L91" s="3"/>
      <c r="M91" s="5">
        <f t="shared" si="8"/>
        <v>0</v>
      </c>
      <c r="N91" s="28" t="e">
        <f t="shared" si="9"/>
        <v>#DIV/0!</v>
      </c>
      <c r="O91" s="7"/>
      <c r="P91" s="7"/>
      <c r="Q91" s="7"/>
      <c r="R91" s="7"/>
      <c r="S91" s="3"/>
      <c r="T91" s="37">
        <f t="shared" si="6"/>
        <v>0</v>
      </c>
      <c r="U91" s="28" t="e">
        <f t="shared" si="10"/>
        <v>#DIV/0!</v>
      </c>
      <c r="V91" s="59">
        <f t="shared" si="11"/>
        <v>0</v>
      </c>
    </row>
    <row r="92" spans="1:22" ht="21.75" customHeight="1">
      <c r="A92" s="87"/>
      <c r="B92" s="7" t="s">
        <v>13</v>
      </c>
      <c r="C92" s="3"/>
      <c r="D92" s="3"/>
      <c r="E92" s="4">
        <f t="shared" si="7"/>
        <v>0</v>
      </c>
      <c r="F92" s="3"/>
      <c r="G92" s="3"/>
      <c r="H92" s="3"/>
      <c r="I92" s="3"/>
      <c r="J92" s="3"/>
      <c r="K92" s="3"/>
      <c r="L92" s="3"/>
      <c r="M92" s="5">
        <f t="shared" si="8"/>
        <v>0</v>
      </c>
      <c r="N92" s="28" t="e">
        <f t="shared" si="9"/>
        <v>#DIV/0!</v>
      </c>
      <c r="O92" s="7"/>
      <c r="P92" s="7"/>
      <c r="Q92" s="7"/>
      <c r="R92" s="7"/>
      <c r="S92" s="3"/>
      <c r="T92" s="37">
        <f t="shared" si="6"/>
        <v>0</v>
      </c>
      <c r="U92" s="28" t="e">
        <f t="shared" si="10"/>
        <v>#DIV/0!</v>
      </c>
      <c r="V92" s="59">
        <f t="shared" si="11"/>
        <v>0</v>
      </c>
    </row>
    <row r="93" spans="1:22" ht="21.75" customHeight="1">
      <c r="A93" s="87"/>
      <c r="B93" s="7" t="s">
        <v>14</v>
      </c>
      <c r="C93" s="3"/>
      <c r="D93" s="3"/>
      <c r="E93" s="4">
        <f t="shared" si="7"/>
        <v>0</v>
      </c>
      <c r="F93" s="3"/>
      <c r="G93" s="3"/>
      <c r="H93" s="3"/>
      <c r="I93" s="3"/>
      <c r="J93" s="3"/>
      <c r="K93" s="3"/>
      <c r="L93" s="3"/>
      <c r="M93" s="5">
        <f t="shared" si="8"/>
        <v>0</v>
      </c>
      <c r="N93" s="28" t="e">
        <f t="shared" si="9"/>
        <v>#DIV/0!</v>
      </c>
      <c r="O93" s="7"/>
      <c r="P93" s="7"/>
      <c r="Q93" s="7"/>
      <c r="R93" s="7"/>
      <c r="S93" s="3"/>
      <c r="T93" s="37">
        <f t="shared" si="6"/>
        <v>0</v>
      </c>
      <c r="U93" s="28" t="e">
        <f t="shared" si="10"/>
        <v>#DIV/0!</v>
      </c>
      <c r="V93" s="59">
        <f t="shared" si="11"/>
        <v>0</v>
      </c>
    </row>
    <row r="94" spans="1:22" ht="21.75" customHeight="1">
      <c r="A94" s="87">
        <v>29</v>
      </c>
      <c r="B94" s="7" t="s">
        <v>12</v>
      </c>
      <c r="C94" s="3"/>
      <c r="D94" s="3"/>
      <c r="E94" s="4">
        <f t="shared" si="7"/>
        <v>0</v>
      </c>
      <c r="F94" s="3"/>
      <c r="G94" s="3"/>
      <c r="H94" s="3"/>
      <c r="I94" s="3"/>
      <c r="J94" s="3"/>
      <c r="K94" s="3"/>
      <c r="L94" s="3"/>
      <c r="M94" s="5">
        <f t="shared" si="8"/>
        <v>0</v>
      </c>
      <c r="N94" s="28" t="e">
        <f t="shared" si="9"/>
        <v>#DIV/0!</v>
      </c>
      <c r="O94" s="7"/>
      <c r="P94" s="7"/>
      <c r="Q94" s="7"/>
      <c r="R94" s="7"/>
      <c r="S94" s="3"/>
      <c r="T94" s="37">
        <f t="shared" si="6"/>
        <v>0</v>
      </c>
      <c r="U94" s="28" t="e">
        <f t="shared" si="10"/>
        <v>#DIV/0!</v>
      </c>
      <c r="V94" s="59">
        <f t="shared" si="11"/>
        <v>0</v>
      </c>
    </row>
    <row r="95" spans="1:22" ht="21.75" customHeight="1">
      <c r="A95" s="87"/>
      <c r="B95" s="7" t="s">
        <v>13</v>
      </c>
      <c r="C95" s="3"/>
      <c r="D95" s="3"/>
      <c r="E95" s="4">
        <f t="shared" si="7"/>
        <v>0</v>
      </c>
      <c r="F95" s="3"/>
      <c r="G95" s="3"/>
      <c r="H95" s="3"/>
      <c r="I95" s="3"/>
      <c r="J95" s="3"/>
      <c r="K95" s="3"/>
      <c r="L95" s="3"/>
      <c r="M95" s="5">
        <f t="shared" si="8"/>
        <v>0</v>
      </c>
      <c r="N95" s="28" t="e">
        <f t="shared" si="9"/>
        <v>#DIV/0!</v>
      </c>
      <c r="O95" s="7"/>
      <c r="P95" s="7"/>
      <c r="Q95" s="7"/>
      <c r="R95" s="7"/>
      <c r="S95" s="3"/>
      <c r="T95" s="37">
        <f t="shared" si="6"/>
        <v>0</v>
      </c>
      <c r="U95" s="28" t="e">
        <f t="shared" si="10"/>
        <v>#DIV/0!</v>
      </c>
      <c r="V95" s="59">
        <f t="shared" si="11"/>
        <v>0</v>
      </c>
    </row>
    <row r="96" spans="1:22" ht="21.75" customHeight="1">
      <c r="A96" s="87"/>
      <c r="B96" s="7" t="s">
        <v>14</v>
      </c>
      <c r="C96" s="3"/>
      <c r="D96" s="3"/>
      <c r="E96" s="4">
        <f t="shared" si="7"/>
        <v>0</v>
      </c>
      <c r="F96" s="3"/>
      <c r="G96" s="3"/>
      <c r="H96" s="3"/>
      <c r="I96" s="3"/>
      <c r="J96" s="3"/>
      <c r="K96" s="3"/>
      <c r="L96" s="3"/>
      <c r="M96" s="5">
        <f t="shared" si="8"/>
        <v>0</v>
      </c>
      <c r="N96" s="28" t="e">
        <f t="shared" si="9"/>
        <v>#DIV/0!</v>
      </c>
      <c r="O96" s="7"/>
      <c r="P96" s="7"/>
      <c r="Q96" s="7"/>
      <c r="R96" s="7"/>
      <c r="S96" s="3"/>
      <c r="T96" s="37">
        <f t="shared" si="6"/>
        <v>0</v>
      </c>
      <c r="U96" s="28" t="e">
        <f t="shared" si="10"/>
        <v>#DIV/0!</v>
      </c>
      <c r="V96" s="59">
        <f t="shared" si="11"/>
        <v>0</v>
      </c>
    </row>
    <row r="97" spans="1:22" ht="21.75" customHeight="1">
      <c r="A97" s="87">
        <v>30</v>
      </c>
      <c r="B97" s="7" t="s">
        <v>12</v>
      </c>
      <c r="C97" s="3"/>
      <c r="D97" s="3"/>
      <c r="E97" s="4">
        <f t="shared" si="7"/>
        <v>0</v>
      </c>
      <c r="F97" s="3"/>
      <c r="G97" s="3"/>
      <c r="H97" s="3"/>
      <c r="I97" s="3"/>
      <c r="J97" s="3"/>
      <c r="K97" s="3"/>
      <c r="L97" s="3"/>
      <c r="M97" s="5">
        <f t="shared" si="8"/>
        <v>0</v>
      </c>
      <c r="N97" s="28" t="e">
        <f t="shared" si="9"/>
        <v>#DIV/0!</v>
      </c>
      <c r="O97" s="7"/>
      <c r="P97" s="7"/>
      <c r="Q97" s="7"/>
      <c r="R97" s="7"/>
      <c r="S97" s="3"/>
      <c r="T97" s="37">
        <f t="shared" si="6"/>
        <v>0</v>
      </c>
      <c r="U97" s="28" t="e">
        <f t="shared" si="10"/>
        <v>#DIV/0!</v>
      </c>
      <c r="V97" s="59">
        <f t="shared" si="11"/>
        <v>0</v>
      </c>
    </row>
    <row r="98" spans="1:22" ht="21.75" customHeight="1">
      <c r="A98" s="87"/>
      <c r="B98" s="7" t="s">
        <v>13</v>
      </c>
      <c r="C98" s="3"/>
      <c r="D98" s="3"/>
      <c r="E98" s="4">
        <f t="shared" si="7"/>
        <v>0</v>
      </c>
      <c r="F98" s="3"/>
      <c r="G98" s="3"/>
      <c r="H98" s="3"/>
      <c r="I98" s="3"/>
      <c r="J98" s="3"/>
      <c r="K98" s="3"/>
      <c r="L98" s="3"/>
      <c r="M98" s="5">
        <f t="shared" si="8"/>
        <v>0</v>
      </c>
      <c r="N98" s="28" t="e">
        <f t="shared" si="9"/>
        <v>#DIV/0!</v>
      </c>
      <c r="O98" s="7"/>
      <c r="P98" s="7"/>
      <c r="Q98" s="7"/>
      <c r="R98" s="7"/>
      <c r="S98" s="3"/>
      <c r="T98" s="37">
        <f t="shared" si="6"/>
        <v>0</v>
      </c>
      <c r="U98" s="28" t="e">
        <f t="shared" si="10"/>
        <v>#DIV/0!</v>
      </c>
      <c r="V98" s="59">
        <f t="shared" si="11"/>
        <v>0</v>
      </c>
    </row>
    <row r="99" spans="1:22" ht="21.75" customHeight="1">
      <c r="A99" s="87"/>
      <c r="B99" s="7" t="s">
        <v>14</v>
      </c>
      <c r="C99" s="3"/>
      <c r="D99" s="3"/>
      <c r="E99" s="4">
        <f t="shared" si="7"/>
        <v>0</v>
      </c>
      <c r="F99" s="3"/>
      <c r="G99" s="3"/>
      <c r="H99" s="3"/>
      <c r="I99" s="3"/>
      <c r="J99" s="3"/>
      <c r="K99" s="3"/>
      <c r="L99" s="3"/>
      <c r="M99" s="5">
        <f t="shared" si="8"/>
        <v>0</v>
      </c>
      <c r="N99" s="28" t="e">
        <f t="shared" si="9"/>
        <v>#DIV/0!</v>
      </c>
      <c r="O99" s="7"/>
      <c r="P99" s="7"/>
      <c r="Q99" s="7"/>
      <c r="R99" s="7"/>
      <c r="S99" s="3"/>
      <c r="T99" s="37">
        <f t="shared" si="6"/>
        <v>0</v>
      </c>
      <c r="U99" s="28" t="e">
        <f t="shared" si="10"/>
        <v>#DIV/0!</v>
      </c>
      <c r="V99" s="59">
        <f t="shared" si="11"/>
        <v>0</v>
      </c>
    </row>
    <row r="100" spans="1:22" ht="21.75" customHeight="1">
      <c r="A100" s="87">
        <v>31</v>
      </c>
      <c r="B100" s="7" t="s">
        <v>12</v>
      </c>
      <c r="C100" s="3"/>
      <c r="D100" s="3"/>
      <c r="E100" s="4">
        <f t="shared" si="7"/>
        <v>0</v>
      </c>
      <c r="F100" s="3"/>
      <c r="G100" s="3"/>
      <c r="H100" s="3"/>
      <c r="I100" s="3"/>
      <c r="J100" s="3"/>
      <c r="K100" s="3"/>
      <c r="L100" s="3"/>
      <c r="M100" s="5">
        <f t="shared" si="8"/>
        <v>0</v>
      </c>
      <c r="N100" s="28" t="e">
        <f t="shared" si="9"/>
        <v>#DIV/0!</v>
      </c>
      <c r="O100" s="7"/>
      <c r="P100" s="7"/>
      <c r="Q100" s="7"/>
      <c r="R100" s="7"/>
      <c r="S100" s="3"/>
      <c r="T100" s="37">
        <f t="shared" si="6"/>
        <v>0</v>
      </c>
      <c r="U100" s="28" t="e">
        <f t="shared" si="10"/>
        <v>#DIV/0!</v>
      </c>
      <c r="V100" s="59">
        <f t="shared" si="11"/>
        <v>0</v>
      </c>
    </row>
    <row r="101" spans="1:22" ht="21.75" customHeight="1">
      <c r="A101" s="87"/>
      <c r="B101" s="7" t="s">
        <v>13</v>
      </c>
      <c r="C101" s="3"/>
      <c r="D101" s="3"/>
      <c r="E101" s="4">
        <f t="shared" si="7"/>
        <v>0</v>
      </c>
      <c r="F101" s="3"/>
      <c r="G101" s="3"/>
      <c r="H101" s="3"/>
      <c r="I101" s="3"/>
      <c r="J101" s="3"/>
      <c r="K101" s="3"/>
      <c r="L101" s="3"/>
      <c r="M101" s="5">
        <f t="shared" si="8"/>
        <v>0</v>
      </c>
      <c r="N101" s="28" t="e">
        <f t="shared" si="9"/>
        <v>#DIV/0!</v>
      </c>
      <c r="O101" s="7"/>
      <c r="P101" s="7"/>
      <c r="Q101" s="7"/>
      <c r="R101" s="7"/>
      <c r="S101" s="3"/>
      <c r="T101" s="37">
        <f t="shared" si="6"/>
        <v>0</v>
      </c>
      <c r="U101" s="28" t="e">
        <f t="shared" si="10"/>
        <v>#DIV/0!</v>
      </c>
      <c r="V101" s="59">
        <f t="shared" si="11"/>
        <v>0</v>
      </c>
    </row>
    <row r="102" spans="1:22" ht="21.75" customHeight="1">
      <c r="A102" s="87"/>
      <c r="B102" s="7" t="s">
        <v>14</v>
      </c>
      <c r="C102" s="3"/>
      <c r="D102" s="3"/>
      <c r="E102" s="4">
        <f t="shared" si="7"/>
        <v>0</v>
      </c>
      <c r="F102" s="3"/>
      <c r="G102" s="3"/>
      <c r="H102" s="3"/>
      <c r="I102" s="3"/>
      <c r="J102" s="3"/>
      <c r="K102" s="3"/>
      <c r="L102" s="3"/>
      <c r="M102" s="5">
        <f t="shared" si="8"/>
        <v>0</v>
      </c>
      <c r="N102" s="28" t="e">
        <f t="shared" si="9"/>
        <v>#DIV/0!</v>
      </c>
      <c r="O102" s="7"/>
      <c r="P102" s="7"/>
      <c r="Q102" s="7"/>
      <c r="R102" s="7"/>
      <c r="S102" s="3"/>
      <c r="T102" s="37">
        <f t="shared" si="6"/>
        <v>0</v>
      </c>
      <c r="U102" s="28" t="e">
        <f t="shared" si="10"/>
        <v>#DIV/0!</v>
      </c>
      <c r="V102" s="59">
        <f t="shared" si="11"/>
        <v>0</v>
      </c>
    </row>
    <row r="103" spans="1:22" ht="21.75" customHeight="1">
      <c r="A103" s="87" t="s">
        <v>41</v>
      </c>
      <c r="B103" s="1" t="s">
        <v>12</v>
      </c>
      <c r="C103" s="37">
        <f>C10+C13+C16+C19+C22+C25+C28+C31+C34+C37+C40+C43+C46+C49+C52+C55+C58+C61+C64+C67+C70+C73+C76+C79+C82+C85+C88+C91+C94+C97+C100</f>
        <v>0</v>
      </c>
      <c r="D103" s="37">
        <f>D10+D13+D16+D19+D22+D25+D28+D31+D34+D37+D40+D43+D46+D49+D52+D55+D58+D61+D64+D67+D70+D73+D76+D79+D82+D85+D88+D91+D94+D97+D100</f>
        <v>0</v>
      </c>
      <c r="E103" s="4">
        <f>((($B$3*C103)+(12*D103))*$M$4)/7</f>
        <v>0</v>
      </c>
      <c r="F103" s="1">
        <f t="shared" ref="F103:L105" si="12">F10+F13+F16+F19+F22+F25+F28+F31+F34+F37+F40+F43+F46+F49+F52+F55+F58+F61+F64+F67+F70+F73+F76+F79+F82+F85+F88+F91+F94+F97+F100</f>
        <v>0</v>
      </c>
      <c r="G103" s="1">
        <f t="shared" si="12"/>
        <v>0</v>
      </c>
      <c r="H103" s="1">
        <f t="shared" si="12"/>
        <v>0</v>
      </c>
      <c r="I103" s="1">
        <f t="shared" si="12"/>
        <v>0</v>
      </c>
      <c r="J103" s="1">
        <f t="shared" si="12"/>
        <v>0</v>
      </c>
      <c r="K103" s="1">
        <f t="shared" si="12"/>
        <v>0</v>
      </c>
      <c r="L103" s="1">
        <f t="shared" si="12"/>
        <v>0</v>
      </c>
      <c r="M103" s="5">
        <f t="shared" si="8"/>
        <v>0</v>
      </c>
      <c r="N103" s="28" t="e">
        <f t="shared" si="9"/>
        <v>#DIV/0!</v>
      </c>
      <c r="O103" s="1">
        <f t="shared" ref="O103:S105" si="13">O10+O13+O16+O19+O22+O25+O28+O31+O34+O37+O40+O43+O46+O49+O52+O55+O58+O61+O64+O67+O70+O73+O76+O79+O82+O85+O88+O91+O94+O97+O100</f>
        <v>0</v>
      </c>
      <c r="P103" s="1">
        <f t="shared" si="13"/>
        <v>0</v>
      </c>
      <c r="Q103" s="1">
        <f t="shared" si="13"/>
        <v>0</v>
      </c>
      <c r="R103" s="1">
        <f t="shared" si="13"/>
        <v>0</v>
      </c>
      <c r="S103" s="1">
        <f t="shared" si="13"/>
        <v>0</v>
      </c>
      <c r="T103" s="37">
        <f t="shared" si="6"/>
        <v>0</v>
      </c>
      <c r="U103" s="28" t="e">
        <f t="shared" si="10"/>
        <v>#DIV/0!</v>
      </c>
      <c r="V103" s="59">
        <f t="shared" si="11"/>
        <v>0</v>
      </c>
    </row>
    <row r="104" spans="1:22" ht="21.75" customHeight="1">
      <c r="A104" s="87"/>
      <c r="B104" s="1" t="s">
        <v>13</v>
      </c>
      <c r="C104" s="37">
        <f t="shared" ref="C104:D105" si="14">C11+C14+C17+C20+C23+C26+C29+C32+C35+C38+C41+C44+C47+C50+C53+C56+C59+C62+C65+C68+C71+C74+C77+C80+C83+C86+C89+C92+C95+C98+C101</f>
        <v>0</v>
      </c>
      <c r="D104" s="37">
        <f t="shared" si="14"/>
        <v>0</v>
      </c>
      <c r="E104" s="4">
        <f t="shared" ref="E104:E105" si="15">((($B$3*C104)+(12*D104))*$M$4)/7</f>
        <v>0</v>
      </c>
      <c r="F104" s="1">
        <f t="shared" si="12"/>
        <v>0</v>
      </c>
      <c r="G104" s="1">
        <f t="shared" si="12"/>
        <v>0</v>
      </c>
      <c r="H104" s="1">
        <f t="shared" ref="H104" si="16">H11+H14+H17+H20+H23+H26+H29+H32+H35+H38+H41+H44+H47+H50+H53+H56+H59+H62+H65+H68+H71+H74+H77+H80+H83+H86+H89+H92+H95+H98+H101</f>
        <v>0</v>
      </c>
      <c r="I104" s="1">
        <f t="shared" si="12"/>
        <v>0</v>
      </c>
      <c r="J104" s="1">
        <f t="shared" si="12"/>
        <v>0</v>
      </c>
      <c r="K104" s="1">
        <f t="shared" ref="K104" si="17">K11+K14+K17+K20+K23+K26+K29+K32+K35+K38+K41+K44+K47+K50+K53+K56+K59+K62+K65+K68+K71+K74+K77+K80+K83+K86+K89+K92+K95+K98+K101</f>
        <v>0</v>
      </c>
      <c r="L104" s="1">
        <f t="shared" si="12"/>
        <v>0</v>
      </c>
      <c r="M104" s="5">
        <f t="shared" si="8"/>
        <v>0</v>
      </c>
      <c r="N104" s="28" t="e">
        <f t="shared" si="9"/>
        <v>#DIV/0!</v>
      </c>
      <c r="O104" s="1">
        <f t="shared" si="13"/>
        <v>0</v>
      </c>
      <c r="P104" s="1">
        <f t="shared" si="13"/>
        <v>0</v>
      </c>
      <c r="Q104" s="1">
        <f t="shared" si="13"/>
        <v>0</v>
      </c>
      <c r="R104" s="1">
        <f t="shared" si="13"/>
        <v>0</v>
      </c>
      <c r="S104" s="1">
        <f t="shared" si="13"/>
        <v>0</v>
      </c>
      <c r="T104" s="37">
        <f t="shared" si="6"/>
        <v>0</v>
      </c>
      <c r="U104" s="28" t="e">
        <f t="shared" si="10"/>
        <v>#DIV/0!</v>
      </c>
      <c r="V104" s="59">
        <f t="shared" si="11"/>
        <v>0</v>
      </c>
    </row>
    <row r="105" spans="1:22" ht="21.75" customHeight="1">
      <c r="A105" s="87"/>
      <c r="B105" s="1" t="s">
        <v>14</v>
      </c>
      <c r="C105" s="37">
        <f t="shared" si="14"/>
        <v>0</v>
      </c>
      <c r="D105" s="37">
        <f t="shared" si="14"/>
        <v>0</v>
      </c>
      <c r="E105" s="4">
        <f t="shared" si="15"/>
        <v>0</v>
      </c>
      <c r="F105" s="1">
        <f t="shared" si="12"/>
        <v>0</v>
      </c>
      <c r="G105" s="1">
        <f t="shared" si="12"/>
        <v>0</v>
      </c>
      <c r="H105" s="1">
        <f t="shared" ref="H105" si="18">H12+H15+H18+H21+H24+H27+H30+H33+H36+H39+H42+H45+H48+H51+H54+H57+H60+H63+H66+H69+H72+H75+H78+H81+H84+H87+H90+H93+H96+H99+H102</f>
        <v>0</v>
      </c>
      <c r="I105" s="1">
        <f t="shared" si="12"/>
        <v>0</v>
      </c>
      <c r="J105" s="1">
        <f t="shared" si="12"/>
        <v>0</v>
      </c>
      <c r="K105" s="1">
        <f t="shared" ref="K105" si="19">K12+K15+K18+K21+K24+K27+K30+K33+K36+K39+K42+K45+K48+K51+K54+K57+K60+K63+K66+K69+K72+K75+K78+K81+K84+K87+K90+K93+K96+K99+K102</f>
        <v>0</v>
      </c>
      <c r="L105" s="1">
        <f t="shared" si="12"/>
        <v>0</v>
      </c>
      <c r="M105" s="5">
        <f t="shared" si="8"/>
        <v>0</v>
      </c>
      <c r="N105" s="28" t="e">
        <f t="shared" si="9"/>
        <v>#DIV/0!</v>
      </c>
      <c r="O105" s="1">
        <f t="shared" si="13"/>
        <v>0</v>
      </c>
      <c r="P105" s="1">
        <f t="shared" si="13"/>
        <v>0</v>
      </c>
      <c r="Q105" s="1">
        <f t="shared" si="13"/>
        <v>0</v>
      </c>
      <c r="R105" s="1">
        <f t="shared" si="13"/>
        <v>0</v>
      </c>
      <c r="S105" s="1">
        <f t="shared" si="13"/>
        <v>0</v>
      </c>
      <c r="T105" s="37">
        <f t="shared" si="6"/>
        <v>0</v>
      </c>
      <c r="U105" s="28" t="e">
        <f t="shared" si="10"/>
        <v>#DIV/0!</v>
      </c>
      <c r="V105" s="59">
        <f t="shared" si="11"/>
        <v>0</v>
      </c>
    </row>
    <row r="106" spans="1:22" ht="21.75" customHeight="1">
      <c r="A106" s="7" t="s">
        <v>42</v>
      </c>
      <c r="B106" s="7"/>
      <c r="C106" s="42">
        <f>SUM(C103:C105)/3</f>
        <v>0</v>
      </c>
      <c r="D106" s="42">
        <f>SUM(D103:D105)/3</f>
        <v>0</v>
      </c>
      <c r="E106" s="25"/>
      <c r="F106" s="42">
        <f>SUM(F103:F105)</f>
        <v>0</v>
      </c>
      <c r="G106" s="42">
        <f t="shared" ref="G106:L106" si="20">SUM(G103:G105)</f>
        <v>0</v>
      </c>
      <c r="H106" s="42">
        <f t="shared" si="20"/>
        <v>0</v>
      </c>
      <c r="I106" s="42">
        <f t="shared" si="20"/>
        <v>0</v>
      </c>
      <c r="J106" s="42">
        <f t="shared" si="20"/>
        <v>0</v>
      </c>
      <c r="K106" s="42">
        <f t="shared" si="20"/>
        <v>0</v>
      </c>
      <c r="L106" s="42">
        <f t="shared" si="20"/>
        <v>0</v>
      </c>
      <c r="M106" s="5">
        <f t="shared" si="8"/>
        <v>0</v>
      </c>
      <c r="N106" s="25"/>
      <c r="O106" s="25">
        <f>SUM(O103:O105)/3</f>
        <v>0</v>
      </c>
      <c r="P106" s="25">
        <f>SUM(P103:P105)/3</f>
        <v>0</v>
      </c>
      <c r="Q106" s="25">
        <f t="shared" ref="Q106:S106" si="21">SUM(Q103:Q105)/3</f>
        <v>0</v>
      </c>
      <c r="R106" s="25">
        <f t="shared" si="21"/>
        <v>0</v>
      </c>
      <c r="S106" s="25">
        <f t="shared" si="21"/>
        <v>0</v>
      </c>
      <c r="T106" s="37">
        <f t="shared" si="6"/>
        <v>0</v>
      </c>
      <c r="U106" s="28" t="e">
        <f t="shared" si="10"/>
        <v>#DIV/0!</v>
      </c>
      <c r="V106" s="59">
        <f t="shared" si="11"/>
        <v>0</v>
      </c>
    </row>
  </sheetData>
  <mergeCells count="77">
    <mergeCell ref="E4:H4"/>
    <mergeCell ref="F6:H6"/>
    <mergeCell ref="I6:K6"/>
    <mergeCell ref="O7:S7"/>
    <mergeCell ref="T7:T9"/>
    <mergeCell ref="O8:O9"/>
    <mergeCell ref="Q4:R4"/>
    <mergeCell ref="F5:L5"/>
    <mergeCell ref="O5:P5"/>
    <mergeCell ref="Q5:R5"/>
    <mergeCell ref="O6:Q6"/>
    <mergeCell ref="R6:S6"/>
    <mergeCell ref="P8:P9"/>
    <mergeCell ref="I4:L4"/>
    <mergeCell ref="I8:K8"/>
    <mergeCell ref="F8:H8"/>
    <mergeCell ref="A1:N1"/>
    <mergeCell ref="A2:N2"/>
    <mergeCell ref="M3:N3"/>
    <mergeCell ref="O3:P3"/>
    <mergeCell ref="Q3:R3"/>
    <mergeCell ref="I3:L3"/>
    <mergeCell ref="E3:H3"/>
    <mergeCell ref="C5:D5"/>
    <mergeCell ref="C6:D6"/>
    <mergeCell ref="N7:N9"/>
    <mergeCell ref="E7:E9"/>
    <mergeCell ref="F7:K7"/>
    <mergeCell ref="A97:A99"/>
    <mergeCell ref="A100:A102"/>
    <mergeCell ref="A103:A105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91:A93"/>
    <mergeCell ref="A94:A96"/>
    <mergeCell ref="A49:A51"/>
    <mergeCell ref="A52:A54"/>
    <mergeCell ref="A55:A57"/>
    <mergeCell ref="A58:A60"/>
    <mergeCell ref="A61:A63"/>
    <mergeCell ref="A37:A39"/>
    <mergeCell ref="A40:A42"/>
    <mergeCell ref="A43:A45"/>
    <mergeCell ref="A46:A48"/>
    <mergeCell ref="A7:A9"/>
    <mergeCell ref="A10:A12"/>
    <mergeCell ref="A28:A30"/>
    <mergeCell ref="A31:A33"/>
    <mergeCell ref="A34:A36"/>
    <mergeCell ref="A13:A15"/>
    <mergeCell ref="A16:A18"/>
    <mergeCell ref="A19:A21"/>
    <mergeCell ref="A22:A24"/>
    <mergeCell ref="A25:A27"/>
    <mergeCell ref="U7:U9"/>
    <mergeCell ref="L7:L9"/>
    <mergeCell ref="M7:M9"/>
    <mergeCell ref="A3:A4"/>
    <mergeCell ref="B3:B4"/>
    <mergeCell ref="C3:C4"/>
    <mergeCell ref="Q8:Q9"/>
    <mergeCell ref="R8:R9"/>
    <mergeCell ref="S8:S9"/>
    <mergeCell ref="M4:N4"/>
    <mergeCell ref="O4:P4"/>
    <mergeCell ref="B7:B9"/>
    <mergeCell ref="C7:C9"/>
    <mergeCell ref="D7:D9"/>
    <mergeCell ref="A5:B5"/>
    <mergeCell ref="A6:B6"/>
  </mergeCell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106"/>
  <sheetViews>
    <sheetView zoomScale="85" zoomScaleNormal="85" workbookViewId="0">
      <pane xSplit="2" ySplit="9" topLeftCell="C95" activePane="bottomRight" state="frozen"/>
      <selection pane="topRight" activeCell="C1" sqref="C1"/>
      <selection pane="bottomLeft" activeCell="A10" sqref="A10"/>
      <selection pane="bottomRight" activeCell="M10" sqref="M10:M106"/>
    </sheetView>
  </sheetViews>
  <sheetFormatPr defaultColWidth="9" defaultRowHeight="21.75" customHeight="1"/>
  <cols>
    <col min="1" max="1" width="10.33203125" style="2" customWidth="1"/>
    <col min="2" max="2" width="4.109375" style="2" customWidth="1"/>
    <col min="3" max="3" width="8.77734375" style="2" customWidth="1"/>
    <col min="4" max="4" width="8.44140625" style="2" customWidth="1"/>
    <col min="5" max="5" width="7.21875" style="2" customWidth="1"/>
    <col min="6" max="6" width="7.77734375" style="2" customWidth="1"/>
    <col min="7" max="8" width="6" style="2" customWidth="1"/>
    <col min="9" max="9" width="5.33203125" style="2" bestFit="1" customWidth="1"/>
    <col min="10" max="11" width="6.33203125" style="2" customWidth="1"/>
    <col min="12" max="12" width="6" style="2" customWidth="1"/>
    <col min="13" max="13" width="6.88671875" style="2" bestFit="1" customWidth="1"/>
    <col min="14" max="14" width="7.88671875" style="2" bestFit="1" customWidth="1"/>
    <col min="15" max="15" width="5.33203125" style="2" bestFit="1" customWidth="1"/>
    <col min="16" max="17" width="6.33203125" style="2" bestFit="1" customWidth="1"/>
    <col min="18" max="18" width="5" style="2" customWidth="1"/>
    <col min="19" max="19" width="6.6640625" style="2" customWidth="1"/>
    <col min="20" max="20" width="6.88671875" style="2" customWidth="1"/>
    <col min="21" max="21" width="6.77734375" style="2" customWidth="1"/>
    <col min="22" max="22" width="4.109375" style="2" bestFit="1" customWidth="1"/>
    <col min="23" max="16384" width="9" style="2"/>
  </cols>
  <sheetData>
    <row r="1" spans="1:22" ht="21.75" customHeight="1">
      <c r="A1" s="90" t="s">
        <v>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</row>
    <row r="2" spans="1:22" ht="21.75" customHeight="1">
      <c r="A2" s="90" t="s">
        <v>65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</row>
    <row r="3" spans="1:22" ht="21.75" customHeight="1">
      <c r="A3" s="91" t="s">
        <v>10</v>
      </c>
      <c r="B3" s="92">
        <v>4.5</v>
      </c>
      <c r="C3" s="93" t="s">
        <v>11</v>
      </c>
      <c r="D3" s="38"/>
      <c r="E3" s="116" t="s">
        <v>12</v>
      </c>
      <c r="F3" s="95"/>
      <c r="G3" s="95"/>
      <c r="H3" s="96"/>
      <c r="I3" s="93" t="s">
        <v>13</v>
      </c>
      <c r="J3" s="93"/>
      <c r="K3" s="93"/>
      <c r="L3" s="93"/>
      <c r="M3" s="95" t="s">
        <v>14</v>
      </c>
      <c r="N3" s="96"/>
      <c r="O3" s="113" t="s">
        <v>15</v>
      </c>
      <c r="P3" s="113"/>
      <c r="Q3" s="115">
        <f>((F103+F105)*240)+((G103+G105)*180)</f>
        <v>0</v>
      </c>
      <c r="R3" s="115"/>
      <c r="S3" s="7" t="s">
        <v>16</v>
      </c>
    </row>
    <row r="4" spans="1:22" ht="21.75" customHeight="1">
      <c r="A4" s="91"/>
      <c r="B4" s="92"/>
      <c r="C4" s="93"/>
      <c r="D4" s="38"/>
      <c r="E4" s="114">
        <v>0.25</v>
      </c>
      <c r="F4" s="97"/>
      <c r="G4" s="97"/>
      <c r="H4" s="98"/>
      <c r="I4" s="94">
        <v>0.4</v>
      </c>
      <c r="J4" s="94"/>
      <c r="K4" s="94"/>
      <c r="L4" s="94"/>
      <c r="M4" s="97">
        <v>0.35</v>
      </c>
      <c r="N4" s="98"/>
      <c r="O4" s="113" t="s">
        <v>17</v>
      </c>
      <c r="P4" s="113"/>
      <c r="Q4" s="115">
        <f>((I103+L103+I104+L104+I105+L105)*660)+((J103+J105+J104)*530)</f>
        <v>0</v>
      </c>
      <c r="R4" s="115"/>
      <c r="S4" s="7" t="s">
        <v>16</v>
      </c>
    </row>
    <row r="5" spans="1:22" ht="21.75" customHeight="1">
      <c r="A5" s="99" t="s">
        <v>18</v>
      </c>
      <c r="B5" s="99"/>
      <c r="C5" s="103">
        <v>0</v>
      </c>
      <c r="D5" s="104"/>
      <c r="E5" s="35" t="s">
        <v>19</v>
      </c>
      <c r="F5" s="114" t="s">
        <v>20</v>
      </c>
      <c r="G5" s="97"/>
      <c r="H5" s="97"/>
      <c r="I5" s="97"/>
      <c r="J5" s="97"/>
      <c r="K5" s="97"/>
      <c r="L5" s="97"/>
      <c r="M5" s="6">
        <v>0</v>
      </c>
      <c r="N5" s="34" t="s">
        <v>21</v>
      </c>
      <c r="O5" s="113"/>
      <c r="P5" s="113"/>
      <c r="Q5" s="115"/>
      <c r="R5" s="115"/>
      <c r="S5" s="7"/>
    </row>
    <row r="6" spans="1:22" ht="21.75" customHeight="1">
      <c r="A6" s="99" t="s">
        <v>23</v>
      </c>
      <c r="B6" s="99"/>
      <c r="C6" s="105" t="e">
        <f>((C106*12)/(M5*7)+((D106*12)/(M5*7)))</f>
        <v>#DIV/0!</v>
      </c>
      <c r="D6" s="106"/>
      <c r="E6" s="35" t="s">
        <v>19</v>
      </c>
      <c r="F6" s="80" t="s">
        <v>24</v>
      </c>
      <c r="G6" s="81"/>
      <c r="H6" s="82"/>
      <c r="I6" s="77" t="e">
        <f>C5-C6</f>
        <v>#DIV/0!</v>
      </c>
      <c r="J6" s="78"/>
      <c r="K6" s="79"/>
      <c r="L6" s="39" t="s">
        <v>19</v>
      </c>
      <c r="M6" s="36" t="s">
        <v>25</v>
      </c>
      <c r="N6" s="27" t="e">
        <f>((((C106*4.5)+(D106*12))/((F106+G106+H106+I106+J106+K106+L106)*7)))*100</f>
        <v>#DIV/0!</v>
      </c>
      <c r="O6" s="71" t="s">
        <v>26</v>
      </c>
      <c r="P6" s="71"/>
      <c r="Q6" s="71"/>
      <c r="R6" s="72" t="e">
        <f>U106</f>
        <v>#DIV/0!</v>
      </c>
      <c r="S6" s="73"/>
    </row>
    <row r="7" spans="1:22" ht="21.75" customHeight="1">
      <c r="A7" s="65" t="s">
        <v>27</v>
      </c>
      <c r="B7" s="65" t="s">
        <v>28</v>
      </c>
      <c r="C7" s="100" t="s">
        <v>77</v>
      </c>
      <c r="D7" s="100" t="s">
        <v>78</v>
      </c>
      <c r="E7" s="65" t="s">
        <v>30</v>
      </c>
      <c r="F7" s="91" t="s">
        <v>31</v>
      </c>
      <c r="G7" s="91"/>
      <c r="H7" s="91"/>
      <c r="I7" s="91"/>
      <c r="J7" s="91"/>
      <c r="K7" s="91"/>
      <c r="L7" s="65" t="s">
        <v>32</v>
      </c>
      <c r="M7" s="65" t="s">
        <v>33</v>
      </c>
      <c r="N7" s="68" t="s">
        <v>25</v>
      </c>
      <c r="O7" s="87" t="s">
        <v>34</v>
      </c>
      <c r="P7" s="87"/>
      <c r="Q7" s="87"/>
      <c r="R7" s="87"/>
      <c r="S7" s="87"/>
      <c r="T7" s="83" t="s">
        <v>35</v>
      </c>
      <c r="U7" s="85" t="s">
        <v>26</v>
      </c>
    </row>
    <row r="8" spans="1:22" ht="21.75" customHeight="1">
      <c r="A8" s="66"/>
      <c r="B8" s="66"/>
      <c r="C8" s="101"/>
      <c r="D8" s="101"/>
      <c r="E8" s="66"/>
      <c r="F8" s="120" t="s">
        <v>37</v>
      </c>
      <c r="G8" s="121"/>
      <c r="H8" s="122"/>
      <c r="I8" s="123" t="s">
        <v>38</v>
      </c>
      <c r="J8" s="123"/>
      <c r="K8" s="123"/>
      <c r="L8" s="66"/>
      <c r="M8" s="66"/>
      <c r="N8" s="69"/>
      <c r="O8" s="88">
        <v>1</v>
      </c>
      <c r="P8" s="88">
        <v>2</v>
      </c>
      <c r="Q8" s="88">
        <v>3</v>
      </c>
      <c r="R8" s="88">
        <v>4</v>
      </c>
      <c r="S8" s="88">
        <v>5</v>
      </c>
      <c r="T8" s="83"/>
      <c r="U8" s="85"/>
    </row>
    <row r="9" spans="1:22" ht="21.75" customHeight="1">
      <c r="A9" s="67"/>
      <c r="B9" s="67"/>
      <c r="C9" s="102"/>
      <c r="D9" s="102"/>
      <c r="E9" s="67"/>
      <c r="F9" s="24" t="s">
        <v>39</v>
      </c>
      <c r="G9" s="24" t="s">
        <v>40</v>
      </c>
      <c r="H9" s="24" t="s">
        <v>76</v>
      </c>
      <c r="I9" s="57" t="s">
        <v>39</v>
      </c>
      <c r="J9" s="57" t="s">
        <v>40</v>
      </c>
      <c r="K9" s="57" t="s">
        <v>76</v>
      </c>
      <c r="L9" s="67"/>
      <c r="M9" s="67"/>
      <c r="N9" s="70"/>
      <c r="O9" s="89"/>
      <c r="P9" s="89"/>
      <c r="Q9" s="89"/>
      <c r="R9" s="89"/>
      <c r="S9" s="89"/>
      <c r="T9" s="84"/>
      <c r="U9" s="86"/>
    </row>
    <row r="10" spans="1:22" ht="21.75" customHeight="1">
      <c r="A10" s="87">
        <v>1</v>
      </c>
      <c r="B10" s="7" t="s">
        <v>12</v>
      </c>
      <c r="C10" s="3"/>
      <c r="D10" s="3"/>
      <c r="E10" s="4">
        <f>((($B$3*C10)+(12*D10))*$E$4)/7</f>
        <v>0</v>
      </c>
      <c r="F10" s="3"/>
      <c r="G10" s="3"/>
      <c r="H10" s="3"/>
      <c r="I10" s="3"/>
      <c r="J10" s="3"/>
      <c r="K10" s="3"/>
      <c r="L10" s="3"/>
      <c r="M10" s="5">
        <f>(F10+G10+H10+L10)-E10</f>
        <v>0</v>
      </c>
      <c r="N10" s="28" t="e">
        <f>(((C10*4.5)+(12*D10))*$E$4)/((F10+G10+H10+I10+J10+K10+L10)*7)*100</f>
        <v>#DIV/0!</v>
      </c>
      <c r="O10" s="7"/>
      <c r="P10" s="7"/>
      <c r="Q10" s="7"/>
      <c r="R10" s="7"/>
      <c r="S10" s="3"/>
      <c r="T10" s="37">
        <f t="shared" ref="T10:T73" si="0">SUM(O10:S10)</f>
        <v>0</v>
      </c>
      <c r="U10" s="28" t="e">
        <f>((((O10*1.5+(P10*3.5)+(Q10*5.5)+(R10*7.5)+(S10*12)))/3)/((F10+G10+H10+I10+J10+K10+L10)*7))*100</f>
        <v>#DIV/0!</v>
      </c>
      <c r="V10" s="59">
        <f>C10+D10-T10</f>
        <v>0</v>
      </c>
    </row>
    <row r="11" spans="1:22" ht="21.75" customHeight="1">
      <c r="A11" s="87"/>
      <c r="B11" s="7" t="s">
        <v>13</v>
      </c>
      <c r="C11" s="3"/>
      <c r="D11" s="3"/>
      <c r="E11" s="4">
        <f t="shared" ref="E11:E74" si="1">((($B$3*C11)+(12*D11))*$E$4)/7</f>
        <v>0</v>
      </c>
      <c r="F11" s="3"/>
      <c r="G11" s="3"/>
      <c r="H11" s="3"/>
      <c r="I11" s="3"/>
      <c r="J11" s="3"/>
      <c r="K11" s="3"/>
      <c r="L11" s="3"/>
      <c r="M11" s="5">
        <f t="shared" ref="M11:M74" si="2">(F11+G11+H11+L11)-E11</f>
        <v>0</v>
      </c>
      <c r="N11" s="28" t="e">
        <f t="shared" ref="N11:N74" si="3">(((C11*4.5)+(12*D11))*$E$4)/((F11+G11+H11+I11+J11+K11+L11)*7)*100</f>
        <v>#DIV/0!</v>
      </c>
      <c r="O11" s="7"/>
      <c r="P11" s="7"/>
      <c r="Q11" s="7"/>
      <c r="R11" s="7"/>
      <c r="S11" s="3"/>
      <c r="T11" s="37">
        <f t="shared" si="0"/>
        <v>0</v>
      </c>
      <c r="U11" s="28" t="e">
        <f t="shared" ref="U11:U74" si="4">((((O11*1.5+(P11*3.5)+(Q11*5.5)+(R11*7.5)+(S11*12)))/3)/((F11+G11+H11+I11+J11+K11+L11)*7))*100</f>
        <v>#DIV/0!</v>
      </c>
      <c r="V11" s="59">
        <f t="shared" ref="V11:V74" si="5">C11+D11-T11</f>
        <v>0</v>
      </c>
    </row>
    <row r="12" spans="1:22" ht="21.75" customHeight="1">
      <c r="A12" s="87"/>
      <c r="B12" s="7" t="s">
        <v>14</v>
      </c>
      <c r="C12" s="3"/>
      <c r="D12" s="3"/>
      <c r="E12" s="4">
        <f t="shared" si="1"/>
        <v>0</v>
      </c>
      <c r="F12" s="3"/>
      <c r="G12" s="3"/>
      <c r="H12" s="3"/>
      <c r="I12" s="3"/>
      <c r="J12" s="3"/>
      <c r="K12" s="3"/>
      <c r="L12" s="3"/>
      <c r="M12" s="5">
        <f t="shared" si="2"/>
        <v>0</v>
      </c>
      <c r="N12" s="28" t="e">
        <f t="shared" si="3"/>
        <v>#DIV/0!</v>
      </c>
      <c r="O12" s="7"/>
      <c r="P12" s="7"/>
      <c r="Q12" s="7"/>
      <c r="R12" s="7"/>
      <c r="S12" s="3"/>
      <c r="T12" s="37">
        <f t="shared" si="0"/>
        <v>0</v>
      </c>
      <c r="U12" s="28" t="e">
        <f t="shared" si="4"/>
        <v>#DIV/0!</v>
      </c>
      <c r="V12" s="59">
        <f t="shared" si="5"/>
        <v>0</v>
      </c>
    </row>
    <row r="13" spans="1:22" ht="21.75" customHeight="1">
      <c r="A13" s="87">
        <v>2</v>
      </c>
      <c r="B13" s="7" t="s">
        <v>12</v>
      </c>
      <c r="C13" s="3"/>
      <c r="D13" s="3"/>
      <c r="E13" s="4">
        <f t="shared" si="1"/>
        <v>0</v>
      </c>
      <c r="F13" s="3"/>
      <c r="G13" s="3"/>
      <c r="H13" s="3"/>
      <c r="I13" s="3"/>
      <c r="J13" s="3"/>
      <c r="K13" s="3"/>
      <c r="L13" s="3"/>
      <c r="M13" s="5">
        <f t="shared" si="2"/>
        <v>0</v>
      </c>
      <c r="N13" s="28" t="e">
        <f t="shared" si="3"/>
        <v>#DIV/0!</v>
      </c>
      <c r="O13" s="7"/>
      <c r="P13" s="7"/>
      <c r="Q13" s="7"/>
      <c r="R13" s="7"/>
      <c r="S13" s="3"/>
      <c r="T13" s="37">
        <f t="shared" si="0"/>
        <v>0</v>
      </c>
      <c r="U13" s="28" t="e">
        <f t="shared" si="4"/>
        <v>#DIV/0!</v>
      </c>
      <c r="V13" s="59">
        <f t="shared" si="5"/>
        <v>0</v>
      </c>
    </row>
    <row r="14" spans="1:22" ht="21.75" customHeight="1">
      <c r="A14" s="87"/>
      <c r="B14" s="7" t="s">
        <v>13</v>
      </c>
      <c r="C14" s="3"/>
      <c r="D14" s="3"/>
      <c r="E14" s="4">
        <f t="shared" si="1"/>
        <v>0</v>
      </c>
      <c r="F14" s="3"/>
      <c r="G14" s="3"/>
      <c r="H14" s="3"/>
      <c r="I14" s="3"/>
      <c r="J14" s="3"/>
      <c r="K14" s="3"/>
      <c r="L14" s="3"/>
      <c r="M14" s="5">
        <f t="shared" si="2"/>
        <v>0</v>
      </c>
      <c r="N14" s="28" t="e">
        <f t="shared" si="3"/>
        <v>#DIV/0!</v>
      </c>
      <c r="O14" s="7"/>
      <c r="P14" s="7"/>
      <c r="Q14" s="7"/>
      <c r="R14" s="7"/>
      <c r="S14" s="3"/>
      <c r="T14" s="37">
        <f t="shared" si="0"/>
        <v>0</v>
      </c>
      <c r="U14" s="28" t="e">
        <f t="shared" si="4"/>
        <v>#DIV/0!</v>
      </c>
      <c r="V14" s="59">
        <f t="shared" si="5"/>
        <v>0</v>
      </c>
    </row>
    <row r="15" spans="1:22" ht="21.75" customHeight="1">
      <c r="A15" s="87"/>
      <c r="B15" s="7" t="s">
        <v>14</v>
      </c>
      <c r="C15" s="3"/>
      <c r="D15" s="3"/>
      <c r="E15" s="4">
        <f t="shared" si="1"/>
        <v>0</v>
      </c>
      <c r="F15" s="3"/>
      <c r="G15" s="3"/>
      <c r="H15" s="3"/>
      <c r="I15" s="3"/>
      <c r="J15" s="3"/>
      <c r="K15" s="3"/>
      <c r="L15" s="3"/>
      <c r="M15" s="5">
        <f t="shared" si="2"/>
        <v>0</v>
      </c>
      <c r="N15" s="28" t="e">
        <f t="shared" si="3"/>
        <v>#DIV/0!</v>
      </c>
      <c r="O15" s="7"/>
      <c r="P15" s="7"/>
      <c r="Q15" s="7"/>
      <c r="R15" s="7"/>
      <c r="S15" s="3"/>
      <c r="T15" s="37">
        <f t="shared" si="0"/>
        <v>0</v>
      </c>
      <c r="U15" s="28" t="e">
        <f t="shared" si="4"/>
        <v>#DIV/0!</v>
      </c>
      <c r="V15" s="59">
        <f t="shared" si="5"/>
        <v>0</v>
      </c>
    </row>
    <row r="16" spans="1:22" ht="21.75" customHeight="1">
      <c r="A16" s="87">
        <v>3</v>
      </c>
      <c r="B16" s="7" t="s">
        <v>12</v>
      </c>
      <c r="C16" s="3"/>
      <c r="D16" s="3"/>
      <c r="E16" s="4">
        <f t="shared" si="1"/>
        <v>0</v>
      </c>
      <c r="F16" s="3"/>
      <c r="G16" s="3"/>
      <c r="H16" s="3"/>
      <c r="I16" s="3"/>
      <c r="J16" s="3"/>
      <c r="K16" s="3"/>
      <c r="L16" s="3"/>
      <c r="M16" s="5">
        <f t="shared" si="2"/>
        <v>0</v>
      </c>
      <c r="N16" s="28" t="e">
        <f t="shared" si="3"/>
        <v>#DIV/0!</v>
      </c>
      <c r="O16" s="7"/>
      <c r="P16" s="7"/>
      <c r="Q16" s="7"/>
      <c r="R16" s="7"/>
      <c r="S16" s="3"/>
      <c r="T16" s="37">
        <f t="shared" si="0"/>
        <v>0</v>
      </c>
      <c r="U16" s="28" t="e">
        <f t="shared" si="4"/>
        <v>#DIV/0!</v>
      </c>
      <c r="V16" s="59">
        <f t="shared" si="5"/>
        <v>0</v>
      </c>
    </row>
    <row r="17" spans="1:22" ht="21.75" customHeight="1">
      <c r="A17" s="87"/>
      <c r="B17" s="7" t="s">
        <v>13</v>
      </c>
      <c r="C17" s="3"/>
      <c r="D17" s="3"/>
      <c r="E17" s="4">
        <f t="shared" si="1"/>
        <v>0</v>
      </c>
      <c r="F17" s="3"/>
      <c r="G17" s="3"/>
      <c r="H17" s="3"/>
      <c r="I17" s="3"/>
      <c r="J17" s="3"/>
      <c r="K17" s="3"/>
      <c r="L17" s="3"/>
      <c r="M17" s="5">
        <f t="shared" si="2"/>
        <v>0</v>
      </c>
      <c r="N17" s="28" t="e">
        <f t="shared" si="3"/>
        <v>#DIV/0!</v>
      </c>
      <c r="O17" s="7"/>
      <c r="P17" s="7"/>
      <c r="Q17" s="7"/>
      <c r="R17" s="7"/>
      <c r="S17" s="3"/>
      <c r="T17" s="37">
        <f t="shared" si="0"/>
        <v>0</v>
      </c>
      <c r="U17" s="28" t="e">
        <f t="shared" si="4"/>
        <v>#DIV/0!</v>
      </c>
      <c r="V17" s="59">
        <f t="shared" si="5"/>
        <v>0</v>
      </c>
    </row>
    <row r="18" spans="1:22" ht="21.75" customHeight="1">
      <c r="A18" s="87"/>
      <c r="B18" s="7" t="s">
        <v>14</v>
      </c>
      <c r="C18" s="3"/>
      <c r="D18" s="3"/>
      <c r="E18" s="4">
        <f t="shared" si="1"/>
        <v>0</v>
      </c>
      <c r="F18" s="3"/>
      <c r="G18" s="3"/>
      <c r="H18" s="3"/>
      <c r="I18" s="3"/>
      <c r="J18" s="3"/>
      <c r="K18" s="3"/>
      <c r="L18" s="3"/>
      <c r="M18" s="5">
        <f t="shared" si="2"/>
        <v>0</v>
      </c>
      <c r="N18" s="28" t="e">
        <f t="shared" si="3"/>
        <v>#DIV/0!</v>
      </c>
      <c r="O18" s="7"/>
      <c r="P18" s="7"/>
      <c r="Q18" s="7"/>
      <c r="R18" s="7"/>
      <c r="S18" s="3"/>
      <c r="T18" s="37">
        <f t="shared" si="0"/>
        <v>0</v>
      </c>
      <c r="U18" s="28" t="e">
        <f t="shared" si="4"/>
        <v>#DIV/0!</v>
      </c>
      <c r="V18" s="59">
        <f t="shared" si="5"/>
        <v>0</v>
      </c>
    </row>
    <row r="19" spans="1:22" ht="21.75" customHeight="1">
      <c r="A19" s="87">
        <v>4</v>
      </c>
      <c r="B19" s="7" t="s">
        <v>12</v>
      </c>
      <c r="C19" s="3"/>
      <c r="D19" s="3"/>
      <c r="E19" s="4">
        <f t="shared" si="1"/>
        <v>0</v>
      </c>
      <c r="F19" s="3"/>
      <c r="G19" s="3"/>
      <c r="H19" s="3"/>
      <c r="I19" s="3"/>
      <c r="J19" s="3"/>
      <c r="K19" s="3"/>
      <c r="L19" s="3"/>
      <c r="M19" s="5">
        <f t="shared" si="2"/>
        <v>0</v>
      </c>
      <c r="N19" s="28" t="e">
        <f t="shared" si="3"/>
        <v>#DIV/0!</v>
      </c>
      <c r="O19" s="7"/>
      <c r="P19" s="7"/>
      <c r="Q19" s="7"/>
      <c r="R19" s="7"/>
      <c r="S19" s="3"/>
      <c r="T19" s="37">
        <f t="shared" si="0"/>
        <v>0</v>
      </c>
      <c r="U19" s="28" t="e">
        <f t="shared" si="4"/>
        <v>#DIV/0!</v>
      </c>
      <c r="V19" s="59">
        <f t="shared" si="5"/>
        <v>0</v>
      </c>
    </row>
    <row r="20" spans="1:22" ht="21.75" customHeight="1">
      <c r="A20" s="87"/>
      <c r="B20" s="7" t="s">
        <v>13</v>
      </c>
      <c r="C20" s="3"/>
      <c r="D20" s="3"/>
      <c r="E20" s="4">
        <f t="shared" si="1"/>
        <v>0</v>
      </c>
      <c r="F20" s="3"/>
      <c r="G20" s="3"/>
      <c r="H20" s="3"/>
      <c r="I20" s="3"/>
      <c r="J20" s="3"/>
      <c r="K20" s="3"/>
      <c r="L20" s="3"/>
      <c r="M20" s="5">
        <f t="shared" si="2"/>
        <v>0</v>
      </c>
      <c r="N20" s="28" t="e">
        <f t="shared" si="3"/>
        <v>#DIV/0!</v>
      </c>
      <c r="O20" s="7"/>
      <c r="P20" s="7"/>
      <c r="Q20" s="7"/>
      <c r="R20" s="7"/>
      <c r="S20" s="3"/>
      <c r="T20" s="37">
        <f t="shared" si="0"/>
        <v>0</v>
      </c>
      <c r="U20" s="28" t="e">
        <f t="shared" si="4"/>
        <v>#DIV/0!</v>
      </c>
      <c r="V20" s="59">
        <f t="shared" si="5"/>
        <v>0</v>
      </c>
    </row>
    <row r="21" spans="1:22" ht="21.75" customHeight="1">
      <c r="A21" s="87"/>
      <c r="B21" s="7" t="s">
        <v>14</v>
      </c>
      <c r="C21" s="3"/>
      <c r="D21" s="3"/>
      <c r="E21" s="4">
        <f t="shared" si="1"/>
        <v>0</v>
      </c>
      <c r="F21" s="3"/>
      <c r="G21" s="3"/>
      <c r="H21" s="3"/>
      <c r="I21" s="3"/>
      <c r="J21" s="3"/>
      <c r="K21" s="3"/>
      <c r="L21" s="3"/>
      <c r="M21" s="5">
        <f t="shared" si="2"/>
        <v>0</v>
      </c>
      <c r="N21" s="28" t="e">
        <f t="shared" si="3"/>
        <v>#DIV/0!</v>
      </c>
      <c r="O21" s="7"/>
      <c r="P21" s="7"/>
      <c r="Q21" s="7"/>
      <c r="R21" s="7"/>
      <c r="S21" s="3"/>
      <c r="T21" s="37">
        <f t="shared" si="0"/>
        <v>0</v>
      </c>
      <c r="U21" s="28" t="e">
        <f t="shared" si="4"/>
        <v>#DIV/0!</v>
      </c>
      <c r="V21" s="59">
        <f t="shared" si="5"/>
        <v>0</v>
      </c>
    </row>
    <row r="22" spans="1:22" ht="21.75" customHeight="1">
      <c r="A22" s="87">
        <v>5</v>
      </c>
      <c r="B22" s="7" t="s">
        <v>12</v>
      </c>
      <c r="C22" s="3"/>
      <c r="D22" s="3"/>
      <c r="E22" s="4">
        <f t="shared" si="1"/>
        <v>0</v>
      </c>
      <c r="F22" s="3"/>
      <c r="G22" s="3"/>
      <c r="H22" s="3"/>
      <c r="I22" s="3"/>
      <c r="J22" s="3"/>
      <c r="K22" s="3"/>
      <c r="L22" s="3"/>
      <c r="M22" s="5">
        <f t="shared" si="2"/>
        <v>0</v>
      </c>
      <c r="N22" s="28" t="e">
        <f t="shared" si="3"/>
        <v>#DIV/0!</v>
      </c>
      <c r="O22" s="7"/>
      <c r="P22" s="7"/>
      <c r="Q22" s="7"/>
      <c r="R22" s="7"/>
      <c r="S22" s="3"/>
      <c r="T22" s="37">
        <f t="shared" si="0"/>
        <v>0</v>
      </c>
      <c r="U22" s="28" t="e">
        <f t="shared" si="4"/>
        <v>#DIV/0!</v>
      </c>
      <c r="V22" s="59">
        <f t="shared" si="5"/>
        <v>0</v>
      </c>
    </row>
    <row r="23" spans="1:22" ht="21.75" customHeight="1">
      <c r="A23" s="87"/>
      <c r="B23" s="7" t="s">
        <v>13</v>
      </c>
      <c r="C23" s="3"/>
      <c r="D23" s="3"/>
      <c r="E23" s="4">
        <f t="shared" si="1"/>
        <v>0</v>
      </c>
      <c r="F23" s="3"/>
      <c r="G23" s="3"/>
      <c r="H23" s="3"/>
      <c r="I23" s="3"/>
      <c r="J23" s="3"/>
      <c r="K23" s="3"/>
      <c r="L23" s="3"/>
      <c r="M23" s="5">
        <f t="shared" si="2"/>
        <v>0</v>
      </c>
      <c r="N23" s="28" t="e">
        <f t="shared" si="3"/>
        <v>#DIV/0!</v>
      </c>
      <c r="O23" s="7"/>
      <c r="P23" s="7"/>
      <c r="Q23" s="7"/>
      <c r="R23" s="7"/>
      <c r="S23" s="3"/>
      <c r="T23" s="37">
        <f t="shared" si="0"/>
        <v>0</v>
      </c>
      <c r="U23" s="28" t="e">
        <f t="shared" si="4"/>
        <v>#DIV/0!</v>
      </c>
      <c r="V23" s="59">
        <f t="shared" si="5"/>
        <v>0</v>
      </c>
    </row>
    <row r="24" spans="1:22" ht="21.75" customHeight="1">
      <c r="A24" s="87"/>
      <c r="B24" s="7" t="s">
        <v>14</v>
      </c>
      <c r="C24" s="3"/>
      <c r="D24" s="3"/>
      <c r="E24" s="4">
        <f t="shared" si="1"/>
        <v>0</v>
      </c>
      <c r="F24" s="3"/>
      <c r="G24" s="3"/>
      <c r="H24" s="3"/>
      <c r="I24" s="3"/>
      <c r="J24" s="3"/>
      <c r="K24" s="3"/>
      <c r="L24" s="3"/>
      <c r="M24" s="5">
        <f t="shared" si="2"/>
        <v>0</v>
      </c>
      <c r="N24" s="28" t="e">
        <f t="shared" si="3"/>
        <v>#DIV/0!</v>
      </c>
      <c r="O24" s="7"/>
      <c r="P24" s="7"/>
      <c r="Q24" s="7"/>
      <c r="R24" s="7"/>
      <c r="S24" s="3"/>
      <c r="T24" s="37">
        <f t="shared" si="0"/>
        <v>0</v>
      </c>
      <c r="U24" s="28" t="e">
        <f t="shared" si="4"/>
        <v>#DIV/0!</v>
      </c>
      <c r="V24" s="59">
        <f t="shared" si="5"/>
        <v>0</v>
      </c>
    </row>
    <row r="25" spans="1:22" ht="21.75" customHeight="1">
      <c r="A25" s="87">
        <v>6</v>
      </c>
      <c r="B25" s="7" t="s">
        <v>12</v>
      </c>
      <c r="C25" s="3"/>
      <c r="D25" s="3"/>
      <c r="E25" s="4">
        <f t="shared" si="1"/>
        <v>0</v>
      </c>
      <c r="F25" s="3"/>
      <c r="G25" s="3"/>
      <c r="H25" s="3"/>
      <c r="I25" s="3"/>
      <c r="J25" s="3"/>
      <c r="K25" s="3"/>
      <c r="L25" s="3"/>
      <c r="M25" s="5">
        <f t="shared" si="2"/>
        <v>0</v>
      </c>
      <c r="N25" s="28" t="e">
        <f t="shared" si="3"/>
        <v>#DIV/0!</v>
      </c>
      <c r="O25" s="7"/>
      <c r="P25" s="7"/>
      <c r="Q25" s="7"/>
      <c r="R25" s="7"/>
      <c r="S25" s="3"/>
      <c r="T25" s="37">
        <f t="shared" si="0"/>
        <v>0</v>
      </c>
      <c r="U25" s="28" t="e">
        <f t="shared" si="4"/>
        <v>#DIV/0!</v>
      </c>
      <c r="V25" s="59">
        <f t="shared" si="5"/>
        <v>0</v>
      </c>
    </row>
    <row r="26" spans="1:22" ht="21.75" customHeight="1">
      <c r="A26" s="87"/>
      <c r="B26" s="7" t="s">
        <v>13</v>
      </c>
      <c r="C26" s="3"/>
      <c r="D26" s="3"/>
      <c r="E26" s="4">
        <f t="shared" si="1"/>
        <v>0</v>
      </c>
      <c r="F26" s="3"/>
      <c r="G26" s="3"/>
      <c r="H26" s="3"/>
      <c r="I26" s="3"/>
      <c r="J26" s="3"/>
      <c r="K26" s="3"/>
      <c r="L26" s="3"/>
      <c r="M26" s="5">
        <f t="shared" si="2"/>
        <v>0</v>
      </c>
      <c r="N26" s="28" t="e">
        <f t="shared" si="3"/>
        <v>#DIV/0!</v>
      </c>
      <c r="O26" s="7"/>
      <c r="P26" s="7"/>
      <c r="Q26" s="7"/>
      <c r="R26" s="7"/>
      <c r="S26" s="3"/>
      <c r="T26" s="37">
        <f t="shared" si="0"/>
        <v>0</v>
      </c>
      <c r="U26" s="28" t="e">
        <f t="shared" si="4"/>
        <v>#DIV/0!</v>
      </c>
      <c r="V26" s="59">
        <f t="shared" si="5"/>
        <v>0</v>
      </c>
    </row>
    <row r="27" spans="1:22" ht="21.75" customHeight="1">
      <c r="A27" s="87"/>
      <c r="B27" s="7" t="s">
        <v>14</v>
      </c>
      <c r="C27" s="3"/>
      <c r="D27" s="3"/>
      <c r="E27" s="4">
        <f t="shared" si="1"/>
        <v>0</v>
      </c>
      <c r="F27" s="3"/>
      <c r="G27" s="3"/>
      <c r="H27" s="3"/>
      <c r="I27" s="3"/>
      <c r="J27" s="3"/>
      <c r="K27" s="3"/>
      <c r="L27" s="3"/>
      <c r="M27" s="5">
        <f t="shared" si="2"/>
        <v>0</v>
      </c>
      <c r="N27" s="28" t="e">
        <f t="shared" si="3"/>
        <v>#DIV/0!</v>
      </c>
      <c r="O27" s="7"/>
      <c r="P27" s="7"/>
      <c r="Q27" s="7"/>
      <c r="R27" s="7"/>
      <c r="S27" s="3"/>
      <c r="T27" s="37">
        <f t="shared" si="0"/>
        <v>0</v>
      </c>
      <c r="U27" s="28" t="e">
        <f t="shared" si="4"/>
        <v>#DIV/0!</v>
      </c>
      <c r="V27" s="59">
        <f t="shared" si="5"/>
        <v>0</v>
      </c>
    </row>
    <row r="28" spans="1:22" ht="21.75" customHeight="1">
      <c r="A28" s="87">
        <v>7</v>
      </c>
      <c r="B28" s="7" t="s">
        <v>12</v>
      </c>
      <c r="C28" s="3"/>
      <c r="D28" s="3"/>
      <c r="E28" s="4">
        <f t="shared" si="1"/>
        <v>0</v>
      </c>
      <c r="F28" s="3"/>
      <c r="G28" s="3"/>
      <c r="H28" s="3"/>
      <c r="I28" s="3"/>
      <c r="J28" s="3"/>
      <c r="K28" s="3"/>
      <c r="L28" s="3"/>
      <c r="M28" s="5">
        <f t="shared" si="2"/>
        <v>0</v>
      </c>
      <c r="N28" s="28" t="e">
        <f t="shared" si="3"/>
        <v>#DIV/0!</v>
      </c>
      <c r="O28" s="7"/>
      <c r="P28" s="7"/>
      <c r="Q28" s="7"/>
      <c r="R28" s="7"/>
      <c r="S28" s="3"/>
      <c r="T28" s="37">
        <f t="shared" si="0"/>
        <v>0</v>
      </c>
      <c r="U28" s="28" t="e">
        <f t="shared" si="4"/>
        <v>#DIV/0!</v>
      </c>
      <c r="V28" s="59">
        <f t="shared" si="5"/>
        <v>0</v>
      </c>
    </row>
    <row r="29" spans="1:22" ht="21.75" customHeight="1">
      <c r="A29" s="87"/>
      <c r="B29" s="7" t="s">
        <v>13</v>
      </c>
      <c r="C29" s="3"/>
      <c r="D29" s="3"/>
      <c r="E29" s="4">
        <f t="shared" si="1"/>
        <v>0</v>
      </c>
      <c r="F29" s="3"/>
      <c r="G29" s="3"/>
      <c r="H29" s="3"/>
      <c r="I29" s="3"/>
      <c r="J29" s="3"/>
      <c r="K29" s="3"/>
      <c r="L29" s="3"/>
      <c r="M29" s="5">
        <f t="shared" si="2"/>
        <v>0</v>
      </c>
      <c r="N29" s="28" t="e">
        <f t="shared" si="3"/>
        <v>#DIV/0!</v>
      </c>
      <c r="O29" s="7"/>
      <c r="P29" s="7"/>
      <c r="Q29" s="7"/>
      <c r="R29" s="7"/>
      <c r="S29" s="3"/>
      <c r="T29" s="37">
        <f t="shared" si="0"/>
        <v>0</v>
      </c>
      <c r="U29" s="28" t="e">
        <f t="shared" si="4"/>
        <v>#DIV/0!</v>
      </c>
      <c r="V29" s="59">
        <f t="shared" si="5"/>
        <v>0</v>
      </c>
    </row>
    <row r="30" spans="1:22" ht="21.75" customHeight="1">
      <c r="A30" s="87"/>
      <c r="B30" s="7" t="s">
        <v>14</v>
      </c>
      <c r="C30" s="3"/>
      <c r="D30" s="3"/>
      <c r="E30" s="4">
        <f t="shared" si="1"/>
        <v>0</v>
      </c>
      <c r="F30" s="3"/>
      <c r="G30" s="3"/>
      <c r="H30" s="3"/>
      <c r="I30" s="3"/>
      <c r="J30" s="3"/>
      <c r="K30" s="3"/>
      <c r="L30" s="3"/>
      <c r="M30" s="5">
        <f t="shared" si="2"/>
        <v>0</v>
      </c>
      <c r="N30" s="28" t="e">
        <f t="shared" si="3"/>
        <v>#DIV/0!</v>
      </c>
      <c r="O30" s="7"/>
      <c r="P30" s="7"/>
      <c r="Q30" s="7"/>
      <c r="R30" s="7"/>
      <c r="S30" s="3"/>
      <c r="T30" s="37">
        <f t="shared" si="0"/>
        <v>0</v>
      </c>
      <c r="U30" s="28" t="e">
        <f t="shared" si="4"/>
        <v>#DIV/0!</v>
      </c>
      <c r="V30" s="59">
        <f t="shared" si="5"/>
        <v>0</v>
      </c>
    </row>
    <row r="31" spans="1:22" ht="21.75" customHeight="1">
      <c r="A31" s="87">
        <v>8</v>
      </c>
      <c r="B31" s="7" t="s">
        <v>12</v>
      </c>
      <c r="C31" s="3"/>
      <c r="D31" s="3"/>
      <c r="E31" s="4">
        <f t="shared" si="1"/>
        <v>0</v>
      </c>
      <c r="F31" s="3"/>
      <c r="G31" s="3"/>
      <c r="H31" s="3"/>
      <c r="I31" s="3"/>
      <c r="J31" s="3"/>
      <c r="K31" s="3"/>
      <c r="L31" s="3"/>
      <c r="M31" s="5">
        <f t="shared" si="2"/>
        <v>0</v>
      </c>
      <c r="N31" s="28" t="e">
        <f t="shared" si="3"/>
        <v>#DIV/0!</v>
      </c>
      <c r="O31" s="7"/>
      <c r="P31" s="7"/>
      <c r="Q31" s="7"/>
      <c r="R31" s="7"/>
      <c r="S31" s="3"/>
      <c r="T31" s="37">
        <f t="shared" si="0"/>
        <v>0</v>
      </c>
      <c r="U31" s="28" t="e">
        <f t="shared" si="4"/>
        <v>#DIV/0!</v>
      </c>
      <c r="V31" s="59">
        <f t="shared" si="5"/>
        <v>0</v>
      </c>
    </row>
    <row r="32" spans="1:22" ht="21.75" customHeight="1">
      <c r="A32" s="87"/>
      <c r="B32" s="7" t="s">
        <v>13</v>
      </c>
      <c r="C32" s="3"/>
      <c r="D32" s="3"/>
      <c r="E32" s="4">
        <f t="shared" si="1"/>
        <v>0</v>
      </c>
      <c r="F32" s="3"/>
      <c r="G32" s="3"/>
      <c r="H32" s="3"/>
      <c r="I32" s="3"/>
      <c r="J32" s="3"/>
      <c r="K32" s="3"/>
      <c r="L32" s="3"/>
      <c r="M32" s="5">
        <f t="shared" si="2"/>
        <v>0</v>
      </c>
      <c r="N32" s="28" t="e">
        <f t="shared" si="3"/>
        <v>#DIV/0!</v>
      </c>
      <c r="O32" s="7"/>
      <c r="P32" s="7"/>
      <c r="Q32" s="7"/>
      <c r="R32" s="7"/>
      <c r="S32" s="3"/>
      <c r="T32" s="37">
        <f t="shared" si="0"/>
        <v>0</v>
      </c>
      <c r="U32" s="28" t="e">
        <f t="shared" si="4"/>
        <v>#DIV/0!</v>
      </c>
      <c r="V32" s="59">
        <f t="shared" si="5"/>
        <v>0</v>
      </c>
    </row>
    <row r="33" spans="1:22" ht="21.75" customHeight="1">
      <c r="A33" s="87"/>
      <c r="B33" s="7" t="s">
        <v>14</v>
      </c>
      <c r="C33" s="3"/>
      <c r="D33" s="3"/>
      <c r="E33" s="4">
        <f t="shared" si="1"/>
        <v>0</v>
      </c>
      <c r="F33" s="3"/>
      <c r="G33" s="3"/>
      <c r="H33" s="3"/>
      <c r="I33" s="3"/>
      <c r="J33" s="3"/>
      <c r="K33" s="3"/>
      <c r="L33" s="3"/>
      <c r="M33" s="5">
        <f t="shared" si="2"/>
        <v>0</v>
      </c>
      <c r="N33" s="28" t="e">
        <f t="shared" si="3"/>
        <v>#DIV/0!</v>
      </c>
      <c r="O33" s="7"/>
      <c r="P33" s="7"/>
      <c r="Q33" s="7"/>
      <c r="R33" s="7"/>
      <c r="S33" s="3"/>
      <c r="T33" s="37">
        <f t="shared" si="0"/>
        <v>0</v>
      </c>
      <c r="U33" s="28" t="e">
        <f t="shared" si="4"/>
        <v>#DIV/0!</v>
      </c>
      <c r="V33" s="59">
        <f t="shared" si="5"/>
        <v>0</v>
      </c>
    </row>
    <row r="34" spans="1:22" ht="21.75" customHeight="1">
      <c r="A34" s="87">
        <v>9</v>
      </c>
      <c r="B34" s="7" t="s">
        <v>12</v>
      </c>
      <c r="C34" s="3"/>
      <c r="D34" s="3"/>
      <c r="E34" s="4">
        <f t="shared" si="1"/>
        <v>0</v>
      </c>
      <c r="F34" s="3"/>
      <c r="G34" s="3"/>
      <c r="H34" s="3"/>
      <c r="I34" s="3"/>
      <c r="J34" s="3"/>
      <c r="K34" s="3"/>
      <c r="L34" s="3"/>
      <c r="M34" s="5">
        <f t="shared" si="2"/>
        <v>0</v>
      </c>
      <c r="N34" s="28" t="e">
        <f t="shared" si="3"/>
        <v>#DIV/0!</v>
      </c>
      <c r="O34" s="7"/>
      <c r="P34" s="7"/>
      <c r="Q34" s="7"/>
      <c r="R34" s="7"/>
      <c r="S34" s="3"/>
      <c r="T34" s="37">
        <f t="shared" si="0"/>
        <v>0</v>
      </c>
      <c r="U34" s="28" t="e">
        <f t="shared" si="4"/>
        <v>#DIV/0!</v>
      </c>
      <c r="V34" s="59">
        <f t="shared" si="5"/>
        <v>0</v>
      </c>
    </row>
    <row r="35" spans="1:22" ht="21.75" customHeight="1">
      <c r="A35" s="87"/>
      <c r="B35" s="7" t="s">
        <v>13</v>
      </c>
      <c r="C35" s="3"/>
      <c r="D35" s="3"/>
      <c r="E35" s="4">
        <f t="shared" si="1"/>
        <v>0</v>
      </c>
      <c r="F35" s="3"/>
      <c r="G35" s="3"/>
      <c r="H35" s="3"/>
      <c r="I35" s="3"/>
      <c r="J35" s="3"/>
      <c r="K35" s="3"/>
      <c r="L35" s="3"/>
      <c r="M35" s="5">
        <f t="shared" si="2"/>
        <v>0</v>
      </c>
      <c r="N35" s="28" t="e">
        <f t="shared" si="3"/>
        <v>#DIV/0!</v>
      </c>
      <c r="O35" s="7"/>
      <c r="P35" s="7"/>
      <c r="Q35" s="7"/>
      <c r="R35" s="7"/>
      <c r="S35" s="3"/>
      <c r="T35" s="37">
        <f t="shared" si="0"/>
        <v>0</v>
      </c>
      <c r="U35" s="28" t="e">
        <f t="shared" si="4"/>
        <v>#DIV/0!</v>
      </c>
      <c r="V35" s="59">
        <f t="shared" si="5"/>
        <v>0</v>
      </c>
    </row>
    <row r="36" spans="1:22" ht="21.75" customHeight="1">
      <c r="A36" s="87"/>
      <c r="B36" s="7" t="s">
        <v>14</v>
      </c>
      <c r="C36" s="3"/>
      <c r="D36" s="3"/>
      <c r="E36" s="4">
        <f t="shared" si="1"/>
        <v>0</v>
      </c>
      <c r="F36" s="3"/>
      <c r="G36" s="3"/>
      <c r="H36" s="3"/>
      <c r="I36" s="3"/>
      <c r="J36" s="3"/>
      <c r="K36" s="3"/>
      <c r="L36" s="3"/>
      <c r="M36" s="5">
        <f t="shared" si="2"/>
        <v>0</v>
      </c>
      <c r="N36" s="28" t="e">
        <f t="shared" si="3"/>
        <v>#DIV/0!</v>
      </c>
      <c r="O36" s="7"/>
      <c r="P36" s="7"/>
      <c r="Q36" s="7"/>
      <c r="R36" s="7"/>
      <c r="S36" s="3"/>
      <c r="T36" s="37">
        <f t="shared" si="0"/>
        <v>0</v>
      </c>
      <c r="U36" s="28" t="e">
        <f t="shared" si="4"/>
        <v>#DIV/0!</v>
      </c>
      <c r="V36" s="59">
        <f t="shared" si="5"/>
        <v>0</v>
      </c>
    </row>
    <row r="37" spans="1:22" ht="21.75" customHeight="1">
      <c r="A37" s="87">
        <v>10</v>
      </c>
      <c r="B37" s="7" t="s">
        <v>12</v>
      </c>
      <c r="C37" s="3"/>
      <c r="D37" s="3"/>
      <c r="E37" s="4">
        <f t="shared" si="1"/>
        <v>0</v>
      </c>
      <c r="F37" s="3"/>
      <c r="G37" s="3"/>
      <c r="H37" s="3"/>
      <c r="I37" s="3"/>
      <c r="J37" s="3"/>
      <c r="K37" s="3"/>
      <c r="L37" s="3"/>
      <c r="M37" s="5">
        <f t="shared" si="2"/>
        <v>0</v>
      </c>
      <c r="N37" s="28" t="e">
        <f t="shared" si="3"/>
        <v>#DIV/0!</v>
      </c>
      <c r="O37" s="7"/>
      <c r="P37" s="7"/>
      <c r="Q37" s="7"/>
      <c r="R37" s="7"/>
      <c r="S37" s="3"/>
      <c r="T37" s="37">
        <f t="shared" si="0"/>
        <v>0</v>
      </c>
      <c r="U37" s="28" t="e">
        <f t="shared" si="4"/>
        <v>#DIV/0!</v>
      </c>
      <c r="V37" s="59">
        <f t="shared" si="5"/>
        <v>0</v>
      </c>
    </row>
    <row r="38" spans="1:22" ht="21.75" customHeight="1">
      <c r="A38" s="87"/>
      <c r="B38" s="7" t="s">
        <v>13</v>
      </c>
      <c r="C38" s="3"/>
      <c r="D38" s="3"/>
      <c r="E38" s="4">
        <f t="shared" si="1"/>
        <v>0</v>
      </c>
      <c r="F38" s="3"/>
      <c r="G38" s="3"/>
      <c r="H38" s="3"/>
      <c r="I38" s="3"/>
      <c r="J38" s="3"/>
      <c r="K38" s="3"/>
      <c r="L38" s="3"/>
      <c r="M38" s="5">
        <f t="shared" si="2"/>
        <v>0</v>
      </c>
      <c r="N38" s="28" t="e">
        <f t="shared" si="3"/>
        <v>#DIV/0!</v>
      </c>
      <c r="O38" s="7"/>
      <c r="P38" s="7"/>
      <c r="Q38" s="7"/>
      <c r="R38" s="7"/>
      <c r="S38" s="3"/>
      <c r="T38" s="37">
        <f t="shared" si="0"/>
        <v>0</v>
      </c>
      <c r="U38" s="28" t="e">
        <f t="shared" si="4"/>
        <v>#DIV/0!</v>
      </c>
      <c r="V38" s="59">
        <f t="shared" si="5"/>
        <v>0</v>
      </c>
    </row>
    <row r="39" spans="1:22" ht="21.75" customHeight="1">
      <c r="A39" s="87"/>
      <c r="B39" s="7" t="s">
        <v>14</v>
      </c>
      <c r="C39" s="3"/>
      <c r="D39" s="3"/>
      <c r="E39" s="4">
        <f t="shared" si="1"/>
        <v>0</v>
      </c>
      <c r="F39" s="3"/>
      <c r="G39" s="3"/>
      <c r="H39" s="3"/>
      <c r="I39" s="3"/>
      <c r="J39" s="3"/>
      <c r="K39" s="3"/>
      <c r="L39" s="3"/>
      <c r="M39" s="5">
        <f t="shared" si="2"/>
        <v>0</v>
      </c>
      <c r="N39" s="28" t="e">
        <f t="shared" si="3"/>
        <v>#DIV/0!</v>
      </c>
      <c r="O39" s="7"/>
      <c r="P39" s="7"/>
      <c r="Q39" s="7"/>
      <c r="R39" s="7"/>
      <c r="S39" s="3"/>
      <c r="T39" s="37">
        <f t="shared" si="0"/>
        <v>0</v>
      </c>
      <c r="U39" s="28" t="e">
        <f t="shared" si="4"/>
        <v>#DIV/0!</v>
      </c>
      <c r="V39" s="59">
        <f t="shared" si="5"/>
        <v>0</v>
      </c>
    </row>
    <row r="40" spans="1:22" ht="21.75" customHeight="1">
      <c r="A40" s="87">
        <v>11</v>
      </c>
      <c r="B40" s="7" t="s">
        <v>12</v>
      </c>
      <c r="C40" s="3"/>
      <c r="D40" s="3"/>
      <c r="E40" s="4">
        <f t="shared" si="1"/>
        <v>0</v>
      </c>
      <c r="F40" s="3"/>
      <c r="G40" s="3"/>
      <c r="H40" s="3"/>
      <c r="I40" s="3"/>
      <c r="J40" s="3"/>
      <c r="K40" s="3"/>
      <c r="L40" s="3"/>
      <c r="M40" s="5">
        <f t="shared" si="2"/>
        <v>0</v>
      </c>
      <c r="N40" s="28" t="e">
        <f t="shared" si="3"/>
        <v>#DIV/0!</v>
      </c>
      <c r="O40" s="7"/>
      <c r="P40" s="7"/>
      <c r="Q40" s="7"/>
      <c r="R40" s="7"/>
      <c r="S40" s="3"/>
      <c r="T40" s="37">
        <f t="shared" si="0"/>
        <v>0</v>
      </c>
      <c r="U40" s="28" t="e">
        <f t="shared" si="4"/>
        <v>#DIV/0!</v>
      </c>
      <c r="V40" s="59">
        <f t="shared" si="5"/>
        <v>0</v>
      </c>
    </row>
    <row r="41" spans="1:22" ht="21.75" customHeight="1">
      <c r="A41" s="87"/>
      <c r="B41" s="7" t="s">
        <v>13</v>
      </c>
      <c r="C41" s="3"/>
      <c r="D41" s="3"/>
      <c r="E41" s="4">
        <f t="shared" si="1"/>
        <v>0</v>
      </c>
      <c r="F41" s="3"/>
      <c r="G41" s="3"/>
      <c r="H41" s="3"/>
      <c r="I41" s="3"/>
      <c r="J41" s="3"/>
      <c r="K41" s="3"/>
      <c r="L41" s="3"/>
      <c r="M41" s="5">
        <f t="shared" si="2"/>
        <v>0</v>
      </c>
      <c r="N41" s="28" t="e">
        <f t="shared" si="3"/>
        <v>#DIV/0!</v>
      </c>
      <c r="O41" s="7"/>
      <c r="P41" s="7"/>
      <c r="Q41" s="7"/>
      <c r="R41" s="7"/>
      <c r="S41" s="3"/>
      <c r="T41" s="37">
        <f t="shared" si="0"/>
        <v>0</v>
      </c>
      <c r="U41" s="28" t="e">
        <f t="shared" si="4"/>
        <v>#DIV/0!</v>
      </c>
      <c r="V41" s="59">
        <f t="shared" si="5"/>
        <v>0</v>
      </c>
    </row>
    <row r="42" spans="1:22" ht="21.75" customHeight="1">
      <c r="A42" s="87"/>
      <c r="B42" s="7" t="s">
        <v>14</v>
      </c>
      <c r="C42" s="3"/>
      <c r="D42" s="3"/>
      <c r="E42" s="4">
        <f t="shared" si="1"/>
        <v>0</v>
      </c>
      <c r="F42" s="3"/>
      <c r="G42" s="3"/>
      <c r="H42" s="3"/>
      <c r="I42" s="3"/>
      <c r="J42" s="3"/>
      <c r="K42" s="3"/>
      <c r="L42" s="3"/>
      <c r="M42" s="5">
        <f t="shared" si="2"/>
        <v>0</v>
      </c>
      <c r="N42" s="28" t="e">
        <f t="shared" si="3"/>
        <v>#DIV/0!</v>
      </c>
      <c r="O42" s="7"/>
      <c r="P42" s="7"/>
      <c r="Q42" s="7"/>
      <c r="R42" s="7"/>
      <c r="S42" s="3"/>
      <c r="T42" s="37">
        <f t="shared" si="0"/>
        <v>0</v>
      </c>
      <c r="U42" s="28" t="e">
        <f t="shared" si="4"/>
        <v>#DIV/0!</v>
      </c>
      <c r="V42" s="59">
        <f t="shared" si="5"/>
        <v>0</v>
      </c>
    </row>
    <row r="43" spans="1:22" ht="21.75" customHeight="1">
      <c r="A43" s="87">
        <v>12</v>
      </c>
      <c r="B43" s="7" t="s">
        <v>12</v>
      </c>
      <c r="C43" s="3"/>
      <c r="D43" s="3"/>
      <c r="E43" s="4">
        <f t="shared" si="1"/>
        <v>0</v>
      </c>
      <c r="F43" s="3"/>
      <c r="G43" s="3"/>
      <c r="H43" s="3"/>
      <c r="I43" s="3"/>
      <c r="J43" s="3"/>
      <c r="K43" s="3"/>
      <c r="L43" s="3"/>
      <c r="M43" s="5">
        <f t="shared" si="2"/>
        <v>0</v>
      </c>
      <c r="N43" s="28" t="e">
        <f t="shared" si="3"/>
        <v>#DIV/0!</v>
      </c>
      <c r="O43" s="7"/>
      <c r="P43" s="7"/>
      <c r="Q43" s="7"/>
      <c r="R43" s="7"/>
      <c r="S43" s="3"/>
      <c r="T43" s="37">
        <f t="shared" si="0"/>
        <v>0</v>
      </c>
      <c r="U43" s="28" t="e">
        <f t="shared" si="4"/>
        <v>#DIV/0!</v>
      </c>
      <c r="V43" s="59">
        <f t="shared" si="5"/>
        <v>0</v>
      </c>
    </row>
    <row r="44" spans="1:22" ht="21.75" customHeight="1">
      <c r="A44" s="87"/>
      <c r="B44" s="7" t="s">
        <v>13</v>
      </c>
      <c r="C44" s="3"/>
      <c r="D44" s="3"/>
      <c r="E44" s="4">
        <f t="shared" si="1"/>
        <v>0</v>
      </c>
      <c r="F44" s="3"/>
      <c r="G44" s="3"/>
      <c r="H44" s="3"/>
      <c r="I44" s="3"/>
      <c r="J44" s="3"/>
      <c r="K44" s="3"/>
      <c r="L44" s="3"/>
      <c r="M44" s="5">
        <f t="shared" si="2"/>
        <v>0</v>
      </c>
      <c r="N44" s="28" t="e">
        <f t="shared" si="3"/>
        <v>#DIV/0!</v>
      </c>
      <c r="O44" s="7"/>
      <c r="P44" s="7"/>
      <c r="Q44" s="7"/>
      <c r="R44" s="7"/>
      <c r="S44" s="3"/>
      <c r="T44" s="37">
        <f t="shared" si="0"/>
        <v>0</v>
      </c>
      <c r="U44" s="28" t="e">
        <f t="shared" si="4"/>
        <v>#DIV/0!</v>
      </c>
      <c r="V44" s="59">
        <f t="shared" si="5"/>
        <v>0</v>
      </c>
    </row>
    <row r="45" spans="1:22" ht="21.75" customHeight="1">
      <c r="A45" s="87"/>
      <c r="B45" s="7" t="s">
        <v>14</v>
      </c>
      <c r="C45" s="3"/>
      <c r="D45" s="3"/>
      <c r="E45" s="4">
        <f t="shared" si="1"/>
        <v>0</v>
      </c>
      <c r="F45" s="3"/>
      <c r="G45" s="3"/>
      <c r="H45" s="3"/>
      <c r="I45" s="3"/>
      <c r="J45" s="3"/>
      <c r="K45" s="3"/>
      <c r="L45" s="3"/>
      <c r="M45" s="5">
        <f t="shared" si="2"/>
        <v>0</v>
      </c>
      <c r="N45" s="28" t="e">
        <f t="shared" si="3"/>
        <v>#DIV/0!</v>
      </c>
      <c r="O45" s="7"/>
      <c r="P45" s="7"/>
      <c r="Q45" s="7"/>
      <c r="R45" s="7"/>
      <c r="S45" s="3"/>
      <c r="T45" s="37">
        <f t="shared" si="0"/>
        <v>0</v>
      </c>
      <c r="U45" s="28" t="e">
        <f t="shared" si="4"/>
        <v>#DIV/0!</v>
      </c>
      <c r="V45" s="59">
        <f t="shared" si="5"/>
        <v>0</v>
      </c>
    </row>
    <row r="46" spans="1:22" ht="21.75" customHeight="1">
      <c r="A46" s="87">
        <v>13</v>
      </c>
      <c r="B46" s="7" t="s">
        <v>12</v>
      </c>
      <c r="C46" s="3"/>
      <c r="D46" s="3"/>
      <c r="E46" s="4">
        <f t="shared" si="1"/>
        <v>0</v>
      </c>
      <c r="F46" s="3"/>
      <c r="G46" s="3"/>
      <c r="H46" s="3"/>
      <c r="I46" s="3"/>
      <c r="J46" s="3"/>
      <c r="K46" s="3"/>
      <c r="L46" s="3"/>
      <c r="M46" s="5">
        <f t="shared" si="2"/>
        <v>0</v>
      </c>
      <c r="N46" s="28" t="e">
        <f t="shared" si="3"/>
        <v>#DIV/0!</v>
      </c>
      <c r="O46" s="7"/>
      <c r="P46" s="7"/>
      <c r="Q46" s="7"/>
      <c r="R46" s="7"/>
      <c r="S46" s="3"/>
      <c r="T46" s="37">
        <f t="shared" si="0"/>
        <v>0</v>
      </c>
      <c r="U46" s="28" t="e">
        <f t="shared" si="4"/>
        <v>#DIV/0!</v>
      </c>
      <c r="V46" s="59">
        <f t="shared" si="5"/>
        <v>0</v>
      </c>
    </row>
    <row r="47" spans="1:22" ht="21.75" customHeight="1">
      <c r="A47" s="87"/>
      <c r="B47" s="7" t="s">
        <v>13</v>
      </c>
      <c r="C47" s="3"/>
      <c r="D47" s="3"/>
      <c r="E47" s="4">
        <f t="shared" si="1"/>
        <v>0</v>
      </c>
      <c r="F47" s="3"/>
      <c r="G47" s="3"/>
      <c r="H47" s="3"/>
      <c r="I47" s="3"/>
      <c r="J47" s="3"/>
      <c r="K47" s="3"/>
      <c r="L47" s="3"/>
      <c r="M47" s="5">
        <f t="shared" si="2"/>
        <v>0</v>
      </c>
      <c r="N47" s="28" t="e">
        <f t="shared" si="3"/>
        <v>#DIV/0!</v>
      </c>
      <c r="O47" s="7"/>
      <c r="P47" s="7"/>
      <c r="Q47" s="7"/>
      <c r="R47" s="7"/>
      <c r="S47" s="3"/>
      <c r="T47" s="37">
        <f t="shared" si="0"/>
        <v>0</v>
      </c>
      <c r="U47" s="28" t="e">
        <f t="shared" si="4"/>
        <v>#DIV/0!</v>
      </c>
      <c r="V47" s="59">
        <f t="shared" si="5"/>
        <v>0</v>
      </c>
    </row>
    <row r="48" spans="1:22" ht="21.75" customHeight="1">
      <c r="A48" s="87"/>
      <c r="B48" s="7" t="s">
        <v>14</v>
      </c>
      <c r="C48" s="3"/>
      <c r="D48" s="3"/>
      <c r="E48" s="4">
        <f t="shared" si="1"/>
        <v>0</v>
      </c>
      <c r="F48" s="3"/>
      <c r="G48" s="3"/>
      <c r="H48" s="3"/>
      <c r="I48" s="3"/>
      <c r="J48" s="3"/>
      <c r="K48" s="3"/>
      <c r="L48" s="3"/>
      <c r="M48" s="5">
        <f t="shared" si="2"/>
        <v>0</v>
      </c>
      <c r="N48" s="28" t="e">
        <f t="shared" si="3"/>
        <v>#DIV/0!</v>
      </c>
      <c r="O48" s="7"/>
      <c r="P48" s="7"/>
      <c r="Q48" s="7"/>
      <c r="R48" s="7"/>
      <c r="S48" s="3"/>
      <c r="T48" s="37">
        <f t="shared" si="0"/>
        <v>0</v>
      </c>
      <c r="U48" s="28" t="e">
        <f t="shared" si="4"/>
        <v>#DIV/0!</v>
      </c>
      <c r="V48" s="59">
        <f t="shared" si="5"/>
        <v>0</v>
      </c>
    </row>
    <row r="49" spans="1:22" ht="21.75" customHeight="1">
      <c r="A49" s="87">
        <v>14</v>
      </c>
      <c r="B49" s="7" t="s">
        <v>12</v>
      </c>
      <c r="C49" s="3"/>
      <c r="D49" s="3"/>
      <c r="E49" s="4">
        <f t="shared" si="1"/>
        <v>0</v>
      </c>
      <c r="F49" s="3"/>
      <c r="G49" s="3"/>
      <c r="H49" s="3"/>
      <c r="I49" s="3"/>
      <c r="J49" s="3"/>
      <c r="K49" s="3"/>
      <c r="L49" s="3"/>
      <c r="M49" s="5">
        <f t="shared" si="2"/>
        <v>0</v>
      </c>
      <c r="N49" s="28" t="e">
        <f t="shared" si="3"/>
        <v>#DIV/0!</v>
      </c>
      <c r="O49" s="7"/>
      <c r="P49" s="7"/>
      <c r="Q49" s="7"/>
      <c r="R49" s="7"/>
      <c r="S49" s="3"/>
      <c r="T49" s="37">
        <f t="shared" si="0"/>
        <v>0</v>
      </c>
      <c r="U49" s="28" t="e">
        <f t="shared" si="4"/>
        <v>#DIV/0!</v>
      </c>
      <c r="V49" s="59">
        <f t="shared" si="5"/>
        <v>0</v>
      </c>
    </row>
    <row r="50" spans="1:22" ht="21.75" customHeight="1">
      <c r="A50" s="87"/>
      <c r="B50" s="7" t="s">
        <v>13</v>
      </c>
      <c r="C50" s="3"/>
      <c r="D50" s="3"/>
      <c r="E50" s="4">
        <f t="shared" si="1"/>
        <v>0</v>
      </c>
      <c r="F50" s="3"/>
      <c r="G50" s="3"/>
      <c r="H50" s="3"/>
      <c r="I50" s="3"/>
      <c r="J50" s="3"/>
      <c r="K50" s="3"/>
      <c r="L50" s="3"/>
      <c r="M50" s="5">
        <f t="shared" si="2"/>
        <v>0</v>
      </c>
      <c r="N50" s="28" t="e">
        <f t="shared" si="3"/>
        <v>#DIV/0!</v>
      </c>
      <c r="O50" s="7"/>
      <c r="P50" s="7"/>
      <c r="Q50" s="7"/>
      <c r="R50" s="7"/>
      <c r="S50" s="3"/>
      <c r="T50" s="37">
        <f t="shared" si="0"/>
        <v>0</v>
      </c>
      <c r="U50" s="28" t="e">
        <f t="shared" si="4"/>
        <v>#DIV/0!</v>
      </c>
      <c r="V50" s="59">
        <f t="shared" si="5"/>
        <v>0</v>
      </c>
    </row>
    <row r="51" spans="1:22" ht="21.75" customHeight="1">
      <c r="A51" s="87"/>
      <c r="B51" s="7" t="s">
        <v>14</v>
      </c>
      <c r="C51" s="3"/>
      <c r="D51" s="3"/>
      <c r="E51" s="4">
        <f t="shared" si="1"/>
        <v>0</v>
      </c>
      <c r="F51" s="3"/>
      <c r="G51" s="3"/>
      <c r="H51" s="3"/>
      <c r="I51" s="3"/>
      <c r="J51" s="3"/>
      <c r="K51" s="3"/>
      <c r="L51" s="3"/>
      <c r="M51" s="5">
        <f t="shared" si="2"/>
        <v>0</v>
      </c>
      <c r="N51" s="28" t="e">
        <f t="shared" si="3"/>
        <v>#DIV/0!</v>
      </c>
      <c r="O51" s="7"/>
      <c r="P51" s="7"/>
      <c r="Q51" s="7"/>
      <c r="R51" s="7"/>
      <c r="S51" s="3"/>
      <c r="T51" s="37">
        <f t="shared" si="0"/>
        <v>0</v>
      </c>
      <c r="U51" s="28" t="e">
        <f t="shared" si="4"/>
        <v>#DIV/0!</v>
      </c>
      <c r="V51" s="59">
        <f t="shared" si="5"/>
        <v>0</v>
      </c>
    </row>
    <row r="52" spans="1:22" ht="21.75" customHeight="1">
      <c r="A52" s="87">
        <v>15</v>
      </c>
      <c r="B52" s="7" t="s">
        <v>12</v>
      </c>
      <c r="C52" s="3"/>
      <c r="D52" s="3"/>
      <c r="E52" s="4">
        <f t="shared" si="1"/>
        <v>0</v>
      </c>
      <c r="F52" s="3"/>
      <c r="G52" s="3"/>
      <c r="H52" s="3"/>
      <c r="I52" s="3"/>
      <c r="J52" s="3"/>
      <c r="K52" s="3"/>
      <c r="L52" s="3"/>
      <c r="M52" s="5">
        <f t="shared" si="2"/>
        <v>0</v>
      </c>
      <c r="N52" s="28" t="e">
        <f t="shared" si="3"/>
        <v>#DIV/0!</v>
      </c>
      <c r="O52" s="7"/>
      <c r="P52" s="7"/>
      <c r="Q52" s="7"/>
      <c r="R52" s="7"/>
      <c r="S52" s="3"/>
      <c r="T52" s="37">
        <f t="shared" si="0"/>
        <v>0</v>
      </c>
      <c r="U52" s="28" t="e">
        <f t="shared" si="4"/>
        <v>#DIV/0!</v>
      </c>
      <c r="V52" s="59">
        <f t="shared" si="5"/>
        <v>0</v>
      </c>
    </row>
    <row r="53" spans="1:22" ht="21.75" customHeight="1">
      <c r="A53" s="87"/>
      <c r="B53" s="7" t="s">
        <v>13</v>
      </c>
      <c r="C53" s="3"/>
      <c r="D53" s="3"/>
      <c r="E53" s="4">
        <f t="shared" si="1"/>
        <v>0</v>
      </c>
      <c r="F53" s="3"/>
      <c r="G53" s="3"/>
      <c r="H53" s="3"/>
      <c r="I53" s="3"/>
      <c r="J53" s="3"/>
      <c r="K53" s="3"/>
      <c r="L53" s="3"/>
      <c r="M53" s="5">
        <f t="shared" si="2"/>
        <v>0</v>
      </c>
      <c r="N53" s="28" t="e">
        <f t="shared" si="3"/>
        <v>#DIV/0!</v>
      </c>
      <c r="O53" s="7"/>
      <c r="P53" s="7"/>
      <c r="Q53" s="7"/>
      <c r="R53" s="7"/>
      <c r="S53" s="3"/>
      <c r="T53" s="37">
        <f t="shared" si="0"/>
        <v>0</v>
      </c>
      <c r="U53" s="28" t="e">
        <f t="shared" si="4"/>
        <v>#DIV/0!</v>
      </c>
      <c r="V53" s="59">
        <f t="shared" si="5"/>
        <v>0</v>
      </c>
    </row>
    <row r="54" spans="1:22" ht="21.75" customHeight="1">
      <c r="A54" s="87"/>
      <c r="B54" s="7" t="s">
        <v>14</v>
      </c>
      <c r="C54" s="3"/>
      <c r="D54" s="3"/>
      <c r="E54" s="4">
        <f t="shared" si="1"/>
        <v>0</v>
      </c>
      <c r="F54" s="3"/>
      <c r="G54" s="3"/>
      <c r="H54" s="3"/>
      <c r="I54" s="3"/>
      <c r="J54" s="3"/>
      <c r="K54" s="3"/>
      <c r="L54" s="3"/>
      <c r="M54" s="5">
        <f t="shared" si="2"/>
        <v>0</v>
      </c>
      <c r="N54" s="28" t="e">
        <f t="shared" si="3"/>
        <v>#DIV/0!</v>
      </c>
      <c r="O54" s="7"/>
      <c r="P54" s="7"/>
      <c r="Q54" s="7"/>
      <c r="R54" s="7"/>
      <c r="S54" s="3"/>
      <c r="T54" s="37">
        <f t="shared" si="0"/>
        <v>0</v>
      </c>
      <c r="U54" s="28" t="e">
        <f t="shared" si="4"/>
        <v>#DIV/0!</v>
      </c>
      <c r="V54" s="59">
        <f t="shared" si="5"/>
        <v>0</v>
      </c>
    </row>
    <row r="55" spans="1:22" ht="21.75" customHeight="1">
      <c r="A55" s="87">
        <v>16</v>
      </c>
      <c r="B55" s="7" t="s">
        <v>12</v>
      </c>
      <c r="C55" s="3"/>
      <c r="D55" s="3"/>
      <c r="E55" s="4">
        <f t="shared" si="1"/>
        <v>0</v>
      </c>
      <c r="F55" s="3"/>
      <c r="G55" s="3"/>
      <c r="H55" s="3"/>
      <c r="I55" s="3"/>
      <c r="J55" s="3"/>
      <c r="K55" s="3"/>
      <c r="L55" s="3"/>
      <c r="M55" s="5">
        <f t="shared" si="2"/>
        <v>0</v>
      </c>
      <c r="N55" s="28" t="e">
        <f t="shared" si="3"/>
        <v>#DIV/0!</v>
      </c>
      <c r="O55" s="7"/>
      <c r="P55" s="7"/>
      <c r="Q55" s="7"/>
      <c r="R55" s="7"/>
      <c r="S55" s="3"/>
      <c r="T55" s="37">
        <f t="shared" si="0"/>
        <v>0</v>
      </c>
      <c r="U55" s="28" t="e">
        <f t="shared" si="4"/>
        <v>#DIV/0!</v>
      </c>
      <c r="V55" s="59">
        <f t="shared" si="5"/>
        <v>0</v>
      </c>
    </row>
    <row r="56" spans="1:22" ht="21.75" customHeight="1">
      <c r="A56" s="87"/>
      <c r="B56" s="7" t="s">
        <v>13</v>
      </c>
      <c r="C56" s="3"/>
      <c r="D56" s="3"/>
      <c r="E56" s="4">
        <f t="shared" si="1"/>
        <v>0</v>
      </c>
      <c r="F56" s="3"/>
      <c r="G56" s="3"/>
      <c r="H56" s="3"/>
      <c r="I56" s="3"/>
      <c r="J56" s="3"/>
      <c r="K56" s="3"/>
      <c r="L56" s="3"/>
      <c r="M56" s="5">
        <f t="shared" si="2"/>
        <v>0</v>
      </c>
      <c r="N56" s="28" t="e">
        <f t="shared" si="3"/>
        <v>#DIV/0!</v>
      </c>
      <c r="O56" s="7"/>
      <c r="P56" s="7"/>
      <c r="Q56" s="7"/>
      <c r="R56" s="7"/>
      <c r="S56" s="3"/>
      <c r="T56" s="37">
        <f t="shared" si="0"/>
        <v>0</v>
      </c>
      <c r="U56" s="28" t="e">
        <f t="shared" si="4"/>
        <v>#DIV/0!</v>
      </c>
      <c r="V56" s="59">
        <f t="shared" si="5"/>
        <v>0</v>
      </c>
    </row>
    <row r="57" spans="1:22" ht="21.75" customHeight="1">
      <c r="A57" s="87"/>
      <c r="B57" s="7" t="s">
        <v>14</v>
      </c>
      <c r="C57" s="3"/>
      <c r="D57" s="3"/>
      <c r="E57" s="4">
        <f t="shared" si="1"/>
        <v>0</v>
      </c>
      <c r="F57" s="3"/>
      <c r="G57" s="3"/>
      <c r="H57" s="3"/>
      <c r="I57" s="3"/>
      <c r="J57" s="3"/>
      <c r="K57" s="3"/>
      <c r="L57" s="3"/>
      <c r="M57" s="5">
        <f t="shared" si="2"/>
        <v>0</v>
      </c>
      <c r="N57" s="28" t="e">
        <f t="shared" si="3"/>
        <v>#DIV/0!</v>
      </c>
      <c r="O57" s="7"/>
      <c r="P57" s="7"/>
      <c r="Q57" s="7"/>
      <c r="R57" s="7"/>
      <c r="S57" s="3"/>
      <c r="T57" s="37">
        <f t="shared" si="0"/>
        <v>0</v>
      </c>
      <c r="U57" s="28" t="e">
        <f t="shared" si="4"/>
        <v>#DIV/0!</v>
      </c>
      <c r="V57" s="59">
        <f t="shared" si="5"/>
        <v>0</v>
      </c>
    </row>
    <row r="58" spans="1:22" ht="21.75" customHeight="1">
      <c r="A58" s="87">
        <v>17</v>
      </c>
      <c r="B58" s="7" t="s">
        <v>12</v>
      </c>
      <c r="C58" s="3"/>
      <c r="D58" s="3"/>
      <c r="E58" s="4">
        <f t="shared" si="1"/>
        <v>0</v>
      </c>
      <c r="F58" s="3"/>
      <c r="G58" s="3"/>
      <c r="H58" s="3"/>
      <c r="I58" s="3"/>
      <c r="J58" s="3"/>
      <c r="K58" s="3"/>
      <c r="L58" s="3"/>
      <c r="M58" s="5">
        <f t="shared" si="2"/>
        <v>0</v>
      </c>
      <c r="N58" s="28" t="e">
        <f t="shared" si="3"/>
        <v>#DIV/0!</v>
      </c>
      <c r="O58" s="7"/>
      <c r="P58" s="7"/>
      <c r="Q58" s="7"/>
      <c r="R58" s="7"/>
      <c r="S58" s="3"/>
      <c r="T58" s="37">
        <f t="shared" si="0"/>
        <v>0</v>
      </c>
      <c r="U58" s="28" t="e">
        <f t="shared" si="4"/>
        <v>#DIV/0!</v>
      </c>
      <c r="V58" s="59">
        <f t="shared" si="5"/>
        <v>0</v>
      </c>
    </row>
    <row r="59" spans="1:22" ht="21.75" customHeight="1">
      <c r="A59" s="87"/>
      <c r="B59" s="7" t="s">
        <v>13</v>
      </c>
      <c r="C59" s="3"/>
      <c r="D59" s="3"/>
      <c r="E59" s="4">
        <f t="shared" si="1"/>
        <v>0</v>
      </c>
      <c r="F59" s="3"/>
      <c r="G59" s="3"/>
      <c r="H59" s="3"/>
      <c r="I59" s="3"/>
      <c r="J59" s="3"/>
      <c r="K59" s="3"/>
      <c r="L59" s="3"/>
      <c r="M59" s="5">
        <f t="shared" si="2"/>
        <v>0</v>
      </c>
      <c r="N59" s="28" t="e">
        <f t="shared" si="3"/>
        <v>#DIV/0!</v>
      </c>
      <c r="O59" s="7"/>
      <c r="P59" s="7"/>
      <c r="Q59" s="7"/>
      <c r="R59" s="7"/>
      <c r="S59" s="3"/>
      <c r="T59" s="37">
        <f t="shared" si="0"/>
        <v>0</v>
      </c>
      <c r="U59" s="28" t="e">
        <f t="shared" si="4"/>
        <v>#DIV/0!</v>
      </c>
      <c r="V59" s="59">
        <f t="shared" si="5"/>
        <v>0</v>
      </c>
    </row>
    <row r="60" spans="1:22" ht="21.75" customHeight="1">
      <c r="A60" s="87"/>
      <c r="B60" s="7" t="s">
        <v>14</v>
      </c>
      <c r="C60" s="3"/>
      <c r="D60" s="3"/>
      <c r="E60" s="4">
        <f t="shared" si="1"/>
        <v>0</v>
      </c>
      <c r="F60" s="3"/>
      <c r="G60" s="3"/>
      <c r="H60" s="3"/>
      <c r="I60" s="3"/>
      <c r="J60" s="3"/>
      <c r="K60" s="3"/>
      <c r="L60" s="3"/>
      <c r="M60" s="5">
        <f t="shared" si="2"/>
        <v>0</v>
      </c>
      <c r="N60" s="28" t="e">
        <f t="shared" si="3"/>
        <v>#DIV/0!</v>
      </c>
      <c r="O60" s="7"/>
      <c r="P60" s="7"/>
      <c r="Q60" s="7"/>
      <c r="R60" s="7"/>
      <c r="S60" s="3"/>
      <c r="T60" s="37">
        <f t="shared" si="0"/>
        <v>0</v>
      </c>
      <c r="U60" s="28" t="e">
        <f t="shared" si="4"/>
        <v>#DIV/0!</v>
      </c>
      <c r="V60" s="59">
        <f t="shared" si="5"/>
        <v>0</v>
      </c>
    </row>
    <row r="61" spans="1:22" ht="21.75" customHeight="1">
      <c r="A61" s="87">
        <v>18</v>
      </c>
      <c r="B61" s="7" t="s">
        <v>12</v>
      </c>
      <c r="C61" s="3"/>
      <c r="D61" s="3"/>
      <c r="E61" s="4">
        <f t="shared" si="1"/>
        <v>0</v>
      </c>
      <c r="F61" s="3"/>
      <c r="G61" s="3"/>
      <c r="H61" s="3"/>
      <c r="I61" s="3"/>
      <c r="J61" s="3"/>
      <c r="K61" s="3"/>
      <c r="L61" s="3"/>
      <c r="M61" s="5">
        <f t="shared" si="2"/>
        <v>0</v>
      </c>
      <c r="N61" s="28" t="e">
        <f t="shared" si="3"/>
        <v>#DIV/0!</v>
      </c>
      <c r="O61" s="7"/>
      <c r="P61" s="7"/>
      <c r="Q61" s="7"/>
      <c r="R61" s="7"/>
      <c r="S61" s="3"/>
      <c r="T61" s="37">
        <f t="shared" si="0"/>
        <v>0</v>
      </c>
      <c r="U61" s="28" t="e">
        <f t="shared" si="4"/>
        <v>#DIV/0!</v>
      </c>
      <c r="V61" s="59">
        <f t="shared" si="5"/>
        <v>0</v>
      </c>
    </row>
    <row r="62" spans="1:22" ht="21.75" customHeight="1">
      <c r="A62" s="87"/>
      <c r="B62" s="7" t="s">
        <v>13</v>
      </c>
      <c r="C62" s="3"/>
      <c r="D62" s="3"/>
      <c r="E62" s="4">
        <f t="shared" si="1"/>
        <v>0</v>
      </c>
      <c r="F62" s="3"/>
      <c r="G62" s="3"/>
      <c r="H62" s="3"/>
      <c r="I62" s="3"/>
      <c r="J62" s="3"/>
      <c r="K62" s="3"/>
      <c r="L62" s="3"/>
      <c r="M62" s="5">
        <f t="shared" si="2"/>
        <v>0</v>
      </c>
      <c r="N62" s="28" t="e">
        <f t="shared" si="3"/>
        <v>#DIV/0!</v>
      </c>
      <c r="O62" s="7"/>
      <c r="P62" s="7"/>
      <c r="Q62" s="7"/>
      <c r="R62" s="7"/>
      <c r="S62" s="3"/>
      <c r="T62" s="37">
        <f t="shared" si="0"/>
        <v>0</v>
      </c>
      <c r="U62" s="28" t="e">
        <f t="shared" si="4"/>
        <v>#DIV/0!</v>
      </c>
      <c r="V62" s="59">
        <f t="shared" si="5"/>
        <v>0</v>
      </c>
    </row>
    <row r="63" spans="1:22" ht="21.75" customHeight="1">
      <c r="A63" s="87"/>
      <c r="B63" s="7" t="s">
        <v>14</v>
      </c>
      <c r="C63" s="3"/>
      <c r="D63" s="3"/>
      <c r="E63" s="4">
        <f t="shared" si="1"/>
        <v>0</v>
      </c>
      <c r="F63" s="3"/>
      <c r="G63" s="3"/>
      <c r="H63" s="3"/>
      <c r="I63" s="3"/>
      <c r="J63" s="3"/>
      <c r="K63" s="3"/>
      <c r="L63" s="3"/>
      <c r="M63" s="5">
        <f t="shared" si="2"/>
        <v>0</v>
      </c>
      <c r="N63" s="28" t="e">
        <f t="shared" si="3"/>
        <v>#DIV/0!</v>
      </c>
      <c r="O63" s="7"/>
      <c r="P63" s="7"/>
      <c r="Q63" s="7"/>
      <c r="R63" s="7"/>
      <c r="S63" s="3"/>
      <c r="T63" s="37">
        <f t="shared" si="0"/>
        <v>0</v>
      </c>
      <c r="U63" s="28" t="e">
        <f t="shared" si="4"/>
        <v>#DIV/0!</v>
      </c>
      <c r="V63" s="59">
        <f t="shared" si="5"/>
        <v>0</v>
      </c>
    </row>
    <row r="64" spans="1:22" ht="21.75" customHeight="1">
      <c r="A64" s="87">
        <v>19</v>
      </c>
      <c r="B64" s="7" t="s">
        <v>12</v>
      </c>
      <c r="C64" s="3"/>
      <c r="D64" s="3"/>
      <c r="E64" s="4">
        <f t="shared" si="1"/>
        <v>0</v>
      </c>
      <c r="F64" s="3"/>
      <c r="G64" s="3"/>
      <c r="H64" s="3"/>
      <c r="I64" s="3"/>
      <c r="J64" s="3"/>
      <c r="K64" s="3"/>
      <c r="L64" s="3"/>
      <c r="M64" s="5">
        <f t="shared" si="2"/>
        <v>0</v>
      </c>
      <c r="N64" s="28" t="e">
        <f t="shared" si="3"/>
        <v>#DIV/0!</v>
      </c>
      <c r="O64" s="7"/>
      <c r="P64" s="7"/>
      <c r="Q64" s="7"/>
      <c r="R64" s="7"/>
      <c r="S64" s="3"/>
      <c r="T64" s="37">
        <f t="shared" si="0"/>
        <v>0</v>
      </c>
      <c r="U64" s="28" t="e">
        <f t="shared" si="4"/>
        <v>#DIV/0!</v>
      </c>
      <c r="V64" s="59">
        <f t="shared" si="5"/>
        <v>0</v>
      </c>
    </row>
    <row r="65" spans="1:22" ht="21.75" customHeight="1">
      <c r="A65" s="87"/>
      <c r="B65" s="7" t="s">
        <v>13</v>
      </c>
      <c r="C65" s="3"/>
      <c r="D65" s="3"/>
      <c r="E65" s="4">
        <f t="shared" si="1"/>
        <v>0</v>
      </c>
      <c r="F65" s="3"/>
      <c r="G65" s="3"/>
      <c r="H65" s="3"/>
      <c r="I65" s="3"/>
      <c r="J65" s="3"/>
      <c r="K65" s="3"/>
      <c r="L65" s="3"/>
      <c r="M65" s="5">
        <f t="shared" si="2"/>
        <v>0</v>
      </c>
      <c r="N65" s="28" t="e">
        <f t="shared" si="3"/>
        <v>#DIV/0!</v>
      </c>
      <c r="O65" s="7"/>
      <c r="P65" s="7"/>
      <c r="Q65" s="7"/>
      <c r="R65" s="7"/>
      <c r="S65" s="3"/>
      <c r="T65" s="37">
        <f t="shared" si="0"/>
        <v>0</v>
      </c>
      <c r="U65" s="28" t="e">
        <f t="shared" si="4"/>
        <v>#DIV/0!</v>
      </c>
      <c r="V65" s="59">
        <f t="shared" si="5"/>
        <v>0</v>
      </c>
    </row>
    <row r="66" spans="1:22" ht="21.75" customHeight="1">
      <c r="A66" s="87"/>
      <c r="B66" s="7" t="s">
        <v>14</v>
      </c>
      <c r="C66" s="3"/>
      <c r="D66" s="3"/>
      <c r="E66" s="4">
        <f t="shared" si="1"/>
        <v>0</v>
      </c>
      <c r="F66" s="3"/>
      <c r="G66" s="3"/>
      <c r="H66" s="3"/>
      <c r="I66" s="3"/>
      <c r="J66" s="3"/>
      <c r="K66" s="3"/>
      <c r="L66" s="3"/>
      <c r="M66" s="5">
        <f t="shared" si="2"/>
        <v>0</v>
      </c>
      <c r="N66" s="28" t="e">
        <f t="shared" si="3"/>
        <v>#DIV/0!</v>
      </c>
      <c r="O66" s="7"/>
      <c r="P66" s="7"/>
      <c r="Q66" s="7"/>
      <c r="R66" s="7"/>
      <c r="S66" s="3"/>
      <c r="T66" s="37">
        <f t="shared" si="0"/>
        <v>0</v>
      </c>
      <c r="U66" s="28" t="e">
        <f t="shared" si="4"/>
        <v>#DIV/0!</v>
      </c>
      <c r="V66" s="59">
        <f t="shared" si="5"/>
        <v>0</v>
      </c>
    </row>
    <row r="67" spans="1:22" ht="21.75" customHeight="1">
      <c r="A67" s="87">
        <v>20</v>
      </c>
      <c r="B67" s="7" t="s">
        <v>12</v>
      </c>
      <c r="C67" s="3"/>
      <c r="D67" s="3"/>
      <c r="E67" s="4">
        <f t="shared" si="1"/>
        <v>0</v>
      </c>
      <c r="F67" s="3"/>
      <c r="G67" s="3"/>
      <c r="H67" s="3"/>
      <c r="I67" s="3"/>
      <c r="J67" s="3"/>
      <c r="K67" s="3"/>
      <c r="L67" s="3"/>
      <c r="M67" s="5">
        <f t="shared" si="2"/>
        <v>0</v>
      </c>
      <c r="N67" s="28" t="e">
        <f t="shared" si="3"/>
        <v>#DIV/0!</v>
      </c>
      <c r="O67" s="7"/>
      <c r="P67" s="7"/>
      <c r="Q67" s="7"/>
      <c r="R67" s="7"/>
      <c r="S67" s="3"/>
      <c r="T67" s="37">
        <f t="shared" si="0"/>
        <v>0</v>
      </c>
      <c r="U67" s="28" t="e">
        <f t="shared" si="4"/>
        <v>#DIV/0!</v>
      </c>
      <c r="V67" s="59">
        <f t="shared" si="5"/>
        <v>0</v>
      </c>
    </row>
    <row r="68" spans="1:22" ht="21.75" customHeight="1">
      <c r="A68" s="87"/>
      <c r="B68" s="7" t="s">
        <v>13</v>
      </c>
      <c r="C68" s="3"/>
      <c r="D68" s="3"/>
      <c r="E68" s="4">
        <f t="shared" si="1"/>
        <v>0</v>
      </c>
      <c r="F68" s="3"/>
      <c r="G68" s="3"/>
      <c r="H68" s="3"/>
      <c r="I68" s="3"/>
      <c r="J68" s="3"/>
      <c r="K68" s="3"/>
      <c r="L68" s="3"/>
      <c r="M68" s="5">
        <f t="shared" si="2"/>
        <v>0</v>
      </c>
      <c r="N68" s="28" t="e">
        <f t="shared" si="3"/>
        <v>#DIV/0!</v>
      </c>
      <c r="O68" s="7"/>
      <c r="P68" s="7"/>
      <c r="Q68" s="7"/>
      <c r="R68" s="7"/>
      <c r="S68" s="3"/>
      <c r="T68" s="37">
        <f t="shared" si="0"/>
        <v>0</v>
      </c>
      <c r="U68" s="28" t="e">
        <f t="shared" si="4"/>
        <v>#DIV/0!</v>
      </c>
      <c r="V68" s="59">
        <f t="shared" si="5"/>
        <v>0</v>
      </c>
    </row>
    <row r="69" spans="1:22" ht="21.75" customHeight="1">
      <c r="A69" s="87"/>
      <c r="B69" s="7" t="s">
        <v>14</v>
      </c>
      <c r="C69" s="3"/>
      <c r="D69" s="3"/>
      <c r="E69" s="4">
        <f t="shared" si="1"/>
        <v>0</v>
      </c>
      <c r="F69" s="3"/>
      <c r="G69" s="3"/>
      <c r="H69" s="3"/>
      <c r="I69" s="3"/>
      <c r="J69" s="3"/>
      <c r="K69" s="3"/>
      <c r="L69" s="3"/>
      <c r="M69" s="5">
        <f t="shared" si="2"/>
        <v>0</v>
      </c>
      <c r="N69" s="28" t="e">
        <f t="shared" si="3"/>
        <v>#DIV/0!</v>
      </c>
      <c r="O69" s="7"/>
      <c r="P69" s="7"/>
      <c r="Q69" s="7"/>
      <c r="R69" s="7"/>
      <c r="S69" s="3"/>
      <c r="T69" s="37">
        <f t="shared" si="0"/>
        <v>0</v>
      </c>
      <c r="U69" s="28" t="e">
        <f t="shared" si="4"/>
        <v>#DIV/0!</v>
      </c>
      <c r="V69" s="59">
        <f t="shared" si="5"/>
        <v>0</v>
      </c>
    </row>
    <row r="70" spans="1:22" ht="21.75" customHeight="1">
      <c r="A70" s="87">
        <v>21</v>
      </c>
      <c r="B70" s="7" t="s">
        <v>12</v>
      </c>
      <c r="C70" s="3"/>
      <c r="D70" s="3"/>
      <c r="E70" s="4">
        <f t="shared" si="1"/>
        <v>0</v>
      </c>
      <c r="F70" s="3"/>
      <c r="G70" s="3"/>
      <c r="H70" s="3"/>
      <c r="I70" s="3"/>
      <c r="J70" s="3"/>
      <c r="K70" s="3"/>
      <c r="L70" s="3"/>
      <c r="M70" s="5">
        <f t="shared" si="2"/>
        <v>0</v>
      </c>
      <c r="N70" s="28" t="e">
        <f t="shared" si="3"/>
        <v>#DIV/0!</v>
      </c>
      <c r="O70" s="7"/>
      <c r="P70" s="7"/>
      <c r="Q70" s="7"/>
      <c r="R70" s="7"/>
      <c r="S70" s="3"/>
      <c r="T70" s="37">
        <f t="shared" si="0"/>
        <v>0</v>
      </c>
      <c r="U70" s="28" t="e">
        <f t="shared" si="4"/>
        <v>#DIV/0!</v>
      </c>
      <c r="V70" s="59">
        <f t="shared" si="5"/>
        <v>0</v>
      </c>
    </row>
    <row r="71" spans="1:22" ht="21.75" customHeight="1">
      <c r="A71" s="87"/>
      <c r="B71" s="7" t="s">
        <v>13</v>
      </c>
      <c r="C71" s="3"/>
      <c r="D71" s="3"/>
      <c r="E71" s="4">
        <f t="shared" si="1"/>
        <v>0</v>
      </c>
      <c r="F71" s="3"/>
      <c r="G71" s="3"/>
      <c r="H71" s="3"/>
      <c r="I71" s="3"/>
      <c r="J71" s="3"/>
      <c r="K71" s="3"/>
      <c r="L71" s="3"/>
      <c r="M71" s="5">
        <f t="shared" si="2"/>
        <v>0</v>
      </c>
      <c r="N71" s="28" t="e">
        <f t="shared" si="3"/>
        <v>#DIV/0!</v>
      </c>
      <c r="O71" s="7"/>
      <c r="P71" s="7"/>
      <c r="Q71" s="7"/>
      <c r="R71" s="7"/>
      <c r="S71" s="3"/>
      <c r="T71" s="37">
        <f t="shared" si="0"/>
        <v>0</v>
      </c>
      <c r="U71" s="28" t="e">
        <f t="shared" si="4"/>
        <v>#DIV/0!</v>
      </c>
      <c r="V71" s="59">
        <f t="shared" si="5"/>
        <v>0</v>
      </c>
    </row>
    <row r="72" spans="1:22" ht="21.75" customHeight="1">
      <c r="A72" s="87"/>
      <c r="B72" s="7" t="s">
        <v>14</v>
      </c>
      <c r="C72" s="3"/>
      <c r="D72" s="3"/>
      <c r="E72" s="4">
        <f t="shared" si="1"/>
        <v>0</v>
      </c>
      <c r="F72" s="3"/>
      <c r="G72" s="3"/>
      <c r="H72" s="3"/>
      <c r="I72" s="3"/>
      <c r="J72" s="3"/>
      <c r="K72" s="3"/>
      <c r="L72" s="3"/>
      <c r="M72" s="5">
        <f t="shared" si="2"/>
        <v>0</v>
      </c>
      <c r="N72" s="28" t="e">
        <f t="shared" si="3"/>
        <v>#DIV/0!</v>
      </c>
      <c r="O72" s="7"/>
      <c r="P72" s="7"/>
      <c r="Q72" s="7"/>
      <c r="R72" s="7"/>
      <c r="S72" s="3"/>
      <c r="T72" s="37">
        <f t="shared" si="0"/>
        <v>0</v>
      </c>
      <c r="U72" s="28" t="e">
        <f t="shared" si="4"/>
        <v>#DIV/0!</v>
      </c>
      <c r="V72" s="59">
        <f t="shared" si="5"/>
        <v>0</v>
      </c>
    </row>
    <row r="73" spans="1:22" ht="21.75" customHeight="1">
      <c r="A73" s="87">
        <v>22</v>
      </c>
      <c r="B73" s="7" t="s">
        <v>12</v>
      </c>
      <c r="C73" s="3"/>
      <c r="D73" s="3"/>
      <c r="E73" s="4">
        <f t="shared" si="1"/>
        <v>0</v>
      </c>
      <c r="F73" s="3"/>
      <c r="G73" s="3"/>
      <c r="H73" s="3"/>
      <c r="I73" s="3"/>
      <c r="J73" s="3"/>
      <c r="K73" s="3"/>
      <c r="L73" s="3"/>
      <c r="M73" s="5">
        <f t="shared" si="2"/>
        <v>0</v>
      </c>
      <c r="N73" s="28" t="e">
        <f t="shared" si="3"/>
        <v>#DIV/0!</v>
      </c>
      <c r="O73" s="7"/>
      <c r="P73" s="7"/>
      <c r="Q73" s="7"/>
      <c r="R73" s="7"/>
      <c r="S73" s="3"/>
      <c r="T73" s="37">
        <f t="shared" si="0"/>
        <v>0</v>
      </c>
      <c r="U73" s="28" t="e">
        <f t="shared" si="4"/>
        <v>#DIV/0!</v>
      </c>
      <c r="V73" s="59">
        <f t="shared" si="5"/>
        <v>0</v>
      </c>
    </row>
    <row r="74" spans="1:22" ht="21.75" customHeight="1">
      <c r="A74" s="87"/>
      <c r="B74" s="7" t="s">
        <v>13</v>
      </c>
      <c r="C74" s="3"/>
      <c r="D74" s="3"/>
      <c r="E74" s="4">
        <f t="shared" si="1"/>
        <v>0</v>
      </c>
      <c r="F74" s="3"/>
      <c r="G74" s="3"/>
      <c r="H74" s="3"/>
      <c r="I74" s="3"/>
      <c r="J74" s="3"/>
      <c r="K74" s="3"/>
      <c r="L74" s="3"/>
      <c r="M74" s="5">
        <f t="shared" si="2"/>
        <v>0</v>
      </c>
      <c r="N74" s="28" t="e">
        <f t="shared" si="3"/>
        <v>#DIV/0!</v>
      </c>
      <c r="O74" s="7"/>
      <c r="P74" s="7"/>
      <c r="Q74" s="7"/>
      <c r="R74" s="7"/>
      <c r="S74" s="3"/>
      <c r="T74" s="37">
        <f t="shared" ref="T74:T106" si="6">SUM(O74:S74)</f>
        <v>0</v>
      </c>
      <c r="U74" s="28" t="e">
        <f t="shared" si="4"/>
        <v>#DIV/0!</v>
      </c>
      <c r="V74" s="59">
        <f t="shared" si="5"/>
        <v>0</v>
      </c>
    </row>
    <row r="75" spans="1:22" ht="21.75" customHeight="1">
      <c r="A75" s="87"/>
      <c r="B75" s="7" t="s">
        <v>14</v>
      </c>
      <c r="C75" s="3"/>
      <c r="D75" s="3"/>
      <c r="E75" s="4">
        <f t="shared" ref="E75:E102" si="7">((($B$3*C75)+(12*D75))*$E$4)/7</f>
        <v>0</v>
      </c>
      <c r="F75" s="3"/>
      <c r="G75" s="3"/>
      <c r="H75" s="3"/>
      <c r="I75" s="3"/>
      <c r="J75" s="3"/>
      <c r="K75" s="3"/>
      <c r="L75" s="3"/>
      <c r="M75" s="5">
        <f t="shared" ref="M75:M106" si="8">(F75+G75+H75+L75)-E75</f>
        <v>0</v>
      </c>
      <c r="N75" s="28" t="e">
        <f t="shared" ref="N75:N105" si="9">(((C75*4.5)+(12*D75))*$E$4)/((F75+G75+H75+I75+J75+K75+L75)*7)*100</f>
        <v>#DIV/0!</v>
      </c>
      <c r="O75" s="7"/>
      <c r="P75" s="7"/>
      <c r="Q75" s="7"/>
      <c r="R75" s="7"/>
      <c r="S75" s="3"/>
      <c r="T75" s="37">
        <f t="shared" si="6"/>
        <v>0</v>
      </c>
      <c r="U75" s="28" t="e">
        <f t="shared" ref="U75:U106" si="10">((((O75*1.5+(P75*3.5)+(Q75*5.5)+(R75*7.5)+(S75*12)))/3)/((F75+G75+H75+I75+J75+K75+L75)*7))*100</f>
        <v>#DIV/0!</v>
      </c>
      <c r="V75" s="59">
        <f t="shared" ref="V75:V106" si="11">C75+D75-T75</f>
        <v>0</v>
      </c>
    </row>
    <row r="76" spans="1:22" ht="21.75" customHeight="1">
      <c r="A76" s="87">
        <v>23</v>
      </c>
      <c r="B76" s="7" t="s">
        <v>12</v>
      </c>
      <c r="C76" s="3"/>
      <c r="D76" s="3"/>
      <c r="E76" s="4">
        <f t="shared" si="7"/>
        <v>0</v>
      </c>
      <c r="F76" s="3"/>
      <c r="G76" s="3"/>
      <c r="H76" s="3"/>
      <c r="I76" s="3"/>
      <c r="J76" s="3"/>
      <c r="K76" s="3"/>
      <c r="L76" s="3"/>
      <c r="M76" s="5">
        <f t="shared" si="8"/>
        <v>0</v>
      </c>
      <c r="N76" s="28" t="e">
        <f t="shared" si="9"/>
        <v>#DIV/0!</v>
      </c>
      <c r="O76" s="7"/>
      <c r="P76" s="7"/>
      <c r="Q76" s="7"/>
      <c r="R76" s="7"/>
      <c r="S76" s="3"/>
      <c r="T76" s="37">
        <f t="shared" si="6"/>
        <v>0</v>
      </c>
      <c r="U76" s="28" t="e">
        <f t="shared" si="10"/>
        <v>#DIV/0!</v>
      </c>
      <c r="V76" s="59">
        <f t="shared" si="11"/>
        <v>0</v>
      </c>
    </row>
    <row r="77" spans="1:22" ht="21.75" customHeight="1">
      <c r="A77" s="87"/>
      <c r="B77" s="7" t="s">
        <v>13</v>
      </c>
      <c r="C77" s="3"/>
      <c r="D77" s="3"/>
      <c r="E77" s="4">
        <f t="shared" si="7"/>
        <v>0</v>
      </c>
      <c r="F77" s="3"/>
      <c r="G77" s="3"/>
      <c r="H77" s="3"/>
      <c r="I77" s="3"/>
      <c r="J77" s="3"/>
      <c r="K77" s="3"/>
      <c r="L77" s="3"/>
      <c r="M77" s="5">
        <f t="shared" si="8"/>
        <v>0</v>
      </c>
      <c r="N77" s="28" t="e">
        <f t="shared" si="9"/>
        <v>#DIV/0!</v>
      </c>
      <c r="O77" s="7"/>
      <c r="P77" s="7"/>
      <c r="Q77" s="7"/>
      <c r="R77" s="7"/>
      <c r="S77" s="3"/>
      <c r="T77" s="37">
        <f t="shared" si="6"/>
        <v>0</v>
      </c>
      <c r="U77" s="28" t="e">
        <f t="shared" si="10"/>
        <v>#DIV/0!</v>
      </c>
      <c r="V77" s="59">
        <f t="shared" si="11"/>
        <v>0</v>
      </c>
    </row>
    <row r="78" spans="1:22" ht="21.75" customHeight="1">
      <c r="A78" s="87"/>
      <c r="B78" s="7" t="s">
        <v>14</v>
      </c>
      <c r="C78" s="3"/>
      <c r="D78" s="3"/>
      <c r="E78" s="4">
        <f t="shared" si="7"/>
        <v>0</v>
      </c>
      <c r="F78" s="3"/>
      <c r="G78" s="3"/>
      <c r="H78" s="3"/>
      <c r="I78" s="3"/>
      <c r="J78" s="3"/>
      <c r="K78" s="3"/>
      <c r="L78" s="3"/>
      <c r="M78" s="5">
        <f t="shared" si="8"/>
        <v>0</v>
      </c>
      <c r="N78" s="28" t="e">
        <f t="shared" si="9"/>
        <v>#DIV/0!</v>
      </c>
      <c r="O78" s="7"/>
      <c r="P78" s="7"/>
      <c r="Q78" s="7"/>
      <c r="R78" s="7"/>
      <c r="S78" s="3"/>
      <c r="T78" s="37">
        <f t="shared" si="6"/>
        <v>0</v>
      </c>
      <c r="U78" s="28" t="e">
        <f t="shared" si="10"/>
        <v>#DIV/0!</v>
      </c>
      <c r="V78" s="59">
        <f t="shared" si="11"/>
        <v>0</v>
      </c>
    </row>
    <row r="79" spans="1:22" ht="21.75" customHeight="1">
      <c r="A79" s="87">
        <v>24</v>
      </c>
      <c r="B79" s="7" t="s">
        <v>12</v>
      </c>
      <c r="C79" s="3"/>
      <c r="D79" s="3"/>
      <c r="E79" s="4">
        <f t="shared" si="7"/>
        <v>0</v>
      </c>
      <c r="F79" s="3"/>
      <c r="G79" s="3"/>
      <c r="H79" s="3"/>
      <c r="I79" s="3"/>
      <c r="J79" s="3"/>
      <c r="K79" s="3"/>
      <c r="L79" s="3"/>
      <c r="M79" s="5">
        <f t="shared" si="8"/>
        <v>0</v>
      </c>
      <c r="N79" s="28" t="e">
        <f t="shared" si="9"/>
        <v>#DIV/0!</v>
      </c>
      <c r="O79" s="7"/>
      <c r="P79" s="7"/>
      <c r="Q79" s="7"/>
      <c r="R79" s="7"/>
      <c r="S79" s="3"/>
      <c r="T79" s="37">
        <f t="shared" si="6"/>
        <v>0</v>
      </c>
      <c r="U79" s="28" t="e">
        <f t="shared" si="10"/>
        <v>#DIV/0!</v>
      </c>
      <c r="V79" s="59">
        <f t="shared" si="11"/>
        <v>0</v>
      </c>
    </row>
    <row r="80" spans="1:22" ht="21.75" customHeight="1">
      <c r="A80" s="87"/>
      <c r="B80" s="7" t="s">
        <v>13</v>
      </c>
      <c r="C80" s="3"/>
      <c r="D80" s="3"/>
      <c r="E80" s="4">
        <f t="shared" si="7"/>
        <v>0</v>
      </c>
      <c r="F80" s="3"/>
      <c r="G80" s="3"/>
      <c r="H80" s="3"/>
      <c r="I80" s="3"/>
      <c r="J80" s="3"/>
      <c r="K80" s="3"/>
      <c r="L80" s="3"/>
      <c r="M80" s="5">
        <f t="shared" si="8"/>
        <v>0</v>
      </c>
      <c r="N80" s="28" t="e">
        <f t="shared" si="9"/>
        <v>#DIV/0!</v>
      </c>
      <c r="O80" s="7"/>
      <c r="P80" s="7"/>
      <c r="Q80" s="7"/>
      <c r="R80" s="7"/>
      <c r="S80" s="3"/>
      <c r="T80" s="37">
        <f t="shared" si="6"/>
        <v>0</v>
      </c>
      <c r="U80" s="28" t="e">
        <f t="shared" si="10"/>
        <v>#DIV/0!</v>
      </c>
      <c r="V80" s="59">
        <f t="shared" si="11"/>
        <v>0</v>
      </c>
    </row>
    <row r="81" spans="1:22" ht="21.75" customHeight="1">
      <c r="A81" s="87"/>
      <c r="B81" s="7" t="s">
        <v>14</v>
      </c>
      <c r="C81" s="3"/>
      <c r="D81" s="3"/>
      <c r="E81" s="4">
        <f t="shared" si="7"/>
        <v>0</v>
      </c>
      <c r="F81" s="3"/>
      <c r="G81" s="3"/>
      <c r="H81" s="3"/>
      <c r="I81" s="3"/>
      <c r="J81" s="3"/>
      <c r="K81" s="3"/>
      <c r="L81" s="3"/>
      <c r="M81" s="5">
        <f t="shared" si="8"/>
        <v>0</v>
      </c>
      <c r="N81" s="28" t="e">
        <f t="shared" si="9"/>
        <v>#DIV/0!</v>
      </c>
      <c r="O81" s="7"/>
      <c r="P81" s="7"/>
      <c r="Q81" s="7"/>
      <c r="R81" s="7"/>
      <c r="S81" s="3"/>
      <c r="T81" s="37">
        <f t="shared" si="6"/>
        <v>0</v>
      </c>
      <c r="U81" s="28" t="e">
        <f t="shared" si="10"/>
        <v>#DIV/0!</v>
      </c>
      <c r="V81" s="59">
        <f t="shared" si="11"/>
        <v>0</v>
      </c>
    </row>
    <row r="82" spans="1:22" ht="21.75" customHeight="1">
      <c r="A82" s="87">
        <v>25</v>
      </c>
      <c r="B82" s="7" t="s">
        <v>12</v>
      </c>
      <c r="C82" s="3"/>
      <c r="D82" s="3"/>
      <c r="E82" s="4">
        <f t="shared" si="7"/>
        <v>0</v>
      </c>
      <c r="F82" s="3"/>
      <c r="G82" s="3"/>
      <c r="H82" s="3"/>
      <c r="I82" s="3"/>
      <c r="J82" s="3"/>
      <c r="K82" s="3"/>
      <c r="L82" s="3"/>
      <c r="M82" s="5">
        <f t="shared" si="8"/>
        <v>0</v>
      </c>
      <c r="N82" s="28" t="e">
        <f t="shared" si="9"/>
        <v>#DIV/0!</v>
      </c>
      <c r="O82" s="7"/>
      <c r="P82" s="7"/>
      <c r="Q82" s="7"/>
      <c r="R82" s="7"/>
      <c r="S82" s="3"/>
      <c r="T82" s="37">
        <f t="shared" si="6"/>
        <v>0</v>
      </c>
      <c r="U82" s="28" t="e">
        <f t="shared" si="10"/>
        <v>#DIV/0!</v>
      </c>
      <c r="V82" s="59">
        <f t="shared" si="11"/>
        <v>0</v>
      </c>
    </row>
    <row r="83" spans="1:22" ht="21.75" customHeight="1">
      <c r="A83" s="87"/>
      <c r="B83" s="7" t="s">
        <v>13</v>
      </c>
      <c r="C83" s="3"/>
      <c r="D83" s="3"/>
      <c r="E83" s="4">
        <f t="shared" si="7"/>
        <v>0</v>
      </c>
      <c r="F83" s="3"/>
      <c r="G83" s="3"/>
      <c r="H83" s="3"/>
      <c r="I83" s="3"/>
      <c r="J83" s="3"/>
      <c r="K83" s="3"/>
      <c r="L83" s="3"/>
      <c r="M83" s="5">
        <f t="shared" si="8"/>
        <v>0</v>
      </c>
      <c r="N83" s="28" t="e">
        <f t="shared" si="9"/>
        <v>#DIV/0!</v>
      </c>
      <c r="O83" s="7"/>
      <c r="P83" s="7"/>
      <c r="Q83" s="7"/>
      <c r="R83" s="7"/>
      <c r="S83" s="3"/>
      <c r="T83" s="37">
        <f t="shared" si="6"/>
        <v>0</v>
      </c>
      <c r="U83" s="28" t="e">
        <f t="shared" si="10"/>
        <v>#DIV/0!</v>
      </c>
      <c r="V83" s="59">
        <f t="shared" si="11"/>
        <v>0</v>
      </c>
    </row>
    <row r="84" spans="1:22" ht="21.75" customHeight="1">
      <c r="A84" s="87"/>
      <c r="B84" s="7" t="s">
        <v>14</v>
      </c>
      <c r="C84" s="3"/>
      <c r="D84" s="3"/>
      <c r="E84" s="4">
        <f t="shared" si="7"/>
        <v>0</v>
      </c>
      <c r="F84" s="3"/>
      <c r="G84" s="3"/>
      <c r="H84" s="3"/>
      <c r="I84" s="3"/>
      <c r="J84" s="3"/>
      <c r="K84" s="3"/>
      <c r="L84" s="3"/>
      <c r="M84" s="5">
        <f t="shared" si="8"/>
        <v>0</v>
      </c>
      <c r="N84" s="28" t="e">
        <f t="shared" si="9"/>
        <v>#DIV/0!</v>
      </c>
      <c r="O84" s="7"/>
      <c r="P84" s="7"/>
      <c r="Q84" s="7"/>
      <c r="R84" s="7"/>
      <c r="S84" s="3"/>
      <c r="T84" s="37">
        <f t="shared" si="6"/>
        <v>0</v>
      </c>
      <c r="U84" s="28" t="e">
        <f t="shared" si="10"/>
        <v>#DIV/0!</v>
      </c>
      <c r="V84" s="59">
        <f t="shared" si="11"/>
        <v>0</v>
      </c>
    </row>
    <row r="85" spans="1:22" ht="21.75" customHeight="1">
      <c r="A85" s="87">
        <v>26</v>
      </c>
      <c r="B85" s="7" t="s">
        <v>12</v>
      </c>
      <c r="C85" s="3"/>
      <c r="D85" s="3"/>
      <c r="E85" s="4">
        <f t="shared" si="7"/>
        <v>0</v>
      </c>
      <c r="F85" s="3"/>
      <c r="G85" s="3"/>
      <c r="H85" s="3"/>
      <c r="I85" s="3"/>
      <c r="J85" s="3"/>
      <c r="K85" s="3"/>
      <c r="L85" s="3"/>
      <c r="M85" s="5">
        <f t="shared" si="8"/>
        <v>0</v>
      </c>
      <c r="N85" s="28" t="e">
        <f t="shared" si="9"/>
        <v>#DIV/0!</v>
      </c>
      <c r="O85" s="7"/>
      <c r="P85" s="7"/>
      <c r="Q85" s="7"/>
      <c r="R85" s="7"/>
      <c r="S85" s="3"/>
      <c r="T85" s="37">
        <f t="shared" si="6"/>
        <v>0</v>
      </c>
      <c r="U85" s="28" t="e">
        <f t="shared" si="10"/>
        <v>#DIV/0!</v>
      </c>
      <c r="V85" s="59">
        <f t="shared" si="11"/>
        <v>0</v>
      </c>
    </row>
    <row r="86" spans="1:22" ht="21.75" customHeight="1">
      <c r="A86" s="87"/>
      <c r="B86" s="7" t="s">
        <v>13</v>
      </c>
      <c r="C86" s="3"/>
      <c r="D86" s="3"/>
      <c r="E86" s="4">
        <f t="shared" si="7"/>
        <v>0</v>
      </c>
      <c r="F86" s="3"/>
      <c r="G86" s="3"/>
      <c r="H86" s="3"/>
      <c r="I86" s="3"/>
      <c r="J86" s="3"/>
      <c r="K86" s="3"/>
      <c r="L86" s="3"/>
      <c r="M86" s="5">
        <f t="shared" si="8"/>
        <v>0</v>
      </c>
      <c r="N86" s="28" t="e">
        <f t="shared" si="9"/>
        <v>#DIV/0!</v>
      </c>
      <c r="O86" s="7"/>
      <c r="P86" s="7"/>
      <c r="Q86" s="7"/>
      <c r="R86" s="7"/>
      <c r="S86" s="3"/>
      <c r="T86" s="37">
        <f t="shared" si="6"/>
        <v>0</v>
      </c>
      <c r="U86" s="28" t="e">
        <f t="shared" si="10"/>
        <v>#DIV/0!</v>
      </c>
      <c r="V86" s="59">
        <f t="shared" si="11"/>
        <v>0</v>
      </c>
    </row>
    <row r="87" spans="1:22" ht="21.75" customHeight="1">
      <c r="A87" s="87"/>
      <c r="B87" s="7" t="s">
        <v>14</v>
      </c>
      <c r="C87" s="3"/>
      <c r="D87" s="3"/>
      <c r="E87" s="4">
        <f t="shared" si="7"/>
        <v>0</v>
      </c>
      <c r="F87" s="3"/>
      <c r="G87" s="3"/>
      <c r="H87" s="3"/>
      <c r="I87" s="3"/>
      <c r="J87" s="3"/>
      <c r="K87" s="3"/>
      <c r="L87" s="3"/>
      <c r="M87" s="5">
        <f t="shared" si="8"/>
        <v>0</v>
      </c>
      <c r="N87" s="28" t="e">
        <f t="shared" si="9"/>
        <v>#DIV/0!</v>
      </c>
      <c r="O87" s="7"/>
      <c r="P87" s="7"/>
      <c r="Q87" s="7"/>
      <c r="R87" s="7"/>
      <c r="S87" s="3"/>
      <c r="T87" s="37">
        <f t="shared" si="6"/>
        <v>0</v>
      </c>
      <c r="U87" s="28" t="e">
        <f t="shared" si="10"/>
        <v>#DIV/0!</v>
      </c>
      <c r="V87" s="59">
        <f t="shared" si="11"/>
        <v>0</v>
      </c>
    </row>
    <row r="88" spans="1:22" ht="21.75" customHeight="1">
      <c r="A88" s="87">
        <v>27</v>
      </c>
      <c r="B88" s="7" t="s">
        <v>12</v>
      </c>
      <c r="C88" s="3"/>
      <c r="D88" s="3"/>
      <c r="E88" s="4">
        <f t="shared" si="7"/>
        <v>0</v>
      </c>
      <c r="F88" s="3"/>
      <c r="G88" s="3"/>
      <c r="H88" s="3"/>
      <c r="I88" s="3"/>
      <c r="J88" s="3"/>
      <c r="K88" s="3"/>
      <c r="L88" s="3"/>
      <c r="M88" s="5">
        <f t="shared" si="8"/>
        <v>0</v>
      </c>
      <c r="N88" s="28" t="e">
        <f t="shared" si="9"/>
        <v>#DIV/0!</v>
      </c>
      <c r="O88" s="7"/>
      <c r="P88" s="7"/>
      <c r="Q88" s="7"/>
      <c r="R88" s="7"/>
      <c r="S88" s="3"/>
      <c r="T88" s="37">
        <f t="shared" si="6"/>
        <v>0</v>
      </c>
      <c r="U88" s="28" t="e">
        <f t="shared" si="10"/>
        <v>#DIV/0!</v>
      </c>
      <c r="V88" s="59">
        <f t="shared" si="11"/>
        <v>0</v>
      </c>
    </row>
    <row r="89" spans="1:22" ht="21.75" customHeight="1">
      <c r="A89" s="87"/>
      <c r="B89" s="7" t="s">
        <v>13</v>
      </c>
      <c r="C89" s="3"/>
      <c r="D89" s="3"/>
      <c r="E89" s="4">
        <f t="shared" si="7"/>
        <v>0</v>
      </c>
      <c r="F89" s="3"/>
      <c r="G89" s="3"/>
      <c r="H89" s="3"/>
      <c r="I89" s="3"/>
      <c r="J89" s="3"/>
      <c r="K89" s="3"/>
      <c r="L89" s="3"/>
      <c r="M89" s="5">
        <f t="shared" si="8"/>
        <v>0</v>
      </c>
      <c r="N89" s="28" t="e">
        <f t="shared" si="9"/>
        <v>#DIV/0!</v>
      </c>
      <c r="O89" s="7"/>
      <c r="P89" s="7"/>
      <c r="Q89" s="7"/>
      <c r="R89" s="7"/>
      <c r="S89" s="3"/>
      <c r="T89" s="37">
        <f t="shared" si="6"/>
        <v>0</v>
      </c>
      <c r="U89" s="28" t="e">
        <f t="shared" si="10"/>
        <v>#DIV/0!</v>
      </c>
      <c r="V89" s="59">
        <f t="shared" si="11"/>
        <v>0</v>
      </c>
    </row>
    <row r="90" spans="1:22" ht="21.75" customHeight="1">
      <c r="A90" s="87"/>
      <c r="B90" s="7" t="s">
        <v>14</v>
      </c>
      <c r="C90" s="3"/>
      <c r="D90" s="3"/>
      <c r="E90" s="4">
        <f t="shared" si="7"/>
        <v>0</v>
      </c>
      <c r="F90" s="3"/>
      <c r="G90" s="3"/>
      <c r="H90" s="3"/>
      <c r="I90" s="3"/>
      <c r="J90" s="3"/>
      <c r="K90" s="3"/>
      <c r="L90" s="3"/>
      <c r="M90" s="5">
        <f t="shared" si="8"/>
        <v>0</v>
      </c>
      <c r="N90" s="28" t="e">
        <f t="shared" si="9"/>
        <v>#DIV/0!</v>
      </c>
      <c r="O90" s="7"/>
      <c r="P90" s="7"/>
      <c r="Q90" s="7"/>
      <c r="R90" s="7"/>
      <c r="S90" s="3"/>
      <c r="T90" s="37">
        <f t="shared" si="6"/>
        <v>0</v>
      </c>
      <c r="U90" s="28" t="e">
        <f t="shared" si="10"/>
        <v>#DIV/0!</v>
      </c>
      <c r="V90" s="59">
        <f t="shared" si="11"/>
        <v>0</v>
      </c>
    </row>
    <row r="91" spans="1:22" ht="21.75" customHeight="1">
      <c r="A91" s="87">
        <v>28</v>
      </c>
      <c r="B91" s="7" t="s">
        <v>12</v>
      </c>
      <c r="C91" s="3"/>
      <c r="D91" s="3"/>
      <c r="E91" s="4">
        <f t="shared" si="7"/>
        <v>0</v>
      </c>
      <c r="F91" s="3"/>
      <c r="G91" s="3"/>
      <c r="H91" s="3"/>
      <c r="I91" s="3"/>
      <c r="J91" s="3"/>
      <c r="K91" s="3"/>
      <c r="L91" s="3"/>
      <c r="M91" s="5">
        <f t="shared" si="8"/>
        <v>0</v>
      </c>
      <c r="N91" s="28" t="e">
        <f t="shared" si="9"/>
        <v>#DIV/0!</v>
      </c>
      <c r="O91" s="7"/>
      <c r="P91" s="7"/>
      <c r="Q91" s="7"/>
      <c r="R91" s="7"/>
      <c r="S91" s="3"/>
      <c r="T91" s="37">
        <f t="shared" si="6"/>
        <v>0</v>
      </c>
      <c r="U91" s="28" t="e">
        <f t="shared" si="10"/>
        <v>#DIV/0!</v>
      </c>
      <c r="V91" s="59">
        <f t="shared" si="11"/>
        <v>0</v>
      </c>
    </row>
    <row r="92" spans="1:22" ht="21.75" customHeight="1">
      <c r="A92" s="87"/>
      <c r="B92" s="7" t="s">
        <v>13</v>
      </c>
      <c r="C92" s="3"/>
      <c r="D92" s="3"/>
      <c r="E92" s="4">
        <f t="shared" si="7"/>
        <v>0</v>
      </c>
      <c r="F92" s="3"/>
      <c r="G92" s="3"/>
      <c r="H92" s="3"/>
      <c r="I92" s="3"/>
      <c r="J92" s="3"/>
      <c r="K92" s="3"/>
      <c r="L92" s="3"/>
      <c r="M92" s="5">
        <f t="shared" si="8"/>
        <v>0</v>
      </c>
      <c r="N92" s="28" t="e">
        <f t="shared" si="9"/>
        <v>#DIV/0!</v>
      </c>
      <c r="O92" s="7"/>
      <c r="P92" s="7"/>
      <c r="Q92" s="7"/>
      <c r="R92" s="7"/>
      <c r="S92" s="3"/>
      <c r="T92" s="37">
        <f t="shared" si="6"/>
        <v>0</v>
      </c>
      <c r="U92" s="28" t="e">
        <f t="shared" si="10"/>
        <v>#DIV/0!</v>
      </c>
      <c r="V92" s="59">
        <f t="shared" si="11"/>
        <v>0</v>
      </c>
    </row>
    <row r="93" spans="1:22" ht="21.75" customHeight="1">
      <c r="A93" s="87"/>
      <c r="B93" s="7" t="s">
        <v>14</v>
      </c>
      <c r="C93" s="3"/>
      <c r="D93" s="3"/>
      <c r="E93" s="4">
        <f t="shared" si="7"/>
        <v>0</v>
      </c>
      <c r="F93" s="3"/>
      <c r="G93" s="3"/>
      <c r="H93" s="3"/>
      <c r="I93" s="3"/>
      <c r="J93" s="3"/>
      <c r="K93" s="3"/>
      <c r="L93" s="3"/>
      <c r="M93" s="5">
        <f t="shared" si="8"/>
        <v>0</v>
      </c>
      <c r="N93" s="28" t="e">
        <f t="shared" si="9"/>
        <v>#DIV/0!</v>
      </c>
      <c r="O93" s="7"/>
      <c r="P93" s="7"/>
      <c r="Q93" s="7"/>
      <c r="R93" s="7"/>
      <c r="S93" s="3"/>
      <c r="T93" s="37">
        <f t="shared" si="6"/>
        <v>0</v>
      </c>
      <c r="U93" s="28" t="e">
        <f t="shared" si="10"/>
        <v>#DIV/0!</v>
      </c>
      <c r="V93" s="59">
        <f t="shared" si="11"/>
        <v>0</v>
      </c>
    </row>
    <row r="94" spans="1:22" ht="21.75" customHeight="1">
      <c r="A94" s="87">
        <v>29</v>
      </c>
      <c r="B94" s="7" t="s">
        <v>12</v>
      </c>
      <c r="C94" s="3"/>
      <c r="D94" s="3"/>
      <c r="E94" s="4">
        <f t="shared" si="7"/>
        <v>0</v>
      </c>
      <c r="F94" s="3"/>
      <c r="G94" s="3"/>
      <c r="H94" s="3"/>
      <c r="I94" s="3"/>
      <c r="J94" s="3"/>
      <c r="K94" s="3"/>
      <c r="L94" s="3"/>
      <c r="M94" s="5">
        <f t="shared" si="8"/>
        <v>0</v>
      </c>
      <c r="N94" s="28" t="e">
        <f t="shared" si="9"/>
        <v>#DIV/0!</v>
      </c>
      <c r="O94" s="7"/>
      <c r="P94" s="7"/>
      <c r="Q94" s="7"/>
      <c r="R94" s="7"/>
      <c r="S94" s="3"/>
      <c r="T94" s="37">
        <f t="shared" si="6"/>
        <v>0</v>
      </c>
      <c r="U94" s="28" t="e">
        <f t="shared" si="10"/>
        <v>#DIV/0!</v>
      </c>
      <c r="V94" s="59">
        <f t="shared" si="11"/>
        <v>0</v>
      </c>
    </row>
    <row r="95" spans="1:22" ht="21.75" customHeight="1">
      <c r="A95" s="87"/>
      <c r="B95" s="7" t="s">
        <v>13</v>
      </c>
      <c r="C95" s="3"/>
      <c r="D95" s="3"/>
      <c r="E95" s="4">
        <f t="shared" si="7"/>
        <v>0</v>
      </c>
      <c r="F95" s="3"/>
      <c r="G95" s="3"/>
      <c r="H95" s="3"/>
      <c r="I95" s="3"/>
      <c r="J95" s="3"/>
      <c r="K95" s="3"/>
      <c r="L95" s="3"/>
      <c r="M95" s="5">
        <f t="shared" si="8"/>
        <v>0</v>
      </c>
      <c r="N95" s="28" t="e">
        <f t="shared" si="9"/>
        <v>#DIV/0!</v>
      </c>
      <c r="O95" s="7"/>
      <c r="P95" s="7"/>
      <c r="Q95" s="7"/>
      <c r="R95" s="7"/>
      <c r="S95" s="3"/>
      <c r="T95" s="37">
        <f t="shared" si="6"/>
        <v>0</v>
      </c>
      <c r="U95" s="28" t="e">
        <f t="shared" si="10"/>
        <v>#DIV/0!</v>
      </c>
      <c r="V95" s="59">
        <f t="shared" si="11"/>
        <v>0</v>
      </c>
    </row>
    <row r="96" spans="1:22" ht="21.75" customHeight="1">
      <c r="A96" s="87"/>
      <c r="B96" s="7" t="s">
        <v>14</v>
      </c>
      <c r="C96" s="3"/>
      <c r="D96" s="3"/>
      <c r="E96" s="4">
        <f t="shared" si="7"/>
        <v>0</v>
      </c>
      <c r="F96" s="3"/>
      <c r="G96" s="3"/>
      <c r="H96" s="3"/>
      <c r="I96" s="3"/>
      <c r="J96" s="3"/>
      <c r="K96" s="3"/>
      <c r="L96" s="3"/>
      <c r="M96" s="5">
        <f t="shared" si="8"/>
        <v>0</v>
      </c>
      <c r="N96" s="28" t="e">
        <f t="shared" si="9"/>
        <v>#DIV/0!</v>
      </c>
      <c r="O96" s="7"/>
      <c r="P96" s="7"/>
      <c r="Q96" s="7"/>
      <c r="R96" s="7"/>
      <c r="S96" s="3"/>
      <c r="T96" s="37">
        <f t="shared" si="6"/>
        <v>0</v>
      </c>
      <c r="U96" s="28" t="e">
        <f t="shared" si="10"/>
        <v>#DIV/0!</v>
      </c>
      <c r="V96" s="59">
        <f t="shared" si="11"/>
        <v>0</v>
      </c>
    </row>
    <row r="97" spans="1:22" ht="21.75" customHeight="1">
      <c r="A97" s="87">
        <v>30</v>
      </c>
      <c r="B97" s="7" t="s">
        <v>12</v>
      </c>
      <c r="C97" s="3"/>
      <c r="D97" s="3"/>
      <c r="E97" s="4">
        <f t="shared" si="7"/>
        <v>0</v>
      </c>
      <c r="F97" s="3"/>
      <c r="G97" s="3"/>
      <c r="H97" s="3"/>
      <c r="I97" s="3"/>
      <c r="J97" s="3"/>
      <c r="K97" s="3"/>
      <c r="L97" s="3"/>
      <c r="M97" s="5">
        <f t="shared" si="8"/>
        <v>0</v>
      </c>
      <c r="N97" s="28" t="e">
        <f t="shared" si="9"/>
        <v>#DIV/0!</v>
      </c>
      <c r="O97" s="7"/>
      <c r="P97" s="7"/>
      <c r="Q97" s="7"/>
      <c r="R97" s="7"/>
      <c r="S97" s="3"/>
      <c r="T97" s="37">
        <f t="shared" si="6"/>
        <v>0</v>
      </c>
      <c r="U97" s="28" t="e">
        <f t="shared" si="10"/>
        <v>#DIV/0!</v>
      </c>
      <c r="V97" s="59">
        <f t="shared" si="11"/>
        <v>0</v>
      </c>
    </row>
    <row r="98" spans="1:22" ht="21.75" customHeight="1">
      <c r="A98" s="87"/>
      <c r="B98" s="7" t="s">
        <v>13</v>
      </c>
      <c r="C98" s="3"/>
      <c r="D98" s="3"/>
      <c r="E98" s="4">
        <f t="shared" si="7"/>
        <v>0</v>
      </c>
      <c r="F98" s="3"/>
      <c r="G98" s="3"/>
      <c r="H98" s="3"/>
      <c r="I98" s="3"/>
      <c r="J98" s="3"/>
      <c r="K98" s="3"/>
      <c r="L98" s="3"/>
      <c r="M98" s="5">
        <f t="shared" si="8"/>
        <v>0</v>
      </c>
      <c r="N98" s="28" t="e">
        <f t="shared" si="9"/>
        <v>#DIV/0!</v>
      </c>
      <c r="O98" s="7"/>
      <c r="P98" s="7"/>
      <c r="Q98" s="7"/>
      <c r="R98" s="7"/>
      <c r="S98" s="3"/>
      <c r="T98" s="37">
        <f t="shared" si="6"/>
        <v>0</v>
      </c>
      <c r="U98" s="28" t="e">
        <f t="shared" si="10"/>
        <v>#DIV/0!</v>
      </c>
      <c r="V98" s="59">
        <f t="shared" si="11"/>
        <v>0</v>
      </c>
    </row>
    <row r="99" spans="1:22" ht="21.75" customHeight="1">
      <c r="A99" s="87"/>
      <c r="B99" s="7" t="s">
        <v>14</v>
      </c>
      <c r="C99" s="3"/>
      <c r="D99" s="3"/>
      <c r="E99" s="4">
        <f t="shared" si="7"/>
        <v>0</v>
      </c>
      <c r="F99" s="3"/>
      <c r="G99" s="3"/>
      <c r="H99" s="3"/>
      <c r="I99" s="3"/>
      <c r="J99" s="3"/>
      <c r="K99" s="3"/>
      <c r="L99" s="3"/>
      <c r="M99" s="5">
        <f t="shared" si="8"/>
        <v>0</v>
      </c>
      <c r="N99" s="28" t="e">
        <f t="shared" si="9"/>
        <v>#DIV/0!</v>
      </c>
      <c r="O99" s="7"/>
      <c r="P99" s="7"/>
      <c r="Q99" s="7"/>
      <c r="R99" s="7"/>
      <c r="S99" s="3"/>
      <c r="T99" s="37">
        <f t="shared" si="6"/>
        <v>0</v>
      </c>
      <c r="U99" s="28" t="e">
        <f t="shared" si="10"/>
        <v>#DIV/0!</v>
      </c>
      <c r="V99" s="59">
        <f t="shared" si="11"/>
        <v>0</v>
      </c>
    </row>
    <row r="100" spans="1:22" ht="21.75" customHeight="1">
      <c r="A100" s="87">
        <v>31</v>
      </c>
      <c r="B100" s="7" t="s">
        <v>12</v>
      </c>
      <c r="C100" s="3"/>
      <c r="D100" s="3"/>
      <c r="E100" s="4">
        <f t="shared" si="7"/>
        <v>0</v>
      </c>
      <c r="F100" s="3"/>
      <c r="G100" s="3"/>
      <c r="H100" s="3"/>
      <c r="I100" s="3"/>
      <c r="J100" s="3"/>
      <c r="K100" s="3"/>
      <c r="L100" s="3"/>
      <c r="M100" s="5">
        <f t="shared" si="8"/>
        <v>0</v>
      </c>
      <c r="N100" s="28" t="e">
        <f t="shared" si="9"/>
        <v>#DIV/0!</v>
      </c>
      <c r="O100" s="7"/>
      <c r="P100" s="7"/>
      <c r="Q100" s="7"/>
      <c r="R100" s="7"/>
      <c r="S100" s="3"/>
      <c r="T100" s="37">
        <f t="shared" si="6"/>
        <v>0</v>
      </c>
      <c r="U100" s="28" t="e">
        <f t="shared" si="10"/>
        <v>#DIV/0!</v>
      </c>
      <c r="V100" s="59">
        <f t="shared" si="11"/>
        <v>0</v>
      </c>
    </row>
    <row r="101" spans="1:22" ht="21.75" customHeight="1">
      <c r="A101" s="87"/>
      <c r="B101" s="7" t="s">
        <v>13</v>
      </c>
      <c r="C101" s="3"/>
      <c r="D101" s="3"/>
      <c r="E101" s="4">
        <f t="shared" si="7"/>
        <v>0</v>
      </c>
      <c r="F101" s="3"/>
      <c r="G101" s="3"/>
      <c r="H101" s="3"/>
      <c r="I101" s="3"/>
      <c r="J101" s="3"/>
      <c r="K101" s="3"/>
      <c r="L101" s="3"/>
      <c r="M101" s="5">
        <f t="shared" si="8"/>
        <v>0</v>
      </c>
      <c r="N101" s="28" t="e">
        <f t="shared" si="9"/>
        <v>#DIV/0!</v>
      </c>
      <c r="O101" s="7"/>
      <c r="P101" s="7"/>
      <c r="Q101" s="7"/>
      <c r="R101" s="7"/>
      <c r="S101" s="3"/>
      <c r="T101" s="37">
        <f t="shared" si="6"/>
        <v>0</v>
      </c>
      <c r="U101" s="28" t="e">
        <f t="shared" si="10"/>
        <v>#DIV/0!</v>
      </c>
      <c r="V101" s="59">
        <f t="shared" si="11"/>
        <v>0</v>
      </c>
    </row>
    <row r="102" spans="1:22" ht="21.75" customHeight="1">
      <c r="A102" s="87"/>
      <c r="B102" s="7" t="s">
        <v>14</v>
      </c>
      <c r="C102" s="3"/>
      <c r="D102" s="3"/>
      <c r="E102" s="4">
        <f t="shared" si="7"/>
        <v>0</v>
      </c>
      <c r="F102" s="3"/>
      <c r="G102" s="3"/>
      <c r="H102" s="3"/>
      <c r="I102" s="3"/>
      <c r="J102" s="3"/>
      <c r="K102" s="3"/>
      <c r="L102" s="3"/>
      <c r="M102" s="5">
        <f t="shared" si="8"/>
        <v>0</v>
      </c>
      <c r="N102" s="28" t="e">
        <f t="shared" si="9"/>
        <v>#DIV/0!</v>
      </c>
      <c r="O102" s="7"/>
      <c r="P102" s="7"/>
      <c r="Q102" s="7"/>
      <c r="R102" s="7"/>
      <c r="S102" s="3"/>
      <c r="T102" s="37">
        <f t="shared" si="6"/>
        <v>0</v>
      </c>
      <c r="U102" s="28" t="e">
        <f t="shared" si="10"/>
        <v>#DIV/0!</v>
      </c>
      <c r="V102" s="59">
        <f t="shared" si="11"/>
        <v>0</v>
      </c>
    </row>
    <row r="103" spans="1:22" ht="21.75" customHeight="1">
      <c r="A103" s="87" t="s">
        <v>41</v>
      </c>
      <c r="B103" s="1" t="s">
        <v>12</v>
      </c>
      <c r="C103" s="37">
        <f>C10+C13+C16+C19+C22+C25+C28+C31+C34+C37+C40+C43+C46+C49+C52+C55+C58+C61+C64+C67+C70+C73+C76+C79+C82+C85+C88+C91+C94+C97+C100</f>
        <v>0</v>
      </c>
      <c r="D103" s="37">
        <f>D10+D13+D16+D19+D22+D25+D28+D31+D34+D37+D40+D43+D46+D49+D52+D55+D58+D61+D64+D67+D70+D73+D76+D79+D82+D85+D88+D91+D94+D97+D100</f>
        <v>0</v>
      </c>
      <c r="E103" s="4">
        <f>((($B$3*C103)+(12*D103))*$M$4)/7</f>
        <v>0</v>
      </c>
      <c r="F103" s="1">
        <f t="shared" ref="F103:L105" si="12">F10+F13+F16+F19+F22+F25+F28+F31+F34+F37+F40+F43+F46+F49+F52+F55+F58+F61+F64+F67+F70+F73+F76+F79+F82+F85+F88+F91+F94+F97+F100</f>
        <v>0</v>
      </c>
      <c r="G103" s="1">
        <f t="shared" si="12"/>
        <v>0</v>
      </c>
      <c r="H103" s="1">
        <f t="shared" si="12"/>
        <v>0</v>
      </c>
      <c r="I103" s="1">
        <f t="shared" si="12"/>
        <v>0</v>
      </c>
      <c r="J103" s="1">
        <f t="shared" si="12"/>
        <v>0</v>
      </c>
      <c r="K103" s="1">
        <f t="shared" si="12"/>
        <v>0</v>
      </c>
      <c r="L103" s="1">
        <f t="shared" si="12"/>
        <v>0</v>
      </c>
      <c r="M103" s="5">
        <f t="shared" si="8"/>
        <v>0</v>
      </c>
      <c r="N103" s="28" t="e">
        <f t="shared" si="9"/>
        <v>#DIV/0!</v>
      </c>
      <c r="O103" s="1">
        <f t="shared" ref="O103:S105" si="13">O10+O13+O16+O19+O22+O25+O28+O31+O34+O37+O40+O43+O46+O49+O52+O55+O58+O61+O64+O67+O70+O73+O76+O79+O82+O85+O88+O91+O94+O97+O100</f>
        <v>0</v>
      </c>
      <c r="P103" s="1">
        <f t="shared" si="13"/>
        <v>0</v>
      </c>
      <c r="Q103" s="1">
        <f t="shared" si="13"/>
        <v>0</v>
      </c>
      <c r="R103" s="1">
        <f t="shared" si="13"/>
        <v>0</v>
      </c>
      <c r="S103" s="1">
        <f t="shared" si="13"/>
        <v>0</v>
      </c>
      <c r="T103" s="37">
        <f t="shared" si="6"/>
        <v>0</v>
      </c>
      <c r="U103" s="28" t="e">
        <f t="shared" si="10"/>
        <v>#DIV/0!</v>
      </c>
      <c r="V103" s="59">
        <f t="shared" si="11"/>
        <v>0</v>
      </c>
    </row>
    <row r="104" spans="1:22" ht="21.75" customHeight="1">
      <c r="A104" s="87"/>
      <c r="B104" s="1" t="s">
        <v>13</v>
      </c>
      <c r="C104" s="37">
        <f t="shared" ref="C104:D105" si="14">C11+C14+C17+C20+C23+C26+C29+C32+C35+C38+C41+C44+C47+C50+C53+C56+C59+C62+C65+C68+C71+C74+C77+C80+C83+C86+C89+C92+C95+C98+C101</f>
        <v>0</v>
      </c>
      <c r="D104" s="37">
        <f t="shared" si="14"/>
        <v>0</v>
      </c>
      <c r="E104" s="4">
        <f t="shared" ref="E104:E105" si="15">((($B$3*C104)+(12*D104))*$M$4)/7</f>
        <v>0</v>
      </c>
      <c r="F104" s="1">
        <f t="shared" si="12"/>
        <v>0</v>
      </c>
      <c r="G104" s="1">
        <f t="shared" si="12"/>
        <v>0</v>
      </c>
      <c r="H104" s="1">
        <f t="shared" ref="H104" si="16">H11+H14+H17+H20+H23+H26+H29+H32+H35+H38+H41+H44+H47+H50+H53+H56+H59+H62+H65+H68+H71+H74+H77+H80+H83+H86+H89+H92+H95+H98+H101</f>
        <v>0</v>
      </c>
      <c r="I104" s="1">
        <f t="shared" si="12"/>
        <v>0</v>
      </c>
      <c r="J104" s="1">
        <f t="shared" si="12"/>
        <v>0</v>
      </c>
      <c r="K104" s="1">
        <f t="shared" ref="K104" si="17">K11+K14+K17+K20+K23+K26+K29+K32+K35+K38+K41+K44+K47+K50+K53+K56+K59+K62+K65+K68+K71+K74+K77+K80+K83+K86+K89+K92+K95+K98+K101</f>
        <v>0</v>
      </c>
      <c r="L104" s="1">
        <f t="shared" si="12"/>
        <v>0</v>
      </c>
      <c r="M104" s="5">
        <f t="shared" si="8"/>
        <v>0</v>
      </c>
      <c r="N104" s="28" t="e">
        <f t="shared" si="9"/>
        <v>#DIV/0!</v>
      </c>
      <c r="O104" s="1">
        <f t="shared" si="13"/>
        <v>0</v>
      </c>
      <c r="P104" s="1">
        <f t="shared" si="13"/>
        <v>0</v>
      </c>
      <c r="Q104" s="1">
        <f t="shared" si="13"/>
        <v>0</v>
      </c>
      <c r="R104" s="1">
        <f t="shared" si="13"/>
        <v>0</v>
      </c>
      <c r="S104" s="1">
        <f t="shared" si="13"/>
        <v>0</v>
      </c>
      <c r="T104" s="37">
        <f t="shared" si="6"/>
        <v>0</v>
      </c>
      <c r="U104" s="28" t="e">
        <f t="shared" si="10"/>
        <v>#DIV/0!</v>
      </c>
      <c r="V104" s="59">
        <f t="shared" si="11"/>
        <v>0</v>
      </c>
    </row>
    <row r="105" spans="1:22" ht="21.75" customHeight="1">
      <c r="A105" s="87"/>
      <c r="B105" s="1" t="s">
        <v>14</v>
      </c>
      <c r="C105" s="37">
        <f t="shared" si="14"/>
        <v>0</v>
      </c>
      <c r="D105" s="37">
        <f t="shared" si="14"/>
        <v>0</v>
      </c>
      <c r="E105" s="4">
        <f t="shared" si="15"/>
        <v>0</v>
      </c>
      <c r="F105" s="1">
        <f t="shared" si="12"/>
        <v>0</v>
      </c>
      <c r="G105" s="1">
        <f t="shared" si="12"/>
        <v>0</v>
      </c>
      <c r="H105" s="1">
        <f t="shared" ref="H105" si="18">H12+H15+H18+H21+H24+H27+H30+H33+H36+H39+H42+H45+H48+H51+H54+H57+H60+H63+H66+H69+H72+H75+H78+H81+H84+H87+H90+H93+H96+H99+H102</f>
        <v>0</v>
      </c>
      <c r="I105" s="1">
        <f t="shared" si="12"/>
        <v>0</v>
      </c>
      <c r="J105" s="1">
        <f t="shared" si="12"/>
        <v>0</v>
      </c>
      <c r="K105" s="1">
        <f t="shared" ref="K105" si="19">K12+K15+K18+K21+K24+K27+K30+K33+K36+K39+K42+K45+K48+K51+K54+K57+K60+K63+K66+K69+K72+K75+K78+K81+K84+K87+K90+K93+K96+K99+K102</f>
        <v>0</v>
      </c>
      <c r="L105" s="1">
        <f t="shared" si="12"/>
        <v>0</v>
      </c>
      <c r="M105" s="5">
        <f t="shared" si="8"/>
        <v>0</v>
      </c>
      <c r="N105" s="28" t="e">
        <f t="shared" si="9"/>
        <v>#DIV/0!</v>
      </c>
      <c r="O105" s="1">
        <f t="shared" si="13"/>
        <v>0</v>
      </c>
      <c r="P105" s="1">
        <f t="shared" si="13"/>
        <v>0</v>
      </c>
      <c r="Q105" s="1">
        <f t="shared" si="13"/>
        <v>0</v>
      </c>
      <c r="R105" s="1">
        <f t="shared" si="13"/>
        <v>0</v>
      </c>
      <c r="S105" s="1">
        <f t="shared" si="13"/>
        <v>0</v>
      </c>
      <c r="T105" s="37">
        <f t="shared" si="6"/>
        <v>0</v>
      </c>
      <c r="U105" s="28" t="e">
        <f t="shared" si="10"/>
        <v>#DIV/0!</v>
      </c>
      <c r="V105" s="59">
        <f t="shared" si="11"/>
        <v>0</v>
      </c>
    </row>
    <row r="106" spans="1:22" ht="21.75" customHeight="1">
      <c r="A106" s="7" t="s">
        <v>42</v>
      </c>
      <c r="B106" s="7"/>
      <c r="C106" s="42">
        <f>SUM(C103:C105)/3</f>
        <v>0</v>
      </c>
      <c r="D106" s="42">
        <f>SUM(D103:D105)/3</f>
        <v>0</v>
      </c>
      <c r="E106" s="25"/>
      <c r="F106" s="42">
        <f>SUM(F103:F105)</f>
        <v>0</v>
      </c>
      <c r="G106" s="42">
        <f t="shared" ref="G106:L106" si="20">SUM(G103:G105)</f>
        <v>0</v>
      </c>
      <c r="H106" s="42">
        <f t="shared" si="20"/>
        <v>0</v>
      </c>
      <c r="I106" s="42">
        <f t="shared" si="20"/>
        <v>0</v>
      </c>
      <c r="J106" s="42">
        <f t="shared" si="20"/>
        <v>0</v>
      </c>
      <c r="K106" s="42">
        <f t="shared" si="20"/>
        <v>0</v>
      </c>
      <c r="L106" s="42">
        <f t="shared" si="20"/>
        <v>0</v>
      </c>
      <c r="M106" s="5">
        <f t="shared" si="8"/>
        <v>0</v>
      </c>
      <c r="N106" s="25"/>
      <c r="O106" s="25">
        <f>SUM(O103:O105)/3</f>
        <v>0</v>
      </c>
      <c r="P106" s="25">
        <f>SUM(P103:P105)/3</f>
        <v>0</v>
      </c>
      <c r="Q106" s="25">
        <f t="shared" ref="Q106:S106" si="21">SUM(Q103:Q105)/3</f>
        <v>0</v>
      </c>
      <c r="R106" s="25">
        <f t="shared" si="21"/>
        <v>0</v>
      </c>
      <c r="S106" s="25">
        <f t="shared" si="21"/>
        <v>0</v>
      </c>
      <c r="T106" s="37">
        <f t="shared" si="6"/>
        <v>0</v>
      </c>
      <c r="U106" s="28" t="e">
        <f t="shared" si="10"/>
        <v>#DIV/0!</v>
      </c>
      <c r="V106" s="59">
        <f t="shared" si="11"/>
        <v>0</v>
      </c>
    </row>
  </sheetData>
  <mergeCells count="77">
    <mergeCell ref="O7:S7"/>
    <mergeCell ref="T7:T9"/>
    <mergeCell ref="O8:O9"/>
    <mergeCell ref="Q4:R4"/>
    <mergeCell ref="F5:L5"/>
    <mergeCell ref="O5:P5"/>
    <mergeCell ref="Q5:R5"/>
    <mergeCell ref="O6:Q6"/>
    <mergeCell ref="R6:S6"/>
    <mergeCell ref="P8:P9"/>
    <mergeCell ref="I4:L4"/>
    <mergeCell ref="E4:H4"/>
    <mergeCell ref="F6:H6"/>
    <mergeCell ref="A1:N1"/>
    <mergeCell ref="A2:N2"/>
    <mergeCell ref="M3:N3"/>
    <mergeCell ref="O3:P3"/>
    <mergeCell ref="Q3:R3"/>
    <mergeCell ref="I3:L3"/>
    <mergeCell ref="E3:H3"/>
    <mergeCell ref="C5:D5"/>
    <mergeCell ref="C6:D6"/>
    <mergeCell ref="N7:N9"/>
    <mergeCell ref="E7:E9"/>
    <mergeCell ref="I6:K6"/>
    <mergeCell ref="F7:K7"/>
    <mergeCell ref="F8:H8"/>
    <mergeCell ref="I8:K8"/>
    <mergeCell ref="A97:A99"/>
    <mergeCell ref="A100:A102"/>
    <mergeCell ref="A103:A105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91:A93"/>
    <mergeCell ref="A94:A96"/>
    <mergeCell ref="A49:A51"/>
    <mergeCell ref="A52:A54"/>
    <mergeCell ref="A55:A57"/>
    <mergeCell ref="A58:A60"/>
    <mergeCell ref="A61:A63"/>
    <mergeCell ref="A37:A39"/>
    <mergeCell ref="A40:A42"/>
    <mergeCell ref="A43:A45"/>
    <mergeCell ref="A46:A48"/>
    <mergeCell ref="A7:A9"/>
    <mergeCell ref="A10:A12"/>
    <mergeCell ref="A28:A30"/>
    <mergeCell ref="A31:A33"/>
    <mergeCell ref="A34:A36"/>
    <mergeCell ref="A13:A15"/>
    <mergeCell ref="A16:A18"/>
    <mergeCell ref="A19:A21"/>
    <mergeCell ref="A22:A24"/>
    <mergeCell ref="A25:A27"/>
    <mergeCell ref="U7:U9"/>
    <mergeCell ref="L7:L9"/>
    <mergeCell ref="M7:M9"/>
    <mergeCell ref="A3:A4"/>
    <mergeCell ref="B3:B4"/>
    <mergeCell ref="C3:C4"/>
    <mergeCell ref="Q8:Q9"/>
    <mergeCell ref="R8:R9"/>
    <mergeCell ref="S8:S9"/>
    <mergeCell ref="M4:N4"/>
    <mergeCell ref="O4:P4"/>
    <mergeCell ref="B7:B9"/>
    <mergeCell ref="C7:C9"/>
    <mergeCell ref="D7:D9"/>
    <mergeCell ref="A5:B5"/>
    <mergeCell ref="A6:B6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6"/>
  <sheetViews>
    <sheetView zoomScale="85" zoomScaleNormal="85" workbookViewId="0">
      <pane xSplit="2" ySplit="9" topLeftCell="C95" activePane="bottomRight" state="frozen"/>
      <selection pane="topRight" activeCell="C1" sqref="C1"/>
      <selection pane="bottomLeft" activeCell="A10" sqref="A10"/>
      <selection pane="bottomRight" activeCell="M10" sqref="M10:M106"/>
    </sheetView>
  </sheetViews>
  <sheetFormatPr defaultColWidth="9" defaultRowHeight="21.75" customHeight="1"/>
  <cols>
    <col min="1" max="1" width="10.33203125" style="2" customWidth="1"/>
    <col min="2" max="2" width="4.109375" style="2" customWidth="1"/>
    <col min="3" max="3" width="8.44140625" style="2" customWidth="1"/>
    <col min="4" max="4" width="8.33203125" style="2" customWidth="1"/>
    <col min="5" max="5" width="6.6640625" style="2" customWidth="1"/>
    <col min="6" max="6" width="7.77734375" style="2" customWidth="1"/>
    <col min="7" max="8" width="6" style="2" customWidth="1"/>
    <col min="9" max="9" width="5.33203125" style="2" bestFit="1" customWidth="1"/>
    <col min="10" max="11" width="6.33203125" style="2" customWidth="1"/>
    <col min="12" max="12" width="6" style="2" customWidth="1"/>
    <col min="13" max="13" width="6.88671875" style="2" bestFit="1" customWidth="1"/>
    <col min="14" max="14" width="10.33203125" style="2" customWidth="1"/>
    <col min="15" max="15" width="5.33203125" style="2" bestFit="1" customWidth="1"/>
    <col min="16" max="17" width="6.33203125" style="2" bestFit="1" customWidth="1"/>
    <col min="18" max="18" width="5" style="2" customWidth="1"/>
    <col min="19" max="19" width="7.109375" style="2" customWidth="1"/>
    <col min="20" max="20" width="7.77734375" style="2" customWidth="1"/>
    <col min="21" max="21" width="6.77734375" style="2" customWidth="1"/>
    <col min="22" max="22" width="4.109375" style="2" bestFit="1" customWidth="1"/>
    <col min="23" max="16384" width="9" style="2"/>
  </cols>
  <sheetData>
    <row r="1" spans="1:22" ht="21.75" customHeight="1">
      <c r="A1" s="90" t="s">
        <v>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</row>
    <row r="2" spans="1:22" ht="21.75" customHeight="1">
      <c r="A2" s="90" t="s">
        <v>65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</row>
    <row r="3" spans="1:22" ht="21.75" customHeight="1">
      <c r="A3" s="91" t="s">
        <v>10</v>
      </c>
      <c r="B3" s="92">
        <v>4.5</v>
      </c>
      <c r="C3" s="93" t="s">
        <v>11</v>
      </c>
      <c r="D3" s="38"/>
      <c r="E3" s="116" t="s">
        <v>12</v>
      </c>
      <c r="F3" s="95"/>
      <c r="G3" s="95"/>
      <c r="H3" s="96"/>
      <c r="I3" s="93" t="s">
        <v>13</v>
      </c>
      <c r="J3" s="93"/>
      <c r="K3" s="93"/>
      <c r="L3" s="93"/>
      <c r="M3" s="95" t="s">
        <v>14</v>
      </c>
      <c r="N3" s="96"/>
      <c r="O3" s="113" t="s">
        <v>15</v>
      </c>
      <c r="P3" s="113"/>
      <c r="Q3" s="115">
        <f>((F103+F105)*240)+((G103+G105)*180)</f>
        <v>0</v>
      </c>
      <c r="R3" s="115"/>
      <c r="S3" s="7" t="s">
        <v>16</v>
      </c>
    </row>
    <row r="4" spans="1:22" ht="21.75" customHeight="1">
      <c r="A4" s="91"/>
      <c r="B4" s="92"/>
      <c r="C4" s="93"/>
      <c r="D4" s="38"/>
      <c r="E4" s="114">
        <v>0.25</v>
      </c>
      <c r="F4" s="97"/>
      <c r="G4" s="97"/>
      <c r="H4" s="98"/>
      <c r="I4" s="94">
        <v>0.4</v>
      </c>
      <c r="J4" s="94"/>
      <c r="K4" s="94"/>
      <c r="L4" s="94"/>
      <c r="M4" s="97">
        <v>0.35</v>
      </c>
      <c r="N4" s="98"/>
      <c r="O4" s="113" t="s">
        <v>17</v>
      </c>
      <c r="P4" s="113"/>
      <c r="Q4" s="115">
        <f>((I103+L103+I104+L104+I105+L105)*660)+((J103+J105+J104)*530)</f>
        <v>0</v>
      </c>
      <c r="R4" s="115"/>
      <c r="S4" s="7" t="s">
        <v>16</v>
      </c>
    </row>
    <row r="5" spans="1:22" ht="21.75" customHeight="1">
      <c r="A5" s="99" t="s">
        <v>18</v>
      </c>
      <c r="B5" s="99"/>
      <c r="C5" s="103">
        <v>0</v>
      </c>
      <c r="D5" s="104"/>
      <c r="E5" s="35" t="s">
        <v>19</v>
      </c>
      <c r="F5" s="114" t="s">
        <v>20</v>
      </c>
      <c r="G5" s="97"/>
      <c r="H5" s="97"/>
      <c r="I5" s="97"/>
      <c r="J5" s="97"/>
      <c r="K5" s="97"/>
      <c r="L5" s="97"/>
      <c r="M5" s="6">
        <v>0</v>
      </c>
      <c r="N5" s="34" t="s">
        <v>21</v>
      </c>
      <c r="O5" s="113"/>
      <c r="P5" s="113"/>
      <c r="Q5" s="115"/>
      <c r="R5" s="115"/>
      <c r="S5" s="7"/>
    </row>
    <row r="6" spans="1:22" ht="21.75" customHeight="1">
      <c r="A6" s="99" t="s">
        <v>23</v>
      </c>
      <c r="B6" s="99"/>
      <c r="C6" s="105" t="e">
        <f>((C106*12)/(M5*7)+((D106*12)/(M5*7)))</f>
        <v>#DIV/0!</v>
      </c>
      <c r="D6" s="106"/>
      <c r="E6" s="35" t="s">
        <v>19</v>
      </c>
      <c r="F6" s="80" t="s">
        <v>24</v>
      </c>
      <c r="G6" s="81"/>
      <c r="H6" s="82"/>
      <c r="I6" s="130" t="e">
        <f>C5-C6</f>
        <v>#DIV/0!</v>
      </c>
      <c r="J6" s="130"/>
      <c r="K6" s="130"/>
      <c r="L6" s="39" t="s">
        <v>19</v>
      </c>
      <c r="M6" s="36" t="s">
        <v>25</v>
      </c>
      <c r="N6" s="27" t="e">
        <f>((((C106*4.5)+(D106*12))/((F106+G106+H106+I106+J106+K106+L106)*7)))*100</f>
        <v>#DIV/0!</v>
      </c>
      <c r="O6" s="71" t="s">
        <v>26</v>
      </c>
      <c r="P6" s="71"/>
      <c r="Q6" s="71"/>
      <c r="R6" s="72" t="e">
        <f>U106</f>
        <v>#DIV/0!</v>
      </c>
      <c r="S6" s="73"/>
    </row>
    <row r="7" spans="1:22" ht="21.75" customHeight="1">
      <c r="A7" s="65" t="s">
        <v>27</v>
      </c>
      <c r="B7" s="65" t="s">
        <v>28</v>
      </c>
      <c r="C7" s="100" t="s">
        <v>77</v>
      </c>
      <c r="D7" s="100" t="s">
        <v>78</v>
      </c>
      <c r="E7" s="65" t="s">
        <v>30</v>
      </c>
      <c r="F7" s="74" t="s">
        <v>31</v>
      </c>
      <c r="G7" s="75"/>
      <c r="H7" s="75"/>
      <c r="I7" s="127"/>
      <c r="J7" s="128"/>
      <c r="K7" s="56"/>
      <c r="L7" s="65" t="s">
        <v>32</v>
      </c>
      <c r="M7" s="65" t="s">
        <v>33</v>
      </c>
      <c r="N7" s="68" t="s">
        <v>25</v>
      </c>
      <c r="O7" s="87" t="s">
        <v>34</v>
      </c>
      <c r="P7" s="87"/>
      <c r="Q7" s="87"/>
      <c r="R7" s="87"/>
      <c r="S7" s="87"/>
      <c r="T7" s="83" t="s">
        <v>35</v>
      </c>
      <c r="U7" s="85" t="s">
        <v>26</v>
      </c>
    </row>
    <row r="8" spans="1:22" ht="21.75" customHeight="1">
      <c r="A8" s="66"/>
      <c r="B8" s="66"/>
      <c r="C8" s="101"/>
      <c r="D8" s="101"/>
      <c r="E8" s="66"/>
      <c r="F8" s="120" t="s">
        <v>37</v>
      </c>
      <c r="G8" s="121"/>
      <c r="H8" s="122"/>
      <c r="I8" s="123" t="s">
        <v>38</v>
      </c>
      <c r="J8" s="123"/>
      <c r="K8" s="123"/>
      <c r="L8" s="66"/>
      <c r="M8" s="66"/>
      <c r="N8" s="69"/>
      <c r="O8" s="88">
        <v>1</v>
      </c>
      <c r="P8" s="88">
        <v>2</v>
      </c>
      <c r="Q8" s="88">
        <v>3</v>
      </c>
      <c r="R8" s="88">
        <v>4</v>
      </c>
      <c r="S8" s="88">
        <v>5</v>
      </c>
      <c r="T8" s="83"/>
      <c r="U8" s="85"/>
    </row>
    <row r="9" spans="1:22" ht="21.75" customHeight="1">
      <c r="A9" s="67"/>
      <c r="B9" s="67"/>
      <c r="C9" s="102"/>
      <c r="D9" s="102"/>
      <c r="E9" s="67"/>
      <c r="F9" s="24" t="s">
        <v>39</v>
      </c>
      <c r="G9" s="24" t="s">
        <v>40</v>
      </c>
      <c r="H9" s="24" t="s">
        <v>76</v>
      </c>
      <c r="I9" s="57" t="s">
        <v>39</v>
      </c>
      <c r="J9" s="57" t="s">
        <v>40</v>
      </c>
      <c r="K9" s="57" t="s">
        <v>76</v>
      </c>
      <c r="L9" s="67"/>
      <c r="M9" s="67"/>
      <c r="N9" s="70"/>
      <c r="O9" s="89"/>
      <c r="P9" s="89"/>
      <c r="Q9" s="89"/>
      <c r="R9" s="89"/>
      <c r="S9" s="89"/>
      <c r="T9" s="84"/>
      <c r="U9" s="86"/>
    </row>
    <row r="10" spans="1:22" ht="21.75" customHeight="1">
      <c r="A10" s="87">
        <v>1</v>
      </c>
      <c r="B10" s="7" t="s">
        <v>12</v>
      </c>
      <c r="C10" s="3"/>
      <c r="D10" s="3"/>
      <c r="E10" s="4">
        <f>((($B$3*C10)+(12*D10))*$E$4)/7</f>
        <v>0</v>
      </c>
      <c r="F10" s="3"/>
      <c r="G10" s="3"/>
      <c r="H10" s="3"/>
      <c r="I10" s="3"/>
      <c r="J10" s="3"/>
      <c r="K10" s="3"/>
      <c r="L10" s="3"/>
      <c r="M10" s="5">
        <f>(F10+G10+H10+L10)-E10</f>
        <v>0</v>
      </c>
      <c r="N10" s="28" t="e">
        <f>(((C10*4.5)+(12*D10))*$E$4)/((F10+G10+H10+I10+J10+K10+L10)*7)*100</f>
        <v>#DIV/0!</v>
      </c>
      <c r="O10" s="7"/>
      <c r="P10" s="7"/>
      <c r="Q10" s="7"/>
      <c r="R10" s="7"/>
      <c r="S10" s="3"/>
      <c r="T10" s="37">
        <f t="shared" ref="T10:T73" si="0">SUM(O10:S10)</f>
        <v>0</v>
      </c>
      <c r="U10" s="28" t="e">
        <f>((((O10*1.5+(P10*3.5)+(Q10*5.5)+(R10*7.5)+(S10*12)))/3)/((F10+G10+H10+I10+J10+K10+L10)*7))*100</f>
        <v>#DIV/0!</v>
      </c>
      <c r="V10" s="59">
        <f>C10+D10-T10</f>
        <v>0</v>
      </c>
    </row>
    <row r="11" spans="1:22" ht="21.75" customHeight="1">
      <c r="A11" s="87"/>
      <c r="B11" s="7" t="s">
        <v>13</v>
      </c>
      <c r="C11" s="3"/>
      <c r="D11" s="3"/>
      <c r="E11" s="4">
        <f t="shared" ref="E11:E74" si="1">((($B$3*C11)+(12*D11))*$E$4)/7</f>
        <v>0</v>
      </c>
      <c r="F11" s="3"/>
      <c r="G11" s="3"/>
      <c r="H11" s="3"/>
      <c r="I11" s="3"/>
      <c r="J11" s="3"/>
      <c r="K11" s="3"/>
      <c r="L11" s="3"/>
      <c r="M11" s="5">
        <f t="shared" ref="M11:M74" si="2">(F11+G11+H11+L11)-E11</f>
        <v>0</v>
      </c>
      <c r="N11" s="28" t="e">
        <f t="shared" ref="N11:N74" si="3">(((C11*4.5)+(12*D11))*$E$4)/((F11+G11+H11+I11+J11+K11+L11)*7)*100</f>
        <v>#DIV/0!</v>
      </c>
      <c r="O11" s="7"/>
      <c r="P11" s="7"/>
      <c r="Q11" s="7"/>
      <c r="R11" s="7"/>
      <c r="S11" s="3"/>
      <c r="T11" s="37">
        <f t="shared" si="0"/>
        <v>0</v>
      </c>
      <c r="U11" s="28" t="e">
        <f t="shared" ref="U11:U74" si="4">((((O11*1.5+(P11*3.5)+(Q11*5.5)+(R11*7.5)+(S11*12)))/3)/((F11+G11+H11+I11+J11+K11+L11)*7))*100</f>
        <v>#DIV/0!</v>
      </c>
      <c r="V11" s="59">
        <f t="shared" ref="V11:V74" si="5">C11+D11-T11</f>
        <v>0</v>
      </c>
    </row>
    <row r="12" spans="1:22" ht="21.75" customHeight="1">
      <c r="A12" s="87"/>
      <c r="B12" s="7" t="s">
        <v>14</v>
      </c>
      <c r="C12" s="3"/>
      <c r="D12" s="3"/>
      <c r="E12" s="4">
        <f t="shared" si="1"/>
        <v>0</v>
      </c>
      <c r="F12" s="3"/>
      <c r="G12" s="3"/>
      <c r="H12" s="3"/>
      <c r="I12" s="3"/>
      <c r="J12" s="3"/>
      <c r="K12" s="3"/>
      <c r="L12" s="3"/>
      <c r="M12" s="5">
        <f t="shared" si="2"/>
        <v>0</v>
      </c>
      <c r="N12" s="28" t="e">
        <f t="shared" si="3"/>
        <v>#DIV/0!</v>
      </c>
      <c r="O12" s="7"/>
      <c r="P12" s="7"/>
      <c r="Q12" s="7"/>
      <c r="R12" s="7"/>
      <c r="S12" s="3"/>
      <c r="T12" s="37">
        <f t="shared" si="0"/>
        <v>0</v>
      </c>
      <c r="U12" s="28" t="e">
        <f t="shared" si="4"/>
        <v>#DIV/0!</v>
      </c>
      <c r="V12" s="59">
        <f t="shared" si="5"/>
        <v>0</v>
      </c>
    </row>
    <row r="13" spans="1:22" ht="21.75" customHeight="1">
      <c r="A13" s="87">
        <v>2</v>
      </c>
      <c r="B13" s="7" t="s">
        <v>12</v>
      </c>
      <c r="C13" s="3"/>
      <c r="D13" s="3"/>
      <c r="E13" s="4">
        <f t="shared" si="1"/>
        <v>0</v>
      </c>
      <c r="F13" s="3"/>
      <c r="G13" s="3"/>
      <c r="H13" s="3"/>
      <c r="I13" s="3"/>
      <c r="J13" s="3"/>
      <c r="K13" s="3"/>
      <c r="L13" s="3"/>
      <c r="M13" s="5">
        <f t="shared" si="2"/>
        <v>0</v>
      </c>
      <c r="N13" s="28" t="e">
        <f t="shared" si="3"/>
        <v>#DIV/0!</v>
      </c>
      <c r="O13" s="7"/>
      <c r="P13" s="7"/>
      <c r="Q13" s="7"/>
      <c r="R13" s="7"/>
      <c r="S13" s="3"/>
      <c r="T13" s="37">
        <f t="shared" si="0"/>
        <v>0</v>
      </c>
      <c r="U13" s="28" t="e">
        <f t="shared" si="4"/>
        <v>#DIV/0!</v>
      </c>
      <c r="V13" s="59">
        <f t="shared" si="5"/>
        <v>0</v>
      </c>
    </row>
    <row r="14" spans="1:22" ht="21.75" customHeight="1">
      <c r="A14" s="87"/>
      <c r="B14" s="7" t="s">
        <v>13</v>
      </c>
      <c r="C14" s="3"/>
      <c r="D14" s="3"/>
      <c r="E14" s="4">
        <f t="shared" si="1"/>
        <v>0</v>
      </c>
      <c r="F14" s="3"/>
      <c r="G14" s="3"/>
      <c r="H14" s="3"/>
      <c r="I14" s="3"/>
      <c r="J14" s="3"/>
      <c r="K14" s="3"/>
      <c r="L14" s="3"/>
      <c r="M14" s="5">
        <f t="shared" si="2"/>
        <v>0</v>
      </c>
      <c r="N14" s="28" t="e">
        <f t="shared" si="3"/>
        <v>#DIV/0!</v>
      </c>
      <c r="O14" s="7"/>
      <c r="P14" s="7"/>
      <c r="Q14" s="7"/>
      <c r="R14" s="7"/>
      <c r="S14" s="3"/>
      <c r="T14" s="37">
        <f t="shared" si="0"/>
        <v>0</v>
      </c>
      <c r="U14" s="28" t="e">
        <f t="shared" si="4"/>
        <v>#DIV/0!</v>
      </c>
      <c r="V14" s="59">
        <f t="shared" si="5"/>
        <v>0</v>
      </c>
    </row>
    <row r="15" spans="1:22" ht="21.75" customHeight="1">
      <c r="A15" s="87"/>
      <c r="B15" s="7" t="s">
        <v>14</v>
      </c>
      <c r="C15" s="3"/>
      <c r="D15" s="3"/>
      <c r="E15" s="4">
        <f t="shared" si="1"/>
        <v>0</v>
      </c>
      <c r="F15" s="3"/>
      <c r="G15" s="3"/>
      <c r="H15" s="3"/>
      <c r="I15" s="3"/>
      <c r="J15" s="3"/>
      <c r="K15" s="3"/>
      <c r="L15" s="3"/>
      <c r="M15" s="5">
        <f t="shared" si="2"/>
        <v>0</v>
      </c>
      <c r="N15" s="28" t="e">
        <f t="shared" si="3"/>
        <v>#DIV/0!</v>
      </c>
      <c r="O15" s="7"/>
      <c r="P15" s="7"/>
      <c r="Q15" s="7"/>
      <c r="R15" s="7"/>
      <c r="S15" s="3"/>
      <c r="T15" s="37">
        <f t="shared" si="0"/>
        <v>0</v>
      </c>
      <c r="U15" s="28" t="e">
        <f t="shared" si="4"/>
        <v>#DIV/0!</v>
      </c>
      <c r="V15" s="59">
        <f t="shared" si="5"/>
        <v>0</v>
      </c>
    </row>
    <row r="16" spans="1:22" ht="21.75" customHeight="1">
      <c r="A16" s="87">
        <v>3</v>
      </c>
      <c r="B16" s="7" t="s">
        <v>12</v>
      </c>
      <c r="C16" s="3"/>
      <c r="D16" s="3"/>
      <c r="E16" s="4">
        <f t="shared" si="1"/>
        <v>0</v>
      </c>
      <c r="F16" s="3"/>
      <c r="G16" s="3"/>
      <c r="H16" s="3"/>
      <c r="I16" s="3"/>
      <c r="J16" s="3"/>
      <c r="K16" s="3"/>
      <c r="L16" s="3"/>
      <c r="M16" s="5">
        <f t="shared" si="2"/>
        <v>0</v>
      </c>
      <c r="N16" s="28" t="e">
        <f t="shared" si="3"/>
        <v>#DIV/0!</v>
      </c>
      <c r="O16" s="7"/>
      <c r="P16" s="7"/>
      <c r="Q16" s="7"/>
      <c r="R16" s="7"/>
      <c r="S16" s="3"/>
      <c r="T16" s="37">
        <f t="shared" si="0"/>
        <v>0</v>
      </c>
      <c r="U16" s="28" t="e">
        <f t="shared" si="4"/>
        <v>#DIV/0!</v>
      </c>
      <c r="V16" s="59">
        <f t="shared" si="5"/>
        <v>0</v>
      </c>
    </row>
    <row r="17" spans="1:22" ht="21.75" customHeight="1">
      <c r="A17" s="87"/>
      <c r="B17" s="7" t="s">
        <v>13</v>
      </c>
      <c r="C17" s="3"/>
      <c r="D17" s="3"/>
      <c r="E17" s="4">
        <f t="shared" si="1"/>
        <v>0</v>
      </c>
      <c r="F17" s="3"/>
      <c r="G17" s="3"/>
      <c r="H17" s="3"/>
      <c r="I17" s="3"/>
      <c r="J17" s="3"/>
      <c r="K17" s="3"/>
      <c r="L17" s="3"/>
      <c r="M17" s="5">
        <f t="shared" si="2"/>
        <v>0</v>
      </c>
      <c r="N17" s="28" t="e">
        <f t="shared" si="3"/>
        <v>#DIV/0!</v>
      </c>
      <c r="O17" s="7"/>
      <c r="P17" s="7"/>
      <c r="Q17" s="7"/>
      <c r="R17" s="7"/>
      <c r="S17" s="3"/>
      <c r="T17" s="37">
        <f t="shared" si="0"/>
        <v>0</v>
      </c>
      <c r="U17" s="28" t="e">
        <f t="shared" si="4"/>
        <v>#DIV/0!</v>
      </c>
      <c r="V17" s="59">
        <f t="shared" si="5"/>
        <v>0</v>
      </c>
    </row>
    <row r="18" spans="1:22" ht="21.75" customHeight="1">
      <c r="A18" s="87"/>
      <c r="B18" s="7" t="s">
        <v>14</v>
      </c>
      <c r="C18" s="3"/>
      <c r="D18" s="3"/>
      <c r="E18" s="4">
        <f t="shared" si="1"/>
        <v>0</v>
      </c>
      <c r="F18" s="3"/>
      <c r="G18" s="3"/>
      <c r="H18" s="3"/>
      <c r="I18" s="3"/>
      <c r="J18" s="3"/>
      <c r="K18" s="3"/>
      <c r="L18" s="3"/>
      <c r="M18" s="5">
        <f t="shared" si="2"/>
        <v>0</v>
      </c>
      <c r="N18" s="28" t="e">
        <f t="shared" si="3"/>
        <v>#DIV/0!</v>
      </c>
      <c r="O18" s="7"/>
      <c r="P18" s="7"/>
      <c r="Q18" s="7"/>
      <c r="R18" s="7"/>
      <c r="S18" s="3"/>
      <c r="T18" s="37">
        <f t="shared" si="0"/>
        <v>0</v>
      </c>
      <c r="U18" s="28" t="e">
        <f t="shared" si="4"/>
        <v>#DIV/0!</v>
      </c>
      <c r="V18" s="59">
        <f t="shared" si="5"/>
        <v>0</v>
      </c>
    </row>
    <row r="19" spans="1:22" ht="21.75" customHeight="1">
      <c r="A19" s="87">
        <v>4</v>
      </c>
      <c r="B19" s="7" t="s">
        <v>12</v>
      </c>
      <c r="C19" s="3"/>
      <c r="D19" s="3"/>
      <c r="E19" s="4">
        <f t="shared" si="1"/>
        <v>0</v>
      </c>
      <c r="F19" s="3"/>
      <c r="G19" s="3"/>
      <c r="H19" s="3"/>
      <c r="I19" s="3"/>
      <c r="J19" s="3"/>
      <c r="K19" s="3"/>
      <c r="L19" s="3"/>
      <c r="M19" s="5">
        <f t="shared" si="2"/>
        <v>0</v>
      </c>
      <c r="N19" s="28" t="e">
        <f t="shared" si="3"/>
        <v>#DIV/0!</v>
      </c>
      <c r="O19" s="7"/>
      <c r="P19" s="7"/>
      <c r="Q19" s="7"/>
      <c r="R19" s="7"/>
      <c r="S19" s="3"/>
      <c r="T19" s="37">
        <f t="shared" si="0"/>
        <v>0</v>
      </c>
      <c r="U19" s="28" t="e">
        <f t="shared" si="4"/>
        <v>#DIV/0!</v>
      </c>
      <c r="V19" s="59">
        <f t="shared" si="5"/>
        <v>0</v>
      </c>
    </row>
    <row r="20" spans="1:22" ht="21.75" customHeight="1">
      <c r="A20" s="87"/>
      <c r="B20" s="7" t="s">
        <v>13</v>
      </c>
      <c r="C20" s="3"/>
      <c r="D20" s="3"/>
      <c r="E20" s="4">
        <f t="shared" si="1"/>
        <v>0</v>
      </c>
      <c r="F20" s="3"/>
      <c r="G20" s="3"/>
      <c r="H20" s="3"/>
      <c r="I20" s="3"/>
      <c r="J20" s="3"/>
      <c r="K20" s="3"/>
      <c r="L20" s="3"/>
      <c r="M20" s="5">
        <f t="shared" si="2"/>
        <v>0</v>
      </c>
      <c r="N20" s="28" t="e">
        <f t="shared" si="3"/>
        <v>#DIV/0!</v>
      </c>
      <c r="O20" s="7"/>
      <c r="P20" s="7"/>
      <c r="Q20" s="7"/>
      <c r="R20" s="7"/>
      <c r="S20" s="3"/>
      <c r="T20" s="37">
        <f t="shared" si="0"/>
        <v>0</v>
      </c>
      <c r="U20" s="28" t="e">
        <f t="shared" si="4"/>
        <v>#DIV/0!</v>
      </c>
      <c r="V20" s="59">
        <f t="shared" si="5"/>
        <v>0</v>
      </c>
    </row>
    <row r="21" spans="1:22" ht="21.75" customHeight="1">
      <c r="A21" s="87"/>
      <c r="B21" s="7" t="s">
        <v>14</v>
      </c>
      <c r="C21" s="3"/>
      <c r="D21" s="3"/>
      <c r="E21" s="4">
        <f t="shared" si="1"/>
        <v>0</v>
      </c>
      <c r="F21" s="3"/>
      <c r="G21" s="3"/>
      <c r="H21" s="3"/>
      <c r="I21" s="3"/>
      <c r="J21" s="3"/>
      <c r="K21" s="3"/>
      <c r="L21" s="3"/>
      <c r="M21" s="5">
        <f t="shared" si="2"/>
        <v>0</v>
      </c>
      <c r="N21" s="28" t="e">
        <f t="shared" si="3"/>
        <v>#DIV/0!</v>
      </c>
      <c r="O21" s="7"/>
      <c r="P21" s="7"/>
      <c r="Q21" s="7"/>
      <c r="R21" s="7"/>
      <c r="S21" s="3"/>
      <c r="T21" s="37">
        <f t="shared" si="0"/>
        <v>0</v>
      </c>
      <c r="U21" s="28" t="e">
        <f t="shared" si="4"/>
        <v>#DIV/0!</v>
      </c>
      <c r="V21" s="59">
        <f t="shared" si="5"/>
        <v>0</v>
      </c>
    </row>
    <row r="22" spans="1:22" ht="21.75" customHeight="1">
      <c r="A22" s="87">
        <v>5</v>
      </c>
      <c r="B22" s="7" t="s">
        <v>12</v>
      </c>
      <c r="C22" s="3"/>
      <c r="D22" s="3"/>
      <c r="E22" s="4">
        <f t="shared" si="1"/>
        <v>0</v>
      </c>
      <c r="F22" s="3"/>
      <c r="G22" s="3"/>
      <c r="H22" s="3"/>
      <c r="I22" s="3"/>
      <c r="J22" s="3"/>
      <c r="K22" s="3"/>
      <c r="L22" s="3"/>
      <c r="M22" s="5">
        <f t="shared" si="2"/>
        <v>0</v>
      </c>
      <c r="N22" s="28" t="e">
        <f t="shared" si="3"/>
        <v>#DIV/0!</v>
      </c>
      <c r="O22" s="7"/>
      <c r="P22" s="7"/>
      <c r="Q22" s="7"/>
      <c r="R22" s="7"/>
      <c r="S22" s="3"/>
      <c r="T22" s="37">
        <f t="shared" si="0"/>
        <v>0</v>
      </c>
      <c r="U22" s="28" t="e">
        <f t="shared" si="4"/>
        <v>#DIV/0!</v>
      </c>
      <c r="V22" s="59">
        <f t="shared" si="5"/>
        <v>0</v>
      </c>
    </row>
    <row r="23" spans="1:22" ht="21.75" customHeight="1">
      <c r="A23" s="87"/>
      <c r="B23" s="7" t="s">
        <v>13</v>
      </c>
      <c r="C23" s="3"/>
      <c r="D23" s="3"/>
      <c r="E23" s="4">
        <f t="shared" si="1"/>
        <v>0</v>
      </c>
      <c r="F23" s="3"/>
      <c r="G23" s="3"/>
      <c r="H23" s="3"/>
      <c r="I23" s="3"/>
      <c r="J23" s="3"/>
      <c r="K23" s="3"/>
      <c r="L23" s="3"/>
      <c r="M23" s="5">
        <f t="shared" si="2"/>
        <v>0</v>
      </c>
      <c r="N23" s="28" t="e">
        <f t="shared" si="3"/>
        <v>#DIV/0!</v>
      </c>
      <c r="O23" s="7"/>
      <c r="P23" s="7"/>
      <c r="Q23" s="7"/>
      <c r="R23" s="7"/>
      <c r="S23" s="3"/>
      <c r="T23" s="37">
        <f t="shared" si="0"/>
        <v>0</v>
      </c>
      <c r="U23" s="28" t="e">
        <f t="shared" si="4"/>
        <v>#DIV/0!</v>
      </c>
      <c r="V23" s="59">
        <f t="shared" si="5"/>
        <v>0</v>
      </c>
    </row>
    <row r="24" spans="1:22" ht="21.75" customHeight="1">
      <c r="A24" s="87"/>
      <c r="B24" s="7" t="s">
        <v>14</v>
      </c>
      <c r="C24" s="3"/>
      <c r="D24" s="3"/>
      <c r="E24" s="4">
        <f t="shared" si="1"/>
        <v>0</v>
      </c>
      <c r="F24" s="3"/>
      <c r="G24" s="3"/>
      <c r="H24" s="3"/>
      <c r="I24" s="3"/>
      <c r="J24" s="3"/>
      <c r="K24" s="3"/>
      <c r="L24" s="3"/>
      <c r="M24" s="5">
        <f t="shared" si="2"/>
        <v>0</v>
      </c>
      <c r="N24" s="28" t="e">
        <f t="shared" si="3"/>
        <v>#DIV/0!</v>
      </c>
      <c r="O24" s="7"/>
      <c r="P24" s="7"/>
      <c r="Q24" s="7"/>
      <c r="R24" s="7"/>
      <c r="S24" s="3"/>
      <c r="T24" s="37">
        <f t="shared" si="0"/>
        <v>0</v>
      </c>
      <c r="U24" s="28" t="e">
        <f t="shared" si="4"/>
        <v>#DIV/0!</v>
      </c>
      <c r="V24" s="59">
        <f t="shared" si="5"/>
        <v>0</v>
      </c>
    </row>
    <row r="25" spans="1:22" ht="21.75" customHeight="1">
      <c r="A25" s="87">
        <v>6</v>
      </c>
      <c r="B25" s="7" t="s">
        <v>12</v>
      </c>
      <c r="C25" s="3"/>
      <c r="D25" s="3"/>
      <c r="E25" s="4">
        <f t="shared" si="1"/>
        <v>0</v>
      </c>
      <c r="F25" s="3"/>
      <c r="G25" s="3"/>
      <c r="H25" s="3"/>
      <c r="I25" s="3"/>
      <c r="J25" s="3"/>
      <c r="K25" s="3"/>
      <c r="L25" s="3"/>
      <c r="M25" s="5">
        <f t="shared" si="2"/>
        <v>0</v>
      </c>
      <c r="N25" s="28" t="e">
        <f t="shared" si="3"/>
        <v>#DIV/0!</v>
      </c>
      <c r="O25" s="7"/>
      <c r="P25" s="7"/>
      <c r="Q25" s="7"/>
      <c r="R25" s="7"/>
      <c r="S25" s="3"/>
      <c r="T25" s="37">
        <f t="shared" si="0"/>
        <v>0</v>
      </c>
      <c r="U25" s="28" t="e">
        <f t="shared" si="4"/>
        <v>#DIV/0!</v>
      </c>
      <c r="V25" s="59">
        <f t="shared" si="5"/>
        <v>0</v>
      </c>
    </row>
    <row r="26" spans="1:22" ht="21.75" customHeight="1">
      <c r="A26" s="87"/>
      <c r="B26" s="7" t="s">
        <v>13</v>
      </c>
      <c r="C26" s="3"/>
      <c r="D26" s="3"/>
      <c r="E26" s="4">
        <f t="shared" si="1"/>
        <v>0</v>
      </c>
      <c r="F26" s="3"/>
      <c r="G26" s="3"/>
      <c r="H26" s="3"/>
      <c r="I26" s="3"/>
      <c r="J26" s="3"/>
      <c r="K26" s="3"/>
      <c r="L26" s="3"/>
      <c r="M26" s="5">
        <f t="shared" si="2"/>
        <v>0</v>
      </c>
      <c r="N26" s="28" t="e">
        <f t="shared" si="3"/>
        <v>#DIV/0!</v>
      </c>
      <c r="O26" s="7"/>
      <c r="P26" s="7"/>
      <c r="Q26" s="7"/>
      <c r="R26" s="7"/>
      <c r="S26" s="3"/>
      <c r="T26" s="37">
        <f t="shared" si="0"/>
        <v>0</v>
      </c>
      <c r="U26" s="28" t="e">
        <f t="shared" si="4"/>
        <v>#DIV/0!</v>
      </c>
      <c r="V26" s="59">
        <f t="shared" si="5"/>
        <v>0</v>
      </c>
    </row>
    <row r="27" spans="1:22" ht="21.75" customHeight="1">
      <c r="A27" s="87"/>
      <c r="B27" s="7" t="s">
        <v>14</v>
      </c>
      <c r="C27" s="3"/>
      <c r="D27" s="3"/>
      <c r="E27" s="4">
        <f t="shared" si="1"/>
        <v>0</v>
      </c>
      <c r="F27" s="3"/>
      <c r="G27" s="3"/>
      <c r="H27" s="3"/>
      <c r="I27" s="3"/>
      <c r="J27" s="3"/>
      <c r="K27" s="3"/>
      <c r="L27" s="3"/>
      <c r="M27" s="5">
        <f t="shared" si="2"/>
        <v>0</v>
      </c>
      <c r="N27" s="28" t="e">
        <f t="shared" si="3"/>
        <v>#DIV/0!</v>
      </c>
      <c r="O27" s="7"/>
      <c r="P27" s="7"/>
      <c r="Q27" s="7"/>
      <c r="R27" s="7"/>
      <c r="S27" s="3"/>
      <c r="T27" s="37">
        <f t="shared" si="0"/>
        <v>0</v>
      </c>
      <c r="U27" s="28" t="e">
        <f t="shared" si="4"/>
        <v>#DIV/0!</v>
      </c>
      <c r="V27" s="59">
        <f t="shared" si="5"/>
        <v>0</v>
      </c>
    </row>
    <row r="28" spans="1:22" ht="21.75" customHeight="1">
      <c r="A28" s="87">
        <v>7</v>
      </c>
      <c r="B28" s="7" t="s">
        <v>12</v>
      </c>
      <c r="C28" s="3"/>
      <c r="D28" s="3"/>
      <c r="E28" s="4">
        <f t="shared" si="1"/>
        <v>0</v>
      </c>
      <c r="F28" s="3"/>
      <c r="G28" s="3"/>
      <c r="H28" s="3"/>
      <c r="I28" s="3"/>
      <c r="J28" s="3"/>
      <c r="K28" s="3"/>
      <c r="L28" s="3"/>
      <c r="M28" s="5">
        <f t="shared" si="2"/>
        <v>0</v>
      </c>
      <c r="N28" s="28" t="e">
        <f t="shared" si="3"/>
        <v>#DIV/0!</v>
      </c>
      <c r="O28" s="7"/>
      <c r="P28" s="7"/>
      <c r="Q28" s="7"/>
      <c r="R28" s="7"/>
      <c r="S28" s="3"/>
      <c r="T28" s="37">
        <f t="shared" si="0"/>
        <v>0</v>
      </c>
      <c r="U28" s="28" t="e">
        <f t="shared" si="4"/>
        <v>#DIV/0!</v>
      </c>
      <c r="V28" s="59">
        <f t="shared" si="5"/>
        <v>0</v>
      </c>
    </row>
    <row r="29" spans="1:22" ht="21.75" customHeight="1">
      <c r="A29" s="87"/>
      <c r="B29" s="7" t="s">
        <v>13</v>
      </c>
      <c r="C29" s="3"/>
      <c r="D29" s="3"/>
      <c r="E29" s="4">
        <f t="shared" si="1"/>
        <v>0</v>
      </c>
      <c r="F29" s="3"/>
      <c r="G29" s="3"/>
      <c r="H29" s="3"/>
      <c r="I29" s="3"/>
      <c r="J29" s="3"/>
      <c r="K29" s="3"/>
      <c r="L29" s="3"/>
      <c r="M29" s="5">
        <f t="shared" si="2"/>
        <v>0</v>
      </c>
      <c r="N29" s="28" t="e">
        <f t="shared" si="3"/>
        <v>#DIV/0!</v>
      </c>
      <c r="O29" s="7"/>
      <c r="P29" s="7"/>
      <c r="Q29" s="7"/>
      <c r="R29" s="7"/>
      <c r="S29" s="3"/>
      <c r="T29" s="37">
        <f t="shared" si="0"/>
        <v>0</v>
      </c>
      <c r="U29" s="28" t="e">
        <f t="shared" si="4"/>
        <v>#DIV/0!</v>
      </c>
      <c r="V29" s="59">
        <f t="shared" si="5"/>
        <v>0</v>
      </c>
    </row>
    <row r="30" spans="1:22" ht="21.75" customHeight="1">
      <c r="A30" s="87"/>
      <c r="B30" s="7" t="s">
        <v>14</v>
      </c>
      <c r="C30" s="3"/>
      <c r="D30" s="3"/>
      <c r="E30" s="4">
        <f t="shared" si="1"/>
        <v>0</v>
      </c>
      <c r="F30" s="3"/>
      <c r="G30" s="3"/>
      <c r="H30" s="3"/>
      <c r="I30" s="3"/>
      <c r="J30" s="3"/>
      <c r="K30" s="3"/>
      <c r="L30" s="3"/>
      <c r="M30" s="5">
        <f t="shared" si="2"/>
        <v>0</v>
      </c>
      <c r="N30" s="28" t="e">
        <f t="shared" si="3"/>
        <v>#DIV/0!</v>
      </c>
      <c r="O30" s="7"/>
      <c r="P30" s="7"/>
      <c r="Q30" s="7"/>
      <c r="R30" s="7"/>
      <c r="S30" s="3"/>
      <c r="T30" s="37">
        <f t="shared" si="0"/>
        <v>0</v>
      </c>
      <c r="U30" s="28" t="e">
        <f t="shared" si="4"/>
        <v>#DIV/0!</v>
      </c>
      <c r="V30" s="59">
        <f t="shared" si="5"/>
        <v>0</v>
      </c>
    </row>
    <row r="31" spans="1:22" ht="21.75" customHeight="1">
      <c r="A31" s="87">
        <v>8</v>
      </c>
      <c r="B31" s="7" t="s">
        <v>12</v>
      </c>
      <c r="C31" s="3"/>
      <c r="D31" s="3"/>
      <c r="E31" s="4">
        <f t="shared" si="1"/>
        <v>0</v>
      </c>
      <c r="F31" s="3"/>
      <c r="G31" s="3"/>
      <c r="H31" s="3"/>
      <c r="I31" s="3"/>
      <c r="J31" s="3"/>
      <c r="K31" s="3"/>
      <c r="L31" s="3"/>
      <c r="M31" s="5">
        <f t="shared" si="2"/>
        <v>0</v>
      </c>
      <c r="N31" s="28" t="e">
        <f t="shared" si="3"/>
        <v>#DIV/0!</v>
      </c>
      <c r="O31" s="7"/>
      <c r="P31" s="7"/>
      <c r="Q31" s="7"/>
      <c r="R31" s="7"/>
      <c r="S31" s="3"/>
      <c r="T31" s="37">
        <f t="shared" si="0"/>
        <v>0</v>
      </c>
      <c r="U31" s="28" t="e">
        <f t="shared" si="4"/>
        <v>#DIV/0!</v>
      </c>
      <c r="V31" s="59">
        <f t="shared" si="5"/>
        <v>0</v>
      </c>
    </row>
    <row r="32" spans="1:22" ht="21.75" customHeight="1">
      <c r="A32" s="87"/>
      <c r="B32" s="7" t="s">
        <v>13</v>
      </c>
      <c r="C32" s="3"/>
      <c r="D32" s="3"/>
      <c r="E32" s="4">
        <f t="shared" si="1"/>
        <v>0</v>
      </c>
      <c r="F32" s="3"/>
      <c r="G32" s="3"/>
      <c r="H32" s="3"/>
      <c r="I32" s="3"/>
      <c r="J32" s="3"/>
      <c r="K32" s="3"/>
      <c r="L32" s="3"/>
      <c r="M32" s="5">
        <f t="shared" si="2"/>
        <v>0</v>
      </c>
      <c r="N32" s="28" t="e">
        <f t="shared" si="3"/>
        <v>#DIV/0!</v>
      </c>
      <c r="O32" s="7"/>
      <c r="P32" s="7"/>
      <c r="Q32" s="7"/>
      <c r="R32" s="7"/>
      <c r="S32" s="3"/>
      <c r="T32" s="37">
        <f t="shared" si="0"/>
        <v>0</v>
      </c>
      <c r="U32" s="28" t="e">
        <f t="shared" si="4"/>
        <v>#DIV/0!</v>
      </c>
      <c r="V32" s="59">
        <f t="shared" si="5"/>
        <v>0</v>
      </c>
    </row>
    <row r="33" spans="1:22" ht="21.75" customHeight="1">
      <c r="A33" s="87"/>
      <c r="B33" s="7" t="s">
        <v>14</v>
      </c>
      <c r="C33" s="3"/>
      <c r="D33" s="3"/>
      <c r="E33" s="4">
        <f t="shared" si="1"/>
        <v>0</v>
      </c>
      <c r="F33" s="3"/>
      <c r="G33" s="3"/>
      <c r="H33" s="3"/>
      <c r="I33" s="3"/>
      <c r="J33" s="3"/>
      <c r="K33" s="3"/>
      <c r="L33" s="3"/>
      <c r="M33" s="5">
        <f t="shared" si="2"/>
        <v>0</v>
      </c>
      <c r="N33" s="28" t="e">
        <f t="shared" si="3"/>
        <v>#DIV/0!</v>
      </c>
      <c r="O33" s="7"/>
      <c r="P33" s="7"/>
      <c r="Q33" s="7"/>
      <c r="R33" s="7"/>
      <c r="S33" s="3"/>
      <c r="T33" s="37">
        <f t="shared" si="0"/>
        <v>0</v>
      </c>
      <c r="U33" s="28" t="e">
        <f t="shared" si="4"/>
        <v>#DIV/0!</v>
      </c>
      <c r="V33" s="59">
        <f t="shared" si="5"/>
        <v>0</v>
      </c>
    </row>
    <row r="34" spans="1:22" ht="21.75" customHeight="1">
      <c r="A34" s="87">
        <v>9</v>
      </c>
      <c r="B34" s="7" t="s">
        <v>12</v>
      </c>
      <c r="C34" s="3"/>
      <c r="D34" s="3"/>
      <c r="E34" s="4">
        <f t="shared" si="1"/>
        <v>0</v>
      </c>
      <c r="F34" s="3"/>
      <c r="G34" s="3"/>
      <c r="H34" s="3"/>
      <c r="I34" s="3"/>
      <c r="J34" s="3"/>
      <c r="K34" s="3"/>
      <c r="L34" s="3"/>
      <c r="M34" s="5">
        <f t="shared" si="2"/>
        <v>0</v>
      </c>
      <c r="N34" s="28" t="e">
        <f t="shared" si="3"/>
        <v>#DIV/0!</v>
      </c>
      <c r="O34" s="7"/>
      <c r="P34" s="7"/>
      <c r="Q34" s="7"/>
      <c r="R34" s="7"/>
      <c r="S34" s="3"/>
      <c r="T34" s="37">
        <f t="shared" si="0"/>
        <v>0</v>
      </c>
      <c r="U34" s="28" t="e">
        <f t="shared" si="4"/>
        <v>#DIV/0!</v>
      </c>
      <c r="V34" s="59">
        <f t="shared" si="5"/>
        <v>0</v>
      </c>
    </row>
    <row r="35" spans="1:22" ht="21.75" customHeight="1">
      <c r="A35" s="87"/>
      <c r="B35" s="7" t="s">
        <v>13</v>
      </c>
      <c r="C35" s="3"/>
      <c r="D35" s="3"/>
      <c r="E35" s="4">
        <f t="shared" si="1"/>
        <v>0</v>
      </c>
      <c r="F35" s="3"/>
      <c r="G35" s="3"/>
      <c r="H35" s="3"/>
      <c r="I35" s="3"/>
      <c r="J35" s="3"/>
      <c r="K35" s="3"/>
      <c r="L35" s="3"/>
      <c r="M35" s="5">
        <f t="shared" si="2"/>
        <v>0</v>
      </c>
      <c r="N35" s="28" t="e">
        <f t="shared" si="3"/>
        <v>#DIV/0!</v>
      </c>
      <c r="O35" s="7"/>
      <c r="P35" s="7"/>
      <c r="Q35" s="7"/>
      <c r="R35" s="7"/>
      <c r="S35" s="3"/>
      <c r="T35" s="37">
        <f t="shared" si="0"/>
        <v>0</v>
      </c>
      <c r="U35" s="28" t="e">
        <f t="shared" si="4"/>
        <v>#DIV/0!</v>
      </c>
      <c r="V35" s="59">
        <f t="shared" si="5"/>
        <v>0</v>
      </c>
    </row>
    <row r="36" spans="1:22" ht="21.75" customHeight="1">
      <c r="A36" s="87"/>
      <c r="B36" s="7" t="s">
        <v>14</v>
      </c>
      <c r="C36" s="3"/>
      <c r="D36" s="3"/>
      <c r="E36" s="4">
        <f t="shared" si="1"/>
        <v>0</v>
      </c>
      <c r="F36" s="3"/>
      <c r="G36" s="3"/>
      <c r="H36" s="3"/>
      <c r="I36" s="3"/>
      <c r="J36" s="3"/>
      <c r="K36" s="3"/>
      <c r="L36" s="3"/>
      <c r="M36" s="5">
        <f t="shared" si="2"/>
        <v>0</v>
      </c>
      <c r="N36" s="28" t="e">
        <f t="shared" si="3"/>
        <v>#DIV/0!</v>
      </c>
      <c r="O36" s="7"/>
      <c r="P36" s="7"/>
      <c r="Q36" s="7"/>
      <c r="R36" s="7"/>
      <c r="S36" s="3"/>
      <c r="T36" s="37">
        <f t="shared" si="0"/>
        <v>0</v>
      </c>
      <c r="U36" s="28" t="e">
        <f t="shared" si="4"/>
        <v>#DIV/0!</v>
      </c>
      <c r="V36" s="59">
        <f t="shared" si="5"/>
        <v>0</v>
      </c>
    </row>
    <row r="37" spans="1:22" ht="21.75" customHeight="1">
      <c r="A37" s="87">
        <v>10</v>
      </c>
      <c r="B37" s="7" t="s">
        <v>12</v>
      </c>
      <c r="C37" s="3"/>
      <c r="D37" s="3"/>
      <c r="E37" s="4">
        <f t="shared" si="1"/>
        <v>0</v>
      </c>
      <c r="F37" s="3"/>
      <c r="G37" s="3"/>
      <c r="H37" s="3"/>
      <c r="I37" s="3"/>
      <c r="J37" s="3"/>
      <c r="K37" s="3"/>
      <c r="L37" s="3"/>
      <c r="M37" s="5">
        <f t="shared" si="2"/>
        <v>0</v>
      </c>
      <c r="N37" s="28" t="e">
        <f t="shared" si="3"/>
        <v>#DIV/0!</v>
      </c>
      <c r="O37" s="7"/>
      <c r="P37" s="7"/>
      <c r="Q37" s="7"/>
      <c r="R37" s="7"/>
      <c r="S37" s="3"/>
      <c r="T37" s="37">
        <f t="shared" si="0"/>
        <v>0</v>
      </c>
      <c r="U37" s="28" t="e">
        <f t="shared" si="4"/>
        <v>#DIV/0!</v>
      </c>
      <c r="V37" s="59">
        <f t="shared" si="5"/>
        <v>0</v>
      </c>
    </row>
    <row r="38" spans="1:22" ht="21.75" customHeight="1">
      <c r="A38" s="87"/>
      <c r="B38" s="7" t="s">
        <v>13</v>
      </c>
      <c r="C38" s="3"/>
      <c r="D38" s="3"/>
      <c r="E38" s="4">
        <f t="shared" si="1"/>
        <v>0</v>
      </c>
      <c r="F38" s="3"/>
      <c r="G38" s="3"/>
      <c r="H38" s="3"/>
      <c r="I38" s="3"/>
      <c r="J38" s="3"/>
      <c r="K38" s="3"/>
      <c r="L38" s="3"/>
      <c r="M38" s="5">
        <f t="shared" si="2"/>
        <v>0</v>
      </c>
      <c r="N38" s="28" t="e">
        <f t="shared" si="3"/>
        <v>#DIV/0!</v>
      </c>
      <c r="O38" s="7"/>
      <c r="P38" s="7"/>
      <c r="Q38" s="7"/>
      <c r="R38" s="7"/>
      <c r="S38" s="3"/>
      <c r="T38" s="37">
        <f t="shared" si="0"/>
        <v>0</v>
      </c>
      <c r="U38" s="28" t="e">
        <f t="shared" si="4"/>
        <v>#DIV/0!</v>
      </c>
      <c r="V38" s="59">
        <f t="shared" si="5"/>
        <v>0</v>
      </c>
    </row>
    <row r="39" spans="1:22" ht="21.75" customHeight="1">
      <c r="A39" s="87"/>
      <c r="B39" s="7" t="s">
        <v>14</v>
      </c>
      <c r="C39" s="3"/>
      <c r="D39" s="3"/>
      <c r="E39" s="4">
        <f t="shared" si="1"/>
        <v>0</v>
      </c>
      <c r="F39" s="3"/>
      <c r="G39" s="3"/>
      <c r="H39" s="3"/>
      <c r="I39" s="3"/>
      <c r="J39" s="3"/>
      <c r="K39" s="3"/>
      <c r="L39" s="3"/>
      <c r="M39" s="5">
        <f t="shared" si="2"/>
        <v>0</v>
      </c>
      <c r="N39" s="28" t="e">
        <f t="shared" si="3"/>
        <v>#DIV/0!</v>
      </c>
      <c r="O39" s="7"/>
      <c r="P39" s="7"/>
      <c r="Q39" s="7"/>
      <c r="R39" s="7"/>
      <c r="S39" s="3"/>
      <c r="T39" s="37">
        <f t="shared" si="0"/>
        <v>0</v>
      </c>
      <c r="U39" s="28" t="e">
        <f t="shared" si="4"/>
        <v>#DIV/0!</v>
      </c>
      <c r="V39" s="59">
        <f t="shared" si="5"/>
        <v>0</v>
      </c>
    </row>
    <row r="40" spans="1:22" ht="21.75" customHeight="1">
      <c r="A40" s="87">
        <v>11</v>
      </c>
      <c r="B40" s="7" t="s">
        <v>12</v>
      </c>
      <c r="C40" s="3"/>
      <c r="D40" s="3"/>
      <c r="E40" s="4">
        <f t="shared" si="1"/>
        <v>0</v>
      </c>
      <c r="F40" s="3"/>
      <c r="G40" s="3"/>
      <c r="H40" s="3"/>
      <c r="I40" s="3"/>
      <c r="J40" s="3"/>
      <c r="K40" s="3"/>
      <c r="L40" s="3"/>
      <c r="M40" s="5">
        <f t="shared" si="2"/>
        <v>0</v>
      </c>
      <c r="N40" s="28" t="e">
        <f t="shared" si="3"/>
        <v>#DIV/0!</v>
      </c>
      <c r="O40" s="7"/>
      <c r="P40" s="7"/>
      <c r="Q40" s="7"/>
      <c r="R40" s="7"/>
      <c r="S40" s="3"/>
      <c r="T40" s="37">
        <f t="shared" si="0"/>
        <v>0</v>
      </c>
      <c r="U40" s="28" t="e">
        <f t="shared" si="4"/>
        <v>#DIV/0!</v>
      </c>
      <c r="V40" s="59">
        <f t="shared" si="5"/>
        <v>0</v>
      </c>
    </row>
    <row r="41" spans="1:22" ht="21.75" customHeight="1">
      <c r="A41" s="87"/>
      <c r="B41" s="7" t="s">
        <v>13</v>
      </c>
      <c r="C41" s="3"/>
      <c r="D41" s="3"/>
      <c r="E41" s="4">
        <f t="shared" si="1"/>
        <v>0</v>
      </c>
      <c r="F41" s="3"/>
      <c r="G41" s="3"/>
      <c r="H41" s="3"/>
      <c r="I41" s="3"/>
      <c r="J41" s="3"/>
      <c r="K41" s="3"/>
      <c r="L41" s="3"/>
      <c r="M41" s="5">
        <f t="shared" si="2"/>
        <v>0</v>
      </c>
      <c r="N41" s="28" t="e">
        <f t="shared" si="3"/>
        <v>#DIV/0!</v>
      </c>
      <c r="O41" s="7"/>
      <c r="P41" s="7"/>
      <c r="Q41" s="7"/>
      <c r="R41" s="7"/>
      <c r="S41" s="3"/>
      <c r="T41" s="37">
        <f t="shared" si="0"/>
        <v>0</v>
      </c>
      <c r="U41" s="28" t="e">
        <f t="shared" si="4"/>
        <v>#DIV/0!</v>
      </c>
      <c r="V41" s="59">
        <f t="shared" si="5"/>
        <v>0</v>
      </c>
    </row>
    <row r="42" spans="1:22" ht="21.75" customHeight="1">
      <c r="A42" s="87"/>
      <c r="B42" s="7" t="s">
        <v>14</v>
      </c>
      <c r="C42" s="3"/>
      <c r="D42" s="3"/>
      <c r="E42" s="4">
        <f t="shared" si="1"/>
        <v>0</v>
      </c>
      <c r="F42" s="3"/>
      <c r="G42" s="3"/>
      <c r="H42" s="3"/>
      <c r="I42" s="3"/>
      <c r="J42" s="3"/>
      <c r="K42" s="3"/>
      <c r="L42" s="3"/>
      <c r="M42" s="5">
        <f t="shared" si="2"/>
        <v>0</v>
      </c>
      <c r="N42" s="28" t="e">
        <f t="shared" si="3"/>
        <v>#DIV/0!</v>
      </c>
      <c r="O42" s="7"/>
      <c r="P42" s="7"/>
      <c r="Q42" s="7"/>
      <c r="R42" s="7"/>
      <c r="S42" s="3"/>
      <c r="T42" s="37">
        <f t="shared" si="0"/>
        <v>0</v>
      </c>
      <c r="U42" s="28" t="e">
        <f t="shared" si="4"/>
        <v>#DIV/0!</v>
      </c>
      <c r="V42" s="59">
        <f t="shared" si="5"/>
        <v>0</v>
      </c>
    </row>
    <row r="43" spans="1:22" ht="21.75" customHeight="1">
      <c r="A43" s="87">
        <v>12</v>
      </c>
      <c r="B43" s="7" t="s">
        <v>12</v>
      </c>
      <c r="C43" s="3"/>
      <c r="D43" s="3"/>
      <c r="E43" s="4">
        <f t="shared" si="1"/>
        <v>0</v>
      </c>
      <c r="F43" s="3"/>
      <c r="G43" s="3"/>
      <c r="H43" s="3"/>
      <c r="I43" s="3"/>
      <c r="J43" s="3"/>
      <c r="K43" s="3"/>
      <c r="L43" s="3"/>
      <c r="M43" s="5">
        <f t="shared" si="2"/>
        <v>0</v>
      </c>
      <c r="N43" s="28" t="e">
        <f t="shared" si="3"/>
        <v>#DIV/0!</v>
      </c>
      <c r="O43" s="7"/>
      <c r="P43" s="7"/>
      <c r="Q43" s="7"/>
      <c r="R43" s="7"/>
      <c r="S43" s="3"/>
      <c r="T43" s="37">
        <f t="shared" si="0"/>
        <v>0</v>
      </c>
      <c r="U43" s="28" t="e">
        <f t="shared" si="4"/>
        <v>#DIV/0!</v>
      </c>
      <c r="V43" s="59">
        <f t="shared" si="5"/>
        <v>0</v>
      </c>
    </row>
    <row r="44" spans="1:22" ht="21.75" customHeight="1">
      <c r="A44" s="87"/>
      <c r="B44" s="7" t="s">
        <v>13</v>
      </c>
      <c r="C44" s="3"/>
      <c r="D44" s="3"/>
      <c r="E44" s="4">
        <f t="shared" si="1"/>
        <v>0</v>
      </c>
      <c r="F44" s="3"/>
      <c r="G44" s="3"/>
      <c r="H44" s="3"/>
      <c r="I44" s="3"/>
      <c r="J44" s="3"/>
      <c r="K44" s="3"/>
      <c r="L44" s="3"/>
      <c r="M44" s="5">
        <f t="shared" si="2"/>
        <v>0</v>
      </c>
      <c r="N44" s="28" t="e">
        <f t="shared" si="3"/>
        <v>#DIV/0!</v>
      </c>
      <c r="O44" s="7"/>
      <c r="P44" s="7"/>
      <c r="Q44" s="7"/>
      <c r="R44" s="7"/>
      <c r="S44" s="3"/>
      <c r="T44" s="37">
        <f t="shared" si="0"/>
        <v>0</v>
      </c>
      <c r="U44" s="28" t="e">
        <f t="shared" si="4"/>
        <v>#DIV/0!</v>
      </c>
      <c r="V44" s="59">
        <f t="shared" si="5"/>
        <v>0</v>
      </c>
    </row>
    <row r="45" spans="1:22" ht="21.75" customHeight="1">
      <c r="A45" s="87"/>
      <c r="B45" s="7" t="s">
        <v>14</v>
      </c>
      <c r="C45" s="3"/>
      <c r="D45" s="3"/>
      <c r="E45" s="4">
        <f t="shared" si="1"/>
        <v>0</v>
      </c>
      <c r="F45" s="3"/>
      <c r="G45" s="3"/>
      <c r="H45" s="3"/>
      <c r="I45" s="3"/>
      <c r="J45" s="3"/>
      <c r="K45" s="3"/>
      <c r="L45" s="3"/>
      <c r="M45" s="5">
        <f t="shared" si="2"/>
        <v>0</v>
      </c>
      <c r="N45" s="28" t="e">
        <f t="shared" si="3"/>
        <v>#DIV/0!</v>
      </c>
      <c r="O45" s="7"/>
      <c r="P45" s="7"/>
      <c r="Q45" s="7"/>
      <c r="R45" s="7"/>
      <c r="S45" s="3"/>
      <c r="T45" s="37">
        <f t="shared" si="0"/>
        <v>0</v>
      </c>
      <c r="U45" s="28" t="e">
        <f t="shared" si="4"/>
        <v>#DIV/0!</v>
      </c>
      <c r="V45" s="59">
        <f t="shared" si="5"/>
        <v>0</v>
      </c>
    </row>
    <row r="46" spans="1:22" ht="21.75" customHeight="1">
      <c r="A46" s="87">
        <v>13</v>
      </c>
      <c r="B46" s="7" t="s">
        <v>12</v>
      </c>
      <c r="C46" s="3"/>
      <c r="D46" s="3"/>
      <c r="E46" s="4">
        <f t="shared" si="1"/>
        <v>0</v>
      </c>
      <c r="F46" s="3"/>
      <c r="G46" s="3"/>
      <c r="H46" s="3"/>
      <c r="I46" s="3"/>
      <c r="J46" s="3"/>
      <c r="K46" s="3"/>
      <c r="L46" s="3"/>
      <c r="M46" s="5">
        <f t="shared" si="2"/>
        <v>0</v>
      </c>
      <c r="N46" s="28" t="e">
        <f t="shared" si="3"/>
        <v>#DIV/0!</v>
      </c>
      <c r="O46" s="7"/>
      <c r="P46" s="7"/>
      <c r="Q46" s="7"/>
      <c r="R46" s="7"/>
      <c r="S46" s="3"/>
      <c r="T46" s="37">
        <f t="shared" si="0"/>
        <v>0</v>
      </c>
      <c r="U46" s="28" t="e">
        <f t="shared" si="4"/>
        <v>#DIV/0!</v>
      </c>
      <c r="V46" s="59">
        <f t="shared" si="5"/>
        <v>0</v>
      </c>
    </row>
    <row r="47" spans="1:22" ht="21.75" customHeight="1">
      <c r="A47" s="87"/>
      <c r="B47" s="7" t="s">
        <v>13</v>
      </c>
      <c r="C47" s="3"/>
      <c r="D47" s="3"/>
      <c r="E47" s="4">
        <f t="shared" si="1"/>
        <v>0</v>
      </c>
      <c r="F47" s="3"/>
      <c r="G47" s="3"/>
      <c r="H47" s="3"/>
      <c r="I47" s="3"/>
      <c r="J47" s="3"/>
      <c r="K47" s="3"/>
      <c r="L47" s="3"/>
      <c r="M47" s="5">
        <f t="shared" si="2"/>
        <v>0</v>
      </c>
      <c r="N47" s="28" t="e">
        <f t="shared" si="3"/>
        <v>#DIV/0!</v>
      </c>
      <c r="O47" s="7"/>
      <c r="P47" s="7"/>
      <c r="Q47" s="7"/>
      <c r="R47" s="7"/>
      <c r="S47" s="3"/>
      <c r="T47" s="37">
        <f t="shared" si="0"/>
        <v>0</v>
      </c>
      <c r="U47" s="28" t="e">
        <f t="shared" si="4"/>
        <v>#DIV/0!</v>
      </c>
      <c r="V47" s="59">
        <f t="shared" si="5"/>
        <v>0</v>
      </c>
    </row>
    <row r="48" spans="1:22" ht="21.75" customHeight="1">
      <c r="A48" s="87"/>
      <c r="B48" s="7" t="s">
        <v>14</v>
      </c>
      <c r="C48" s="3"/>
      <c r="D48" s="3"/>
      <c r="E48" s="4">
        <f t="shared" si="1"/>
        <v>0</v>
      </c>
      <c r="F48" s="3"/>
      <c r="G48" s="3"/>
      <c r="H48" s="3"/>
      <c r="I48" s="3"/>
      <c r="J48" s="3"/>
      <c r="K48" s="3"/>
      <c r="L48" s="3"/>
      <c r="M48" s="5">
        <f t="shared" si="2"/>
        <v>0</v>
      </c>
      <c r="N48" s="28" t="e">
        <f t="shared" si="3"/>
        <v>#DIV/0!</v>
      </c>
      <c r="O48" s="7"/>
      <c r="P48" s="7"/>
      <c r="Q48" s="7"/>
      <c r="R48" s="7"/>
      <c r="S48" s="3"/>
      <c r="T48" s="37">
        <f t="shared" si="0"/>
        <v>0</v>
      </c>
      <c r="U48" s="28" t="e">
        <f t="shared" si="4"/>
        <v>#DIV/0!</v>
      </c>
      <c r="V48" s="59">
        <f t="shared" si="5"/>
        <v>0</v>
      </c>
    </row>
    <row r="49" spans="1:22" ht="21.75" customHeight="1">
      <c r="A49" s="87">
        <v>14</v>
      </c>
      <c r="B49" s="7" t="s">
        <v>12</v>
      </c>
      <c r="C49" s="3"/>
      <c r="D49" s="3"/>
      <c r="E49" s="4">
        <f t="shared" si="1"/>
        <v>0</v>
      </c>
      <c r="F49" s="3"/>
      <c r="G49" s="3"/>
      <c r="H49" s="3"/>
      <c r="I49" s="3"/>
      <c r="J49" s="3"/>
      <c r="K49" s="3"/>
      <c r="L49" s="3"/>
      <c r="M49" s="5">
        <f t="shared" si="2"/>
        <v>0</v>
      </c>
      <c r="N49" s="28" t="e">
        <f t="shared" si="3"/>
        <v>#DIV/0!</v>
      </c>
      <c r="O49" s="7"/>
      <c r="P49" s="7"/>
      <c r="Q49" s="7"/>
      <c r="R49" s="7"/>
      <c r="S49" s="3"/>
      <c r="T49" s="37">
        <f t="shared" si="0"/>
        <v>0</v>
      </c>
      <c r="U49" s="28" t="e">
        <f t="shared" si="4"/>
        <v>#DIV/0!</v>
      </c>
      <c r="V49" s="59">
        <f t="shared" si="5"/>
        <v>0</v>
      </c>
    </row>
    <row r="50" spans="1:22" ht="21.75" customHeight="1">
      <c r="A50" s="87"/>
      <c r="B50" s="7" t="s">
        <v>13</v>
      </c>
      <c r="C50" s="3"/>
      <c r="D50" s="3"/>
      <c r="E50" s="4">
        <f t="shared" si="1"/>
        <v>0</v>
      </c>
      <c r="F50" s="3"/>
      <c r="G50" s="3"/>
      <c r="H50" s="3"/>
      <c r="I50" s="3"/>
      <c r="J50" s="3"/>
      <c r="K50" s="3"/>
      <c r="L50" s="3"/>
      <c r="M50" s="5">
        <f t="shared" si="2"/>
        <v>0</v>
      </c>
      <c r="N50" s="28" t="e">
        <f t="shared" si="3"/>
        <v>#DIV/0!</v>
      </c>
      <c r="O50" s="7"/>
      <c r="P50" s="7"/>
      <c r="Q50" s="7"/>
      <c r="R50" s="7"/>
      <c r="S50" s="3"/>
      <c r="T50" s="37">
        <f t="shared" si="0"/>
        <v>0</v>
      </c>
      <c r="U50" s="28" t="e">
        <f t="shared" si="4"/>
        <v>#DIV/0!</v>
      </c>
      <c r="V50" s="59">
        <f t="shared" si="5"/>
        <v>0</v>
      </c>
    </row>
    <row r="51" spans="1:22" ht="21.75" customHeight="1">
      <c r="A51" s="87"/>
      <c r="B51" s="7" t="s">
        <v>14</v>
      </c>
      <c r="C51" s="3"/>
      <c r="D51" s="3"/>
      <c r="E51" s="4">
        <f t="shared" si="1"/>
        <v>0</v>
      </c>
      <c r="F51" s="3"/>
      <c r="G51" s="3"/>
      <c r="H51" s="3"/>
      <c r="I51" s="3"/>
      <c r="J51" s="3"/>
      <c r="K51" s="3"/>
      <c r="L51" s="3"/>
      <c r="M51" s="5">
        <f t="shared" si="2"/>
        <v>0</v>
      </c>
      <c r="N51" s="28" t="e">
        <f t="shared" si="3"/>
        <v>#DIV/0!</v>
      </c>
      <c r="O51" s="7"/>
      <c r="P51" s="7"/>
      <c r="Q51" s="7"/>
      <c r="R51" s="7"/>
      <c r="S51" s="3"/>
      <c r="T51" s="37">
        <f t="shared" si="0"/>
        <v>0</v>
      </c>
      <c r="U51" s="28" t="e">
        <f t="shared" si="4"/>
        <v>#DIV/0!</v>
      </c>
      <c r="V51" s="59">
        <f t="shared" si="5"/>
        <v>0</v>
      </c>
    </row>
    <row r="52" spans="1:22" ht="21.75" customHeight="1">
      <c r="A52" s="87">
        <v>15</v>
      </c>
      <c r="B52" s="7" t="s">
        <v>12</v>
      </c>
      <c r="C52" s="3"/>
      <c r="D52" s="3"/>
      <c r="E52" s="4">
        <f t="shared" si="1"/>
        <v>0</v>
      </c>
      <c r="F52" s="3"/>
      <c r="G52" s="3"/>
      <c r="H52" s="3"/>
      <c r="I52" s="3"/>
      <c r="J52" s="3"/>
      <c r="K52" s="3"/>
      <c r="L52" s="3"/>
      <c r="M52" s="5">
        <f t="shared" si="2"/>
        <v>0</v>
      </c>
      <c r="N52" s="28" t="e">
        <f t="shared" si="3"/>
        <v>#DIV/0!</v>
      </c>
      <c r="O52" s="7"/>
      <c r="P52" s="7"/>
      <c r="Q52" s="7"/>
      <c r="R52" s="7"/>
      <c r="S52" s="3"/>
      <c r="T52" s="37">
        <f t="shared" si="0"/>
        <v>0</v>
      </c>
      <c r="U52" s="28" t="e">
        <f t="shared" si="4"/>
        <v>#DIV/0!</v>
      </c>
      <c r="V52" s="59">
        <f t="shared" si="5"/>
        <v>0</v>
      </c>
    </row>
    <row r="53" spans="1:22" ht="21.75" customHeight="1">
      <c r="A53" s="87"/>
      <c r="B53" s="7" t="s">
        <v>13</v>
      </c>
      <c r="C53" s="3"/>
      <c r="D53" s="3"/>
      <c r="E53" s="4">
        <f t="shared" si="1"/>
        <v>0</v>
      </c>
      <c r="F53" s="3"/>
      <c r="G53" s="3"/>
      <c r="H53" s="3"/>
      <c r="I53" s="3"/>
      <c r="J53" s="3"/>
      <c r="K53" s="3"/>
      <c r="L53" s="3"/>
      <c r="M53" s="5">
        <f t="shared" si="2"/>
        <v>0</v>
      </c>
      <c r="N53" s="28" t="e">
        <f t="shared" si="3"/>
        <v>#DIV/0!</v>
      </c>
      <c r="O53" s="7"/>
      <c r="P53" s="7"/>
      <c r="Q53" s="7"/>
      <c r="R53" s="7"/>
      <c r="S53" s="3"/>
      <c r="T53" s="37">
        <f t="shared" si="0"/>
        <v>0</v>
      </c>
      <c r="U53" s="28" t="e">
        <f t="shared" si="4"/>
        <v>#DIV/0!</v>
      </c>
      <c r="V53" s="59">
        <f t="shared" si="5"/>
        <v>0</v>
      </c>
    </row>
    <row r="54" spans="1:22" ht="21.75" customHeight="1">
      <c r="A54" s="87"/>
      <c r="B54" s="7" t="s">
        <v>14</v>
      </c>
      <c r="C54" s="3"/>
      <c r="D54" s="3"/>
      <c r="E54" s="4">
        <f t="shared" si="1"/>
        <v>0</v>
      </c>
      <c r="F54" s="3"/>
      <c r="G54" s="3"/>
      <c r="H54" s="3"/>
      <c r="I54" s="3"/>
      <c r="J54" s="3"/>
      <c r="K54" s="3"/>
      <c r="L54" s="3"/>
      <c r="M54" s="5">
        <f t="shared" si="2"/>
        <v>0</v>
      </c>
      <c r="N54" s="28" t="e">
        <f t="shared" si="3"/>
        <v>#DIV/0!</v>
      </c>
      <c r="O54" s="7"/>
      <c r="P54" s="7"/>
      <c r="Q54" s="7"/>
      <c r="R54" s="7"/>
      <c r="S54" s="3"/>
      <c r="T54" s="37">
        <f t="shared" si="0"/>
        <v>0</v>
      </c>
      <c r="U54" s="28" t="e">
        <f t="shared" si="4"/>
        <v>#DIV/0!</v>
      </c>
      <c r="V54" s="59">
        <f t="shared" si="5"/>
        <v>0</v>
      </c>
    </row>
    <row r="55" spans="1:22" ht="21.75" customHeight="1">
      <c r="A55" s="87">
        <v>16</v>
      </c>
      <c r="B55" s="7" t="s">
        <v>12</v>
      </c>
      <c r="C55" s="3"/>
      <c r="D55" s="3"/>
      <c r="E55" s="4">
        <f t="shared" si="1"/>
        <v>0</v>
      </c>
      <c r="F55" s="3"/>
      <c r="G55" s="3"/>
      <c r="H55" s="3"/>
      <c r="I55" s="3"/>
      <c r="J55" s="3"/>
      <c r="K55" s="3"/>
      <c r="L55" s="3"/>
      <c r="M55" s="5">
        <f t="shared" si="2"/>
        <v>0</v>
      </c>
      <c r="N55" s="28" t="e">
        <f t="shared" si="3"/>
        <v>#DIV/0!</v>
      </c>
      <c r="O55" s="7"/>
      <c r="P55" s="7"/>
      <c r="Q55" s="7"/>
      <c r="R55" s="7"/>
      <c r="S55" s="3"/>
      <c r="T55" s="37">
        <f t="shared" si="0"/>
        <v>0</v>
      </c>
      <c r="U55" s="28" t="e">
        <f t="shared" si="4"/>
        <v>#DIV/0!</v>
      </c>
      <c r="V55" s="59">
        <f t="shared" si="5"/>
        <v>0</v>
      </c>
    </row>
    <row r="56" spans="1:22" ht="21.75" customHeight="1">
      <c r="A56" s="87"/>
      <c r="B56" s="7" t="s">
        <v>13</v>
      </c>
      <c r="C56" s="3"/>
      <c r="D56" s="3"/>
      <c r="E56" s="4">
        <f t="shared" si="1"/>
        <v>0</v>
      </c>
      <c r="F56" s="3"/>
      <c r="G56" s="3"/>
      <c r="H56" s="3"/>
      <c r="I56" s="3"/>
      <c r="J56" s="3"/>
      <c r="K56" s="3"/>
      <c r="L56" s="3"/>
      <c r="M56" s="5">
        <f t="shared" si="2"/>
        <v>0</v>
      </c>
      <c r="N56" s="28" t="e">
        <f t="shared" si="3"/>
        <v>#DIV/0!</v>
      </c>
      <c r="O56" s="7"/>
      <c r="P56" s="7"/>
      <c r="Q56" s="7"/>
      <c r="R56" s="7"/>
      <c r="S56" s="3"/>
      <c r="T56" s="37">
        <f t="shared" si="0"/>
        <v>0</v>
      </c>
      <c r="U56" s="28" t="e">
        <f t="shared" si="4"/>
        <v>#DIV/0!</v>
      </c>
      <c r="V56" s="59">
        <f t="shared" si="5"/>
        <v>0</v>
      </c>
    </row>
    <row r="57" spans="1:22" ht="21.75" customHeight="1">
      <c r="A57" s="87"/>
      <c r="B57" s="7" t="s">
        <v>14</v>
      </c>
      <c r="C57" s="3"/>
      <c r="D57" s="3"/>
      <c r="E57" s="4">
        <f t="shared" si="1"/>
        <v>0</v>
      </c>
      <c r="F57" s="3"/>
      <c r="G57" s="3"/>
      <c r="H57" s="3"/>
      <c r="I57" s="3"/>
      <c r="J57" s="3"/>
      <c r="K57" s="3"/>
      <c r="L57" s="3"/>
      <c r="M57" s="5">
        <f t="shared" si="2"/>
        <v>0</v>
      </c>
      <c r="N57" s="28" t="e">
        <f t="shared" si="3"/>
        <v>#DIV/0!</v>
      </c>
      <c r="O57" s="7"/>
      <c r="P57" s="7"/>
      <c r="Q57" s="7"/>
      <c r="R57" s="7"/>
      <c r="S57" s="3"/>
      <c r="T57" s="37">
        <f t="shared" si="0"/>
        <v>0</v>
      </c>
      <c r="U57" s="28" t="e">
        <f t="shared" si="4"/>
        <v>#DIV/0!</v>
      </c>
      <c r="V57" s="59">
        <f t="shared" si="5"/>
        <v>0</v>
      </c>
    </row>
    <row r="58" spans="1:22" ht="21.75" customHeight="1">
      <c r="A58" s="87">
        <v>17</v>
      </c>
      <c r="B58" s="7" t="s">
        <v>12</v>
      </c>
      <c r="C58" s="3"/>
      <c r="D58" s="3"/>
      <c r="E58" s="4">
        <f t="shared" si="1"/>
        <v>0</v>
      </c>
      <c r="F58" s="3"/>
      <c r="G58" s="3"/>
      <c r="H58" s="3"/>
      <c r="I58" s="3"/>
      <c r="J58" s="3"/>
      <c r="K58" s="3"/>
      <c r="L58" s="3"/>
      <c r="M58" s="5">
        <f t="shared" si="2"/>
        <v>0</v>
      </c>
      <c r="N58" s="28" t="e">
        <f t="shared" si="3"/>
        <v>#DIV/0!</v>
      </c>
      <c r="O58" s="7"/>
      <c r="P58" s="7"/>
      <c r="Q58" s="7"/>
      <c r="R58" s="7"/>
      <c r="S58" s="3"/>
      <c r="T58" s="37">
        <f t="shared" si="0"/>
        <v>0</v>
      </c>
      <c r="U58" s="28" t="e">
        <f t="shared" si="4"/>
        <v>#DIV/0!</v>
      </c>
      <c r="V58" s="59">
        <f t="shared" si="5"/>
        <v>0</v>
      </c>
    </row>
    <row r="59" spans="1:22" ht="21.75" customHeight="1">
      <c r="A59" s="87"/>
      <c r="B59" s="7" t="s">
        <v>13</v>
      </c>
      <c r="C59" s="3"/>
      <c r="D59" s="3"/>
      <c r="E59" s="4">
        <f t="shared" si="1"/>
        <v>0</v>
      </c>
      <c r="F59" s="3"/>
      <c r="G59" s="3"/>
      <c r="H59" s="3"/>
      <c r="I59" s="3"/>
      <c r="J59" s="3"/>
      <c r="K59" s="3"/>
      <c r="L59" s="3"/>
      <c r="M59" s="5">
        <f t="shared" si="2"/>
        <v>0</v>
      </c>
      <c r="N59" s="28" t="e">
        <f t="shared" si="3"/>
        <v>#DIV/0!</v>
      </c>
      <c r="O59" s="7"/>
      <c r="P59" s="7"/>
      <c r="Q59" s="7"/>
      <c r="R59" s="7"/>
      <c r="S59" s="3"/>
      <c r="T59" s="37">
        <f t="shared" si="0"/>
        <v>0</v>
      </c>
      <c r="U59" s="28" t="e">
        <f t="shared" si="4"/>
        <v>#DIV/0!</v>
      </c>
      <c r="V59" s="59">
        <f t="shared" si="5"/>
        <v>0</v>
      </c>
    </row>
    <row r="60" spans="1:22" ht="21.75" customHeight="1">
      <c r="A60" s="87"/>
      <c r="B60" s="7" t="s">
        <v>14</v>
      </c>
      <c r="C60" s="3"/>
      <c r="D60" s="3"/>
      <c r="E60" s="4">
        <f t="shared" si="1"/>
        <v>0</v>
      </c>
      <c r="F60" s="3"/>
      <c r="G60" s="3"/>
      <c r="H60" s="3"/>
      <c r="I60" s="3"/>
      <c r="J60" s="3"/>
      <c r="K60" s="3"/>
      <c r="L60" s="3"/>
      <c r="M60" s="5">
        <f t="shared" si="2"/>
        <v>0</v>
      </c>
      <c r="N60" s="28" t="e">
        <f t="shared" si="3"/>
        <v>#DIV/0!</v>
      </c>
      <c r="O60" s="7"/>
      <c r="P60" s="7"/>
      <c r="Q60" s="7"/>
      <c r="R60" s="7"/>
      <c r="S60" s="3"/>
      <c r="T60" s="37">
        <f t="shared" si="0"/>
        <v>0</v>
      </c>
      <c r="U60" s="28" t="e">
        <f t="shared" si="4"/>
        <v>#DIV/0!</v>
      </c>
      <c r="V60" s="59">
        <f t="shared" si="5"/>
        <v>0</v>
      </c>
    </row>
    <row r="61" spans="1:22" ht="21.75" customHeight="1">
      <c r="A61" s="87">
        <v>18</v>
      </c>
      <c r="B61" s="7" t="s">
        <v>12</v>
      </c>
      <c r="C61" s="3"/>
      <c r="D61" s="3"/>
      <c r="E61" s="4">
        <f t="shared" si="1"/>
        <v>0</v>
      </c>
      <c r="F61" s="3"/>
      <c r="G61" s="3"/>
      <c r="H61" s="3"/>
      <c r="I61" s="3"/>
      <c r="J61" s="3"/>
      <c r="K61" s="3"/>
      <c r="L61" s="3"/>
      <c r="M61" s="5">
        <f t="shared" si="2"/>
        <v>0</v>
      </c>
      <c r="N61" s="28" t="e">
        <f t="shared" si="3"/>
        <v>#DIV/0!</v>
      </c>
      <c r="O61" s="7"/>
      <c r="P61" s="7"/>
      <c r="Q61" s="7"/>
      <c r="R61" s="7"/>
      <c r="S61" s="3"/>
      <c r="T61" s="37">
        <f t="shared" si="0"/>
        <v>0</v>
      </c>
      <c r="U61" s="28" t="e">
        <f t="shared" si="4"/>
        <v>#DIV/0!</v>
      </c>
      <c r="V61" s="59">
        <f t="shared" si="5"/>
        <v>0</v>
      </c>
    </row>
    <row r="62" spans="1:22" ht="21.75" customHeight="1">
      <c r="A62" s="87"/>
      <c r="B62" s="7" t="s">
        <v>13</v>
      </c>
      <c r="C62" s="3"/>
      <c r="D62" s="3"/>
      <c r="E62" s="4">
        <f t="shared" si="1"/>
        <v>0</v>
      </c>
      <c r="F62" s="3"/>
      <c r="G62" s="3"/>
      <c r="H62" s="3"/>
      <c r="I62" s="3"/>
      <c r="J62" s="3"/>
      <c r="K62" s="3"/>
      <c r="L62" s="3"/>
      <c r="M62" s="5">
        <f t="shared" si="2"/>
        <v>0</v>
      </c>
      <c r="N62" s="28" t="e">
        <f t="shared" si="3"/>
        <v>#DIV/0!</v>
      </c>
      <c r="O62" s="7"/>
      <c r="P62" s="7"/>
      <c r="Q62" s="7"/>
      <c r="R62" s="7"/>
      <c r="S62" s="3"/>
      <c r="T62" s="37">
        <f t="shared" si="0"/>
        <v>0</v>
      </c>
      <c r="U62" s="28" t="e">
        <f t="shared" si="4"/>
        <v>#DIV/0!</v>
      </c>
      <c r="V62" s="59">
        <f t="shared" si="5"/>
        <v>0</v>
      </c>
    </row>
    <row r="63" spans="1:22" ht="21.75" customHeight="1">
      <c r="A63" s="87"/>
      <c r="B63" s="7" t="s">
        <v>14</v>
      </c>
      <c r="C63" s="3"/>
      <c r="D63" s="3"/>
      <c r="E63" s="4">
        <f t="shared" si="1"/>
        <v>0</v>
      </c>
      <c r="F63" s="3"/>
      <c r="G63" s="3"/>
      <c r="H63" s="3"/>
      <c r="I63" s="3"/>
      <c r="J63" s="3"/>
      <c r="K63" s="3"/>
      <c r="L63" s="3"/>
      <c r="M63" s="5">
        <f t="shared" si="2"/>
        <v>0</v>
      </c>
      <c r="N63" s="28" t="e">
        <f t="shared" si="3"/>
        <v>#DIV/0!</v>
      </c>
      <c r="O63" s="7"/>
      <c r="P63" s="7"/>
      <c r="Q63" s="7"/>
      <c r="R63" s="7"/>
      <c r="S63" s="3"/>
      <c r="T63" s="37">
        <f t="shared" si="0"/>
        <v>0</v>
      </c>
      <c r="U63" s="28" t="e">
        <f t="shared" si="4"/>
        <v>#DIV/0!</v>
      </c>
      <c r="V63" s="59">
        <f t="shared" si="5"/>
        <v>0</v>
      </c>
    </row>
    <row r="64" spans="1:22" ht="21.75" customHeight="1">
      <c r="A64" s="87">
        <v>19</v>
      </c>
      <c r="B64" s="7" t="s">
        <v>12</v>
      </c>
      <c r="C64" s="3"/>
      <c r="D64" s="3"/>
      <c r="E64" s="4">
        <f t="shared" si="1"/>
        <v>0</v>
      </c>
      <c r="F64" s="3"/>
      <c r="G64" s="3"/>
      <c r="H64" s="3"/>
      <c r="I64" s="3"/>
      <c r="J64" s="3"/>
      <c r="K64" s="3"/>
      <c r="L64" s="3"/>
      <c r="M64" s="5">
        <f t="shared" si="2"/>
        <v>0</v>
      </c>
      <c r="N64" s="28" t="e">
        <f t="shared" si="3"/>
        <v>#DIV/0!</v>
      </c>
      <c r="O64" s="7"/>
      <c r="P64" s="7"/>
      <c r="Q64" s="7"/>
      <c r="R64" s="7"/>
      <c r="S64" s="3"/>
      <c r="T64" s="37">
        <f t="shared" si="0"/>
        <v>0</v>
      </c>
      <c r="U64" s="28" t="e">
        <f t="shared" si="4"/>
        <v>#DIV/0!</v>
      </c>
      <c r="V64" s="59">
        <f t="shared" si="5"/>
        <v>0</v>
      </c>
    </row>
    <row r="65" spans="1:22" ht="21.75" customHeight="1">
      <c r="A65" s="87"/>
      <c r="B65" s="7" t="s">
        <v>13</v>
      </c>
      <c r="C65" s="3"/>
      <c r="D65" s="3"/>
      <c r="E65" s="4">
        <f t="shared" si="1"/>
        <v>0</v>
      </c>
      <c r="F65" s="3"/>
      <c r="G65" s="3"/>
      <c r="H65" s="3"/>
      <c r="I65" s="3"/>
      <c r="J65" s="3"/>
      <c r="K65" s="3"/>
      <c r="L65" s="3"/>
      <c r="M65" s="5">
        <f t="shared" si="2"/>
        <v>0</v>
      </c>
      <c r="N65" s="28" t="e">
        <f t="shared" si="3"/>
        <v>#DIV/0!</v>
      </c>
      <c r="O65" s="7"/>
      <c r="P65" s="7"/>
      <c r="Q65" s="7"/>
      <c r="R65" s="7"/>
      <c r="S65" s="3"/>
      <c r="T65" s="37">
        <f t="shared" si="0"/>
        <v>0</v>
      </c>
      <c r="U65" s="28" t="e">
        <f t="shared" si="4"/>
        <v>#DIV/0!</v>
      </c>
      <c r="V65" s="59">
        <f t="shared" si="5"/>
        <v>0</v>
      </c>
    </row>
    <row r="66" spans="1:22" ht="21.75" customHeight="1">
      <c r="A66" s="87"/>
      <c r="B66" s="7" t="s">
        <v>14</v>
      </c>
      <c r="C66" s="3"/>
      <c r="D66" s="3"/>
      <c r="E66" s="4">
        <f t="shared" si="1"/>
        <v>0</v>
      </c>
      <c r="F66" s="3"/>
      <c r="G66" s="3"/>
      <c r="H66" s="3"/>
      <c r="I66" s="3"/>
      <c r="J66" s="3"/>
      <c r="K66" s="3"/>
      <c r="L66" s="3"/>
      <c r="M66" s="5">
        <f t="shared" si="2"/>
        <v>0</v>
      </c>
      <c r="N66" s="28" t="e">
        <f t="shared" si="3"/>
        <v>#DIV/0!</v>
      </c>
      <c r="O66" s="7"/>
      <c r="P66" s="7"/>
      <c r="Q66" s="7"/>
      <c r="R66" s="7"/>
      <c r="S66" s="3"/>
      <c r="T66" s="37">
        <f t="shared" si="0"/>
        <v>0</v>
      </c>
      <c r="U66" s="28" t="e">
        <f t="shared" si="4"/>
        <v>#DIV/0!</v>
      </c>
      <c r="V66" s="59">
        <f t="shared" si="5"/>
        <v>0</v>
      </c>
    </row>
    <row r="67" spans="1:22" ht="21.75" customHeight="1">
      <c r="A67" s="87">
        <v>20</v>
      </c>
      <c r="B67" s="7" t="s">
        <v>12</v>
      </c>
      <c r="C67" s="3"/>
      <c r="D67" s="3"/>
      <c r="E67" s="4">
        <f t="shared" si="1"/>
        <v>0</v>
      </c>
      <c r="F67" s="3"/>
      <c r="G67" s="3"/>
      <c r="H67" s="3"/>
      <c r="I67" s="3"/>
      <c r="J67" s="3"/>
      <c r="K67" s="3"/>
      <c r="L67" s="3"/>
      <c r="M67" s="5">
        <f t="shared" si="2"/>
        <v>0</v>
      </c>
      <c r="N67" s="28" t="e">
        <f t="shared" si="3"/>
        <v>#DIV/0!</v>
      </c>
      <c r="O67" s="7"/>
      <c r="P67" s="7"/>
      <c r="Q67" s="7"/>
      <c r="R67" s="7"/>
      <c r="S67" s="3"/>
      <c r="T67" s="37">
        <f t="shared" si="0"/>
        <v>0</v>
      </c>
      <c r="U67" s="28" t="e">
        <f t="shared" si="4"/>
        <v>#DIV/0!</v>
      </c>
      <c r="V67" s="59">
        <f t="shared" si="5"/>
        <v>0</v>
      </c>
    </row>
    <row r="68" spans="1:22" ht="21.75" customHeight="1">
      <c r="A68" s="87"/>
      <c r="B68" s="7" t="s">
        <v>13</v>
      </c>
      <c r="C68" s="3"/>
      <c r="D68" s="3"/>
      <c r="E68" s="4">
        <f t="shared" si="1"/>
        <v>0</v>
      </c>
      <c r="F68" s="3"/>
      <c r="G68" s="3"/>
      <c r="H68" s="3"/>
      <c r="I68" s="3"/>
      <c r="J68" s="3"/>
      <c r="K68" s="3"/>
      <c r="L68" s="3"/>
      <c r="M68" s="5">
        <f t="shared" si="2"/>
        <v>0</v>
      </c>
      <c r="N68" s="28" t="e">
        <f t="shared" si="3"/>
        <v>#DIV/0!</v>
      </c>
      <c r="O68" s="7"/>
      <c r="P68" s="7"/>
      <c r="Q68" s="7"/>
      <c r="R68" s="7"/>
      <c r="S68" s="3"/>
      <c r="T68" s="37">
        <f t="shared" si="0"/>
        <v>0</v>
      </c>
      <c r="U68" s="28" t="e">
        <f t="shared" si="4"/>
        <v>#DIV/0!</v>
      </c>
      <c r="V68" s="59">
        <f t="shared" si="5"/>
        <v>0</v>
      </c>
    </row>
    <row r="69" spans="1:22" ht="21.75" customHeight="1">
      <c r="A69" s="87"/>
      <c r="B69" s="7" t="s">
        <v>14</v>
      </c>
      <c r="C69" s="3"/>
      <c r="D69" s="3"/>
      <c r="E69" s="4">
        <f t="shared" si="1"/>
        <v>0</v>
      </c>
      <c r="F69" s="3"/>
      <c r="G69" s="3"/>
      <c r="H69" s="3"/>
      <c r="I69" s="3"/>
      <c r="J69" s="3"/>
      <c r="K69" s="3"/>
      <c r="L69" s="3"/>
      <c r="M69" s="5">
        <f t="shared" si="2"/>
        <v>0</v>
      </c>
      <c r="N69" s="28" t="e">
        <f t="shared" si="3"/>
        <v>#DIV/0!</v>
      </c>
      <c r="O69" s="7"/>
      <c r="P69" s="7"/>
      <c r="Q69" s="7"/>
      <c r="R69" s="7"/>
      <c r="S69" s="3"/>
      <c r="T69" s="37">
        <f t="shared" si="0"/>
        <v>0</v>
      </c>
      <c r="U69" s="28" t="e">
        <f t="shared" si="4"/>
        <v>#DIV/0!</v>
      </c>
      <c r="V69" s="59">
        <f t="shared" si="5"/>
        <v>0</v>
      </c>
    </row>
    <row r="70" spans="1:22" ht="21.75" customHeight="1">
      <c r="A70" s="87">
        <v>21</v>
      </c>
      <c r="B70" s="7" t="s">
        <v>12</v>
      </c>
      <c r="C70" s="3"/>
      <c r="D70" s="3"/>
      <c r="E70" s="4">
        <f t="shared" si="1"/>
        <v>0</v>
      </c>
      <c r="F70" s="3"/>
      <c r="G70" s="3"/>
      <c r="H70" s="3"/>
      <c r="I70" s="3"/>
      <c r="J70" s="3"/>
      <c r="K70" s="3"/>
      <c r="L70" s="3"/>
      <c r="M70" s="5">
        <f t="shared" si="2"/>
        <v>0</v>
      </c>
      <c r="N70" s="28" t="e">
        <f t="shared" si="3"/>
        <v>#DIV/0!</v>
      </c>
      <c r="O70" s="7"/>
      <c r="P70" s="7"/>
      <c r="Q70" s="7"/>
      <c r="R70" s="7"/>
      <c r="S70" s="3"/>
      <c r="T70" s="37">
        <f t="shared" si="0"/>
        <v>0</v>
      </c>
      <c r="U70" s="28" t="e">
        <f t="shared" si="4"/>
        <v>#DIV/0!</v>
      </c>
      <c r="V70" s="59">
        <f t="shared" si="5"/>
        <v>0</v>
      </c>
    </row>
    <row r="71" spans="1:22" ht="21.75" customHeight="1">
      <c r="A71" s="87"/>
      <c r="B71" s="7" t="s">
        <v>13</v>
      </c>
      <c r="C71" s="3"/>
      <c r="D71" s="3"/>
      <c r="E71" s="4">
        <f t="shared" si="1"/>
        <v>0</v>
      </c>
      <c r="F71" s="3"/>
      <c r="G71" s="3"/>
      <c r="H71" s="3"/>
      <c r="I71" s="3"/>
      <c r="J71" s="3"/>
      <c r="K71" s="3"/>
      <c r="L71" s="3"/>
      <c r="M71" s="5">
        <f t="shared" si="2"/>
        <v>0</v>
      </c>
      <c r="N71" s="28" t="e">
        <f t="shared" si="3"/>
        <v>#DIV/0!</v>
      </c>
      <c r="O71" s="7"/>
      <c r="P71" s="7"/>
      <c r="Q71" s="7"/>
      <c r="R71" s="7"/>
      <c r="S71" s="3"/>
      <c r="T71" s="37">
        <f t="shared" si="0"/>
        <v>0</v>
      </c>
      <c r="U71" s="28" t="e">
        <f t="shared" si="4"/>
        <v>#DIV/0!</v>
      </c>
      <c r="V71" s="59">
        <f t="shared" si="5"/>
        <v>0</v>
      </c>
    </row>
    <row r="72" spans="1:22" ht="21.75" customHeight="1">
      <c r="A72" s="87"/>
      <c r="B72" s="7" t="s">
        <v>14</v>
      </c>
      <c r="C72" s="3"/>
      <c r="D72" s="3"/>
      <c r="E72" s="4">
        <f t="shared" si="1"/>
        <v>0</v>
      </c>
      <c r="F72" s="3"/>
      <c r="G72" s="3"/>
      <c r="H72" s="3"/>
      <c r="I72" s="3"/>
      <c r="J72" s="3"/>
      <c r="K72" s="3"/>
      <c r="L72" s="3"/>
      <c r="M72" s="5">
        <f t="shared" si="2"/>
        <v>0</v>
      </c>
      <c r="N72" s="28" t="e">
        <f t="shared" si="3"/>
        <v>#DIV/0!</v>
      </c>
      <c r="O72" s="7"/>
      <c r="P72" s="7"/>
      <c r="Q72" s="7"/>
      <c r="R72" s="7"/>
      <c r="S72" s="3"/>
      <c r="T72" s="37">
        <f t="shared" si="0"/>
        <v>0</v>
      </c>
      <c r="U72" s="28" t="e">
        <f t="shared" si="4"/>
        <v>#DIV/0!</v>
      </c>
      <c r="V72" s="59">
        <f t="shared" si="5"/>
        <v>0</v>
      </c>
    </row>
    <row r="73" spans="1:22" ht="21.75" customHeight="1">
      <c r="A73" s="87">
        <v>22</v>
      </c>
      <c r="B73" s="7" t="s">
        <v>12</v>
      </c>
      <c r="C73" s="3"/>
      <c r="D73" s="3"/>
      <c r="E73" s="4">
        <f t="shared" si="1"/>
        <v>0</v>
      </c>
      <c r="F73" s="3"/>
      <c r="G73" s="3"/>
      <c r="H73" s="3"/>
      <c r="I73" s="3"/>
      <c r="J73" s="3"/>
      <c r="K73" s="3"/>
      <c r="L73" s="3"/>
      <c r="M73" s="5">
        <f t="shared" si="2"/>
        <v>0</v>
      </c>
      <c r="N73" s="28" t="e">
        <f t="shared" si="3"/>
        <v>#DIV/0!</v>
      </c>
      <c r="O73" s="7"/>
      <c r="P73" s="7"/>
      <c r="Q73" s="7"/>
      <c r="R73" s="7"/>
      <c r="S73" s="3"/>
      <c r="T73" s="37">
        <f t="shared" si="0"/>
        <v>0</v>
      </c>
      <c r="U73" s="28" t="e">
        <f t="shared" si="4"/>
        <v>#DIV/0!</v>
      </c>
      <c r="V73" s="59">
        <f t="shared" si="5"/>
        <v>0</v>
      </c>
    </row>
    <row r="74" spans="1:22" ht="21.75" customHeight="1">
      <c r="A74" s="87"/>
      <c r="B74" s="7" t="s">
        <v>13</v>
      </c>
      <c r="C74" s="3"/>
      <c r="D74" s="3"/>
      <c r="E74" s="4">
        <f t="shared" si="1"/>
        <v>0</v>
      </c>
      <c r="F74" s="3"/>
      <c r="G74" s="3"/>
      <c r="H74" s="3"/>
      <c r="I74" s="3"/>
      <c r="J74" s="3"/>
      <c r="K74" s="3"/>
      <c r="L74" s="3"/>
      <c r="M74" s="5">
        <f t="shared" si="2"/>
        <v>0</v>
      </c>
      <c r="N74" s="28" t="e">
        <f t="shared" si="3"/>
        <v>#DIV/0!</v>
      </c>
      <c r="O74" s="7"/>
      <c r="P74" s="7"/>
      <c r="Q74" s="7"/>
      <c r="R74" s="7"/>
      <c r="S74" s="3"/>
      <c r="T74" s="37">
        <f t="shared" ref="T74:T106" si="6">SUM(O74:S74)</f>
        <v>0</v>
      </c>
      <c r="U74" s="28" t="e">
        <f t="shared" si="4"/>
        <v>#DIV/0!</v>
      </c>
      <c r="V74" s="59">
        <f t="shared" si="5"/>
        <v>0</v>
      </c>
    </row>
    <row r="75" spans="1:22" ht="21.75" customHeight="1">
      <c r="A75" s="87"/>
      <c r="B75" s="7" t="s">
        <v>14</v>
      </c>
      <c r="C75" s="3"/>
      <c r="D75" s="3"/>
      <c r="E75" s="4">
        <f t="shared" ref="E75:E102" si="7">((($B$3*C75)+(12*D75))*$E$4)/7</f>
        <v>0</v>
      </c>
      <c r="F75" s="3"/>
      <c r="G75" s="3"/>
      <c r="H75" s="3"/>
      <c r="I75" s="3"/>
      <c r="J75" s="3"/>
      <c r="K75" s="3"/>
      <c r="L75" s="3"/>
      <c r="M75" s="5">
        <f t="shared" ref="M75:M106" si="8">(F75+G75+H75+L75)-E75</f>
        <v>0</v>
      </c>
      <c r="N75" s="28" t="e">
        <f t="shared" ref="N75:N105" si="9">(((C75*4.5)+(12*D75))*$E$4)/((F75+G75+H75+I75+J75+K75+L75)*7)*100</f>
        <v>#DIV/0!</v>
      </c>
      <c r="O75" s="7"/>
      <c r="P75" s="7"/>
      <c r="Q75" s="7"/>
      <c r="R75" s="7"/>
      <c r="S75" s="3"/>
      <c r="T75" s="37">
        <f t="shared" si="6"/>
        <v>0</v>
      </c>
      <c r="U75" s="28" t="e">
        <f t="shared" ref="U75:U106" si="10">((((O75*1.5+(P75*3.5)+(Q75*5.5)+(R75*7.5)+(S75*12)))/3)/((F75+G75+H75+I75+J75+K75+L75)*7))*100</f>
        <v>#DIV/0!</v>
      </c>
      <c r="V75" s="59">
        <f t="shared" ref="V75:V106" si="11">C75+D75-T75</f>
        <v>0</v>
      </c>
    </row>
    <row r="76" spans="1:22" ht="21.75" customHeight="1">
      <c r="A76" s="87">
        <v>23</v>
      </c>
      <c r="B76" s="7" t="s">
        <v>12</v>
      </c>
      <c r="C76" s="3"/>
      <c r="D76" s="3"/>
      <c r="E76" s="4">
        <f t="shared" si="7"/>
        <v>0</v>
      </c>
      <c r="F76" s="3"/>
      <c r="G76" s="3"/>
      <c r="H76" s="3"/>
      <c r="I76" s="3"/>
      <c r="J76" s="3"/>
      <c r="K76" s="3"/>
      <c r="L76" s="3"/>
      <c r="M76" s="5">
        <f t="shared" si="8"/>
        <v>0</v>
      </c>
      <c r="N76" s="28" t="e">
        <f t="shared" si="9"/>
        <v>#DIV/0!</v>
      </c>
      <c r="O76" s="7"/>
      <c r="P76" s="7"/>
      <c r="Q76" s="7"/>
      <c r="R76" s="7"/>
      <c r="S76" s="3"/>
      <c r="T76" s="37">
        <f t="shared" si="6"/>
        <v>0</v>
      </c>
      <c r="U76" s="28" t="e">
        <f t="shared" si="10"/>
        <v>#DIV/0!</v>
      </c>
      <c r="V76" s="59">
        <f t="shared" si="11"/>
        <v>0</v>
      </c>
    </row>
    <row r="77" spans="1:22" ht="21.75" customHeight="1">
      <c r="A77" s="87"/>
      <c r="B77" s="7" t="s">
        <v>13</v>
      </c>
      <c r="C77" s="3"/>
      <c r="D77" s="3"/>
      <c r="E77" s="4">
        <f t="shared" si="7"/>
        <v>0</v>
      </c>
      <c r="F77" s="3"/>
      <c r="G77" s="3"/>
      <c r="H77" s="3"/>
      <c r="I77" s="3"/>
      <c r="J77" s="3"/>
      <c r="K77" s="3"/>
      <c r="L77" s="3"/>
      <c r="M77" s="5">
        <f t="shared" si="8"/>
        <v>0</v>
      </c>
      <c r="N77" s="28" t="e">
        <f t="shared" si="9"/>
        <v>#DIV/0!</v>
      </c>
      <c r="O77" s="7"/>
      <c r="P77" s="7"/>
      <c r="Q77" s="7"/>
      <c r="R77" s="7"/>
      <c r="S77" s="3"/>
      <c r="T77" s="37">
        <f t="shared" si="6"/>
        <v>0</v>
      </c>
      <c r="U77" s="28" t="e">
        <f t="shared" si="10"/>
        <v>#DIV/0!</v>
      </c>
      <c r="V77" s="59">
        <f t="shared" si="11"/>
        <v>0</v>
      </c>
    </row>
    <row r="78" spans="1:22" ht="21.75" customHeight="1">
      <c r="A78" s="87"/>
      <c r="B78" s="7" t="s">
        <v>14</v>
      </c>
      <c r="C78" s="3"/>
      <c r="D78" s="3"/>
      <c r="E78" s="4">
        <f t="shared" si="7"/>
        <v>0</v>
      </c>
      <c r="F78" s="3"/>
      <c r="G78" s="3"/>
      <c r="H78" s="3"/>
      <c r="I78" s="3"/>
      <c r="J78" s="3"/>
      <c r="K78" s="3"/>
      <c r="L78" s="3"/>
      <c r="M78" s="5">
        <f t="shared" si="8"/>
        <v>0</v>
      </c>
      <c r="N78" s="28" t="e">
        <f t="shared" si="9"/>
        <v>#DIV/0!</v>
      </c>
      <c r="O78" s="7"/>
      <c r="P78" s="7"/>
      <c r="Q78" s="7"/>
      <c r="R78" s="7"/>
      <c r="S78" s="3"/>
      <c r="T78" s="37">
        <f t="shared" si="6"/>
        <v>0</v>
      </c>
      <c r="U78" s="28" t="e">
        <f t="shared" si="10"/>
        <v>#DIV/0!</v>
      </c>
      <c r="V78" s="59">
        <f t="shared" si="11"/>
        <v>0</v>
      </c>
    </row>
    <row r="79" spans="1:22" ht="21.75" customHeight="1">
      <c r="A79" s="87">
        <v>24</v>
      </c>
      <c r="B79" s="7" t="s">
        <v>12</v>
      </c>
      <c r="C79" s="3"/>
      <c r="D79" s="3"/>
      <c r="E79" s="4">
        <f t="shared" si="7"/>
        <v>0</v>
      </c>
      <c r="F79" s="3"/>
      <c r="G79" s="3"/>
      <c r="H79" s="3"/>
      <c r="I79" s="3"/>
      <c r="J79" s="3"/>
      <c r="K79" s="3"/>
      <c r="L79" s="3"/>
      <c r="M79" s="5">
        <f t="shared" si="8"/>
        <v>0</v>
      </c>
      <c r="N79" s="28" t="e">
        <f t="shared" si="9"/>
        <v>#DIV/0!</v>
      </c>
      <c r="O79" s="7"/>
      <c r="P79" s="7"/>
      <c r="Q79" s="7"/>
      <c r="R79" s="7"/>
      <c r="S79" s="3"/>
      <c r="T79" s="37">
        <f t="shared" si="6"/>
        <v>0</v>
      </c>
      <c r="U79" s="28" t="e">
        <f t="shared" si="10"/>
        <v>#DIV/0!</v>
      </c>
      <c r="V79" s="59">
        <f t="shared" si="11"/>
        <v>0</v>
      </c>
    </row>
    <row r="80" spans="1:22" ht="21.75" customHeight="1">
      <c r="A80" s="87"/>
      <c r="B80" s="7" t="s">
        <v>13</v>
      </c>
      <c r="C80" s="3"/>
      <c r="D80" s="3"/>
      <c r="E80" s="4">
        <f t="shared" si="7"/>
        <v>0</v>
      </c>
      <c r="F80" s="3"/>
      <c r="G80" s="3"/>
      <c r="H80" s="3"/>
      <c r="I80" s="3"/>
      <c r="J80" s="3"/>
      <c r="K80" s="3"/>
      <c r="L80" s="3"/>
      <c r="M80" s="5">
        <f t="shared" si="8"/>
        <v>0</v>
      </c>
      <c r="N80" s="28" t="e">
        <f t="shared" si="9"/>
        <v>#DIV/0!</v>
      </c>
      <c r="O80" s="7"/>
      <c r="P80" s="7"/>
      <c r="Q80" s="7"/>
      <c r="R80" s="7"/>
      <c r="S80" s="3"/>
      <c r="T80" s="37">
        <f t="shared" si="6"/>
        <v>0</v>
      </c>
      <c r="U80" s="28" t="e">
        <f t="shared" si="10"/>
        <v>#DIV/0!</v>
      </c>
      <c r="V80" s="59">
        <f t="shared" si="11"/>
        <v>0</v>
      </c>
    </row>
    <row r="81" spans="1:22" ht="21.75" customHeight="1">
      <c r="A81" s="87"/>
      <c r="B81" s="7" t="s">
        <v>14</v>
      </c>
      <c r="C81" s="3"/>
      <c r="D81" s="3"/>
      <c r="E81" s="4">
        <f t="shared" si="7"/>
        <v>0</v>
      </c>
      <c r="F81" s="3"/>
      <c r="G81" s="3"/>
      <c r="H81" s="3"/>
      <c r="I81" s="3"/>
      <c r="J81" s="3"/>
      <c r="K81" s="3"/>
      <c r="L81" s="3"/>
      <c r="M81" s="5">
        <f t="shared" si="8"/>
        <v>0</v>
      </c>
      <c r="N81" s="28" t="e">
        <f t="shared" si="9"/>
        <v>#DIV/0!</v>
      </c>
      <c r="O81" s="7"/>
      <c r="P81" s="7"/>
      <c r="Q81" s="7"/>
      <c r="R81" s="7"/>
      <c r="S81" s="3"/>
      <c r="T81" s="37">
        <f t="shared" si="6"/>
        <v>0</v>
      </c>
      <c r="U81" s="28" t="e">
        <f t="shared" si="10"/>
        <v>#DIV/0!</v>
      </c>
      <c r="V81" s="59">
        <f t="shared" si="11"/>
        <v>0</v>
      </c>
    </row>
    <row r="82" spans="1:22" ht="21.75" customHeight="1">
      <c r="A82" s="87">
        <v>25</v>
      </c>
      <c r="B82" s="7" t="s">
        <v>12</v>
      </c>
      <c r="C82" s="3"/>
      <c r="D82" s="3"/>
      <c r="E82" s="4">
        <f t="shared" si="7"/>
        <v>0</v>
      </c>
      <c r="F82" s="3"/>
      <c r="G82" s="3"/>
      <c r="H82" s="3"/>
      <c r="I82" s="3"/>
      <c r="J82" s="3"/>
      <c r="K82" s="3"/>
      <c r="L82" s="3"/>
      <c r="M82" s="5">
        <f t="shared" si="8"/>
        <v>0</v>
      </c>
      <c r="N82" s="28" t="e">
        <f t="shared" si="9"/>
        <v>#DIV/0!</v>
      </c>
      <c r="O82" s="7"/>
      <c r="P82" s="7"/>
      <c r="Q82" s="7"/>
      <c r="R82" s="7"/>
      <c r="S82" s="3"/>
      <c r="T82" s="37">
        <f t="shared" si="6"/>
        <v>0</v>
      </c>
      <c r="U82" s="28" t="e">
        <f t="shared" si="10"/>
        <v>#DIV/0!</v>
      </c>
      <c r="V82" s="59">
        <f t="shared" si="11"/>
        <v>0</v>
      </c>
    </row>
    <row r="83" spans="1:22" ht="21.75" customHeight="1">
      <c r="A83" s="87"/>
      <c r="B83" s="7" t="s">
        <v>13</v>
      </c>
      <c r="C83" s="3"/>
      <c r="D83" s="3"/>
      <c r="E83" s="4">
        <f t="shared" si="7"/>
        <v>0</v>
      </c>
      <c r="F83" s="3"/>
      <c r="G83" s="3"/>
      <c r="H83" s="3"/>
      <c r="I83" s="3"/>
      <c r="J83" s="3"/>
      <c r="K83" s="3"/>
      <c r="L83" s="3"/>
      <c r="M83" s="5">
        <f t="shared" si="8"/>
        <v>0</v>
      </c>
      <c r="N83" s="28" t="e">
        <f t="shared" si="9"/>
        <v>#DIV/0!</v>
      </c>
      <c r="O83" s="7"/>
      <c r="P83" s="7"/>
      <c r="Q83" s="7"/>
      <c r="R83" s="7"/>
      <c r="S83" s="3"/>
      <c r="T83" s="37">
        <f t="shared" si="6"/>
        <v>0</v>
      </c>
      <c r="U83" s="28" t="e">
        <f t="shared" si="10"/>
        <v>#DIV/0!</v>
      </c>
      <c r="V83" s="59">
        <f t="shared" si="11"/>
        <v>0</v>
      </c>
    </row>
    <row r="84" spans="1:22" ht="21.75" customHeight="1">
      <c r="A84" s="87"/>
      <c r="B84" s="7" t="s">
        <v>14</v>
      </c>
      <c r="C84" s="3"/>
      <c r="D84" s="3"/>
      <c r="E84" s="4">
        <f t="shared" si="7"/>
        <v>0</v>
      </c>
      <c r="F84" s="3"/>
      <c r="G84" s="3"/>
      <c r="H84" s="3"/>
      <c r="I84" s="3"/>
      <c r="J84" s="3"/>
      <c r="K84" s="3"/>
      <c r="L84" s="3"/>
      <c r="M84" s="5">
        <f t="shared" si="8"/>
        <v>0</v>
      </c>
      <c r="N84" s="28" t="e">
        <f t="shared" si="9"/>
        <v>#DIV/0!</v>
      </c>
      <c r="O84" s="7"/>
      <c r="P84" s="7"/>
      <c r="Q84" s="7"/>
      <c r="R84" s="7"/>
      <c r="S84" s="3"/>
      <c r="T84" s="37">
        <f t="shared" si="6"/>
        <v>0</v>
      </c>
      <c r="U84" s="28" t="e">
        <f t="shared" si="10"/>
        <v>#DIV/0!</v>
      </c>
      <c r="V84" s="59">
        <f t="shared" si="11"/>
        <v>0</v>
      </c>
    </row>
    <row r="85" spans="1:22" ht="21.75" customHeight="1">
      <c r="A85" s="87">
        <v>26</v>
      </c>
      <c r="B85" s="7" t="s">
        <v>12</v>
      </c>
      <c r="C85" s="3"/>
      <c r="D85" s="3"/>
      <c r="E85" s="4">
        <f t="shared" si="7"/>
        <v>0</v>
      </c>
      <c r="F85" s="3"/>
      <c r="G85" s="3"/>
      <c r="H85" s="3"/>
      <c r="I85" s="3"/>
      <c r="J85" s="3"/>
      <c r="K85" s="3"/>
      <c r="L85" s="3"/>
      <c r="M85" s="5">
        <f t="shared" si="8"/>
        <v>0</v>
      </c>
      <c r="N85" s="28" t="e">
        <f t="shared" si="9"/>
        <v>#DIV/0!</v>
      </c>
      <c r="O85" s="7"/>
      <c r="P85" s="7"/>
      <c r="Q85" s="7"/>
      <c r="R85" s="7"/>
      <c r="S85" s="3"/>
      <c r="T85" s="37">
        <f t="shared" si="6"/>
        <v>0</v>
      </c>
      <c r="U85" s="28" t="e">
        <f t="shared" si="10"/>
        <v>#DIV/0!</v>
      </c>
      <c r="V85" s="59">
        <f t="shared" si="11"/>
        <v>0</v>
      </c>
    </row>
    <row r="86" spans="1:22" ht="21.75" customHeight="1">
      <c r="A86" s="87"/>
      <c r="B86" s="7" t="s">
        <v>13</v>
      </c>
      <c r="C86" s="3"/>
      <c r="D86" s="3"/>
      <c r="E86" s="4">
        <f t="shared" si="7"/>
        <v>0</v>
      </c>
      <c r="F86" s="3"/>
      <c r="G86" s="3"/>
      <c r="H86" s="3"/>
      <c r="I86" s="3"/>
      <c r="J86" s="3"/>
      <c r="K86" s="3"/>
      <c r="L86" s="3"/>
      <c r="M86" s="5">
        <f t="shared" si="8"/>
        <v>0</v>
      </c>
      <c r="N86" s="28" t="e">
        <f t="shared" si="9"/>
        <v>#DIV/0!</v>
      </c>
      <c r="O86" s="7"/>
      <c r="P86" s="7"/>
      <c r="Q86" s="7"/>
      <c r="R86" s="7"/>
      <c r="S86" s="3"/>
      <c r="T86" s="37">
        <f t="shared" si="6"/>
        <v>0</v>
      </c>
      <c r="U86" s="28" t="e">
        <f t="shared" si="10"/>
        <v>#DIV/0!</v>
      </c>
      <c r="V86" s="59">
        <f t="shared" si="11"/>
        <v>0</v>
      </c>
    </row>
    <row r="87" spans="1:22" ht="21.75" customHeight="1">
      <c r="A87" s="87"/>
      <c r="B87" s="7" t="s">
        <v>14</v>
      </c>
      <c r="C87" s="3"/>
      <c r="D87" s="3"/>
      <c r="E87" s="4">
        <f t="shared" si="7"/>
        <v>0</v>
      </c>
      <c r="F87" s="3"/>
      <c r="G87" s="3"/>
      <c r="H87" s="3"/>
      <c r="I87" s="3"/>
      <c r="J87" s="3"/>
      <c r="K87" s="3"/>
      <c r="L87" s="3"/>
      <c r="M87" s="5">
        <f t="shared" si="8"/>
        <v>0</v>
      </c>
      <c r="N87" s="28" t="e">
        <f t="shared" si="9"/>
        <v>#DIV/0!</v>
      </c>
      <c r="O87" s="7"/>
      <c r="P87" s="7"/>
      <c r="Q87" s="7"/>
      <c r="R87" s="7"/>
      <c r="S87" s="3"/>
      <c r="T87" s="37">
        <f t="shared" si="6"/>
        <v>0</v>
      </c>
      <c r="U87" s="28" t="e">
        <f t="shared" si="10"/>
        <v>#DIV/0!</v>
      </c>
      <c r="V87" s="59">
        <f t="shared" si="11"/>
        <v>0</v>
      </c>
    </row>
    <row r="88" spans="1:22" ht="21.75" customHeight="1">
      <c r="A88" s="87">
        <v>27</v>
      </c>
      <c r="B88" s="7" t="s">
        <v>12</v>
      </c>
      <c r="C88" s="3"/>
      <c r="D88" s="3"/>
      <c r="E88" s="4">
        <f t="shared" si="7"/>
        <v>0</v>
      </c>
      <c r="F88" s="3"/>
      <c r="G88" s="3"/>
      <c r="H88" s="3"/>
      <c r="I88" s="3"/>
      <c r="J88" s="3"/>
      <c r="K88" s="3"/>
      <c r="L88" s="3"/>
      <c r="M88" s="5">
        <f t="shared" si="8"/>
        <v>0</v>
      </c>
      <c r="N88" s="28" t="e">
        <f t="shared" si="9"/>
        <v>#DIV/0!</v>
      </c>
      <c r="O88" s="7"/>
      <c r="P88" s="7"/>
      <c r="Q88" s="7"/>
      <c r="R88" s="7"/>
      <c r="S88" s="3"/>
      <c r="T88" s="37">
        <f t="shared" si="6"/>
        <v>0</v>
      </c>
      <c r="U88" s="28" t="e">
        <f t="shared" si="10"/>
        <v>#DIV/0!</v>
      </c>
      <c r="V88" s="59">
        <f t="shared" si="11"/>
        <v>0</v>
      </c>
    </row>
    <row r="89" spans="1:22" ht="21.75" customHeight="1">
      <c r="A89" s="87"/>
      <c r="B89" s="7" t="s">
        <v>13</v>
      </c>
      <c r="C89" s="3"/>
      <c r="D89" s="3"/>
      <c r="E89" s="4">
        <f t="shared" si="7"/>
        <v>0</v>
      </c>
      <c r="F89" s="3"/>
      <c r="G89" s="3"/>
      <c r="H89" s="3"/>
      <c r="I89" s="3"/>
      <c r="J89" s="3"/>
      <c r="K89" s="3"/>
      <c r="L89" s="3"/>
      <c r="M89" s="5">
        <f t="shared" si="8"/>
        <v>0</v>
      </c>
      <c r="N89" s="28" t="e">
        <f t="shared" si="9"/>
        <v>#DIV/0!</v>
      </c>
      <c r="O89" s="7"/>
      <c r="P89" s="7"/>
      <c r="Q89" s="7"/>
      <c r="R89" s="7"/>
      <c r="S89" s="3"/>
      <c r="T89" s="37">
        <f t="shared" si="6"/>
        <v>0</v>
      </c>
      <c r="U89" s="28" t="e">
        <f t="shared" si="10"/>
        <v>#DIV/0!</v>
      </c>
      <c r="V89" s="59">
        <f t="shared" si="11"/>
        <v>0</v>
      </c>
    </row>
    <row r="90" spans="1:22" ht="21.75" customHeight="1">
      <c r="A90" s="87"/>
      <c r="B90" s="7" t="s">
        <v>14</v>
      </c>
      <c r="C90" s="3"/>
      <c r="D90" s="3"/>
      <c r="E90" s="4">
        <f t="shared" si="7"/>
        <v>0</v>
      </c>
      <c r="F90" s="3"/>
      <c r="G90" s="3"/>
      <c r="H90" s="3"/>
      <c r="I90" s="3"/>
      <c r="J90" s="3"/>
      <c r="K90" s="3"/>
      <c r="L90" s="3"/>
      <c r="M90" s="5">
        <f t="shared" si="8"/>
        <v>0</v>
      </c>
      <c r="N90" s="28" t="e">
        <f t="shared" si="9"/>
        <v>#DIV/0!</v>
      </c>
      <c r="O90" s="7"/>
      <c r="P90" s="7"/>
      <c r="Q90" s="7"/>
      <c r="R90" s="7"/>
      <c r="S90" s="3"/>
      <c r="T90" s="37">
        <f t="shared" si="6"/>
        <v>0</v>
      </c>
      <c r="U90" s="28" t="e">
        <f t="shared" si="10"/>
        <v>#DIV/0!</v>
      </c>
      <c r="V90" s="59">
        <f t="shared" si="11"/>
        <v>0</v>
      </c>
    </row>
    <row r="91" spans="1:22" ht="21.75" customHeight="1">
      <c r="A91" s="87">
        <v>28</v>
      </c>
      <c r="B91" s="7" t="s">
        <v>12</v>
      </c>
      <c r="C91" s="3"/>
      <c r="D91" s="3"/>
      <c r="E91" s="4">
        <f t="shared" si="7"/>
        <v>0</v>
      </c>
      <c r="F91" s="3"/>
      <c r="G91" s="3"/>
      <c r="H91" s="3"/>
      <c r="I91" s="3"/>
      <c r="J91" s="3"/>
      <c r="K91" s="3"/>
      <c r="L91" s="3"/>
      <c r="M91" s="5">
        <f t="shared" si="8"/>
        <v>0</v>
      </c>
      <c r="N91" s="28" t="e">
        <f t="shared" si="9"/>
        <v>#DIV/0!</v>
      </c>
      <c r="O91" s="7"/>
      <c r="P91" s="7"/>
      <c r="Q91" s="7"/>
      <c r="R91" s="7"/>
      <c r="S91" s="3"/>
      <c r="T91" s="37">
        <f t="shared" si="6"/>
        <v>0</v>
      </c>
      <c r="U91" s="28" t="e">
        <f t="shared" si="10"/>
        <v>#DIV/0!</v>
      </c>
      <c r="V91" s="59">
        <f t="shared" si="11"/>
        <v>0</v>
      </c>
    </row>
    <row r="92" spans="1:22" ht="21.75" customHeight="1">
      <c r="A92" s="87"/>
      <c r="B92" s="7" t="s">
        <v>13</v>
      </c>
      <c r="C92" s="3"/>
      <c r="D92" s="3"/>
      <c r="E92" s="4">
        <f t="shared" si="7"/>
        <v>0</v>
      </c>
      <c r="F92" s="3"/>
      <c r="G92" s="3"/>
      <c r="H92" s="3"/>
      <c r="I92" s="3"/>
      <c r="J92" s="3"/>
      <c r="K92" s="3"/>
      <c r="L92" s="3"/>
      <c r="M92" s="5">
        <f t="shared" si="8"/>
        <v>0</v>
      </c>
      <c r="N92" s="28" t="e">
        <f t="shared" si="9"/>
        <v>#DIV/0!</v>
      </c>
      <c r="O92" s="7"/>
      <c r="P92" s="7"/>
      <c r="Q92" s="7"/>
      <c r="R92" s="7"/>
      <c r="S92" s="3"/>
      <c r="T92" s="37">
        <f t="shared" si="6"/>
        <v>0</v>
      </c>
      <c r="U92" s="28" t="e">
        <f t="shared" si="10"/>
        <v>#DIV/0!</v>
      </c>
      <c r="V92" s="59">
        <f t="shared" si="11"/>
        <v>0</v>
      </c>
    </row>
    <row r="93" spans="1:22" ht="21.75" customHeight="1">
      <c r="A93" s="87"/>
      <c r="B93" s="7" t="s">
        <v>14</v>
      </c>
      <c r="C93" s="3"/>
      <c r="D93" s="3"/>
      <c r="E93" s="4">
        <f t="shared" si="7"/>
        <v>0</v>
      </c>
      <c r="F93" s="3"/>
      <c r="G93" s="3"/>
      <c r="H93" s="3"/>
      <c r="I93" s="3"/>
      <c r="J93" s="3"/>
      <c r="K93" s="3"/>
      <c r="L93" s="3"/>
      <c r="M93" s="5">
        <f t="shared" si="8"/>
        <v>0</v>
      </c>
      <c r="N93" s="28" t="e">
        <f t="shared" si="9"/>
        <v>#DIV/0!</v>
      </c>
      <c r="O93" s="7"/>
      <c r="P93" s="7"/>
      <c r="Q93" s="7"/>
      <c r="R93" s="7"/>
      <c r="S93" s="3"/>
      <c r="T93" s="37">
        <f t="shared" si="6"/>
        <v>0</v>
      </c>
      <c r="U93" s="28" t="e">
        <f t="shared" si="10"/>
        <v>#DIV/0!</v>
      </c>
      <c r="V93" s="59">
        <f t="shared" si="11"/>
        <v>0</v>
      </c>
    </row>
    <row r="94" spans="1:22" ht="21.75" customHeight="1">
      <c r="A94" s="87">
        <v>29</v>
      </c>
      <c r="B94" s="7" t="s">
        <v>12</v>
      </c>
      <c r="C94" s="3"/>
      <c r="D94" s="3"/>
      <c r="E94" s="4">
        <f t="shared" si="7"/>
        <v>0</v>
      </c>
      <c r="F94" s="3"/>
      <c r="G94" s="3"/>
      <c r="H94" s="3"/>
      <c r="I94" s="3"/>
      <c r="J94" s="3"/>
      <c r="K94" s="3"/>
      <c r="L94" s="3"/>
      <c r="M94" s="5">
        <f t="shared" si="8"/>
        <v>0</v>
      </c>
      <c r="N94" s="28" t="e">
        <f t="shared" si="9"/>
        <v>#DIV/0!</v>
      </c>
      <c r="O94" s="7"/>
      <c r="P94" s="7"/>
      <c r="Q94" s="7"/>
      <c r="R94" s="7"/>
      <c r="S94" s="3"/>
      <c r="T94" s="37">
        <f t="shared" si="6"/>
        <v>0</v>
      </c>
      <c r="U94" s="28" t="e">
        <f t="shared" si="10"/>
        <v>#DIV/0!</v>
      </c>
      <c r="V94" s="59">
        <f t="shared" si="11"/>
        <v>0</v>
      </c>
    </row>
    <row r="95" spans="1:22" ht="21.75" customHeight="1">
      <c r="A95" s="87"/>
      <c r="B95" s="7" t="s">
        <v>13</v>
      </c>
      <c r="C95" s="3"/>
      <c r="D95" s="3"/>
      <c r="E95" s="4">
        <f t="shared" si="7"/>
        <v>0</v>
      </c>
      <c r="F95" s="3"/>
      <c r="G95" s="3"/>
      <c r="H95" s="3"/>
      <c r="I95" s="3"/>
      <c r="J95" s="3"/>
      <c r="K95" s="3"/>
      <c r="L95" s="3"/>
      <c r="M95" s="5">
        <f t="shared" si="8"/>
        <v>0</v>
      </c>
      <c r="N95" s="28" t="e">
        <f t="shared" si="9"/>
        <v>#DIV/0!</v>
      </c>
      <c r="O95" s="7"/>
      <c r="P95" s="7"/>
      <c r="Q95" s="7"/>
      <c r="R95" s="7"/>
      <c r="S95" s="3"/>
      <c r="T95" s="37">
        <f t="shared" si="6"/>
        <v>0</v>
      </c>
      <c r="U95" s="28" t="e">
        <f t="shared" si="10"/>
        <v>#DIV/0!</v>
      </c>
      <c r="V95" s="59">
        <f t="shared" si="11"/>
        <v>0</v>
      </c>
    </row>
    <row r="96" spans="1:22" ht="21.75" customHeight="1">
      <c r="A96" s="87"/>
      <c r="B96" s="7" t="s">
        <v>14</v>
      </c>
      <c r="C96" s="3"/>
      <c r="D96" s="3"/>
      <c r="E96" s="4">
        <f t="shared" si="7"/>
        <v>0</v>
      </c>
      <c r="F96" s="3"/>
      <c r="G96" s="3"/>
      <c r="H96" s="3"/>
      <c r="I96" s="3"/>
      <c r="J96" s="3"/>
      <c r="K96" s="3"/>
      <c r="L96" s="3"/>
      <c r="M96" s="5">
        <f t="shared" si="8"/>
        <v>0</v>
      </c>
      <c r="N96" s="28" t="e">
        <f t="shared" si="9"/>
        <v>#DIV/0!</v>
      </c>
      <c r="O96" s="7"/>
      <c r="P96" s="7"/>
      <c r="Q96" s="7"/>
      <c r="R96" s="7"/>
      <c r="S96" s="3"/>
      <c r="T96" s="37">
        <f t="shared" si="6"/>
        <v>0</v>
      </c>
      <c r="U96" s="28" t="e">
        <f t="shared" si="10"/>
        <v>#DIV/0!</v>
      </c>
      <c r="V96" s="59">
        <f t="shared" si="11"/>
        <v>0</v>
      </c>
    </row>
    <row r="97" spans="1:26" ht="21.75" customHeight="1">
      <c r="A97" s="87">
        <v>30</v>
      </c>
      <c r="B97" s="7" t="s">
        <v>12</v>
      </c>
      <c r="C97" s="3"/>
      <c r="D97" s="3"/>
      <c r="E97" s="4">
        <f t="shared" si="7"/>
        <v>0</v>
      </c>
      <c r="F97" s="3"/>
      <c r="G97" s="3"/>
      <c r="H97" s="3"/>
      <c r="I97" s="3"/>
      <c r="J97" s="3"/>
      <c r="K97" s="3"/>
      <c r="L97" s="3"/>
      <c r="M97" s="5">
        <f t="shared" si="8"/>
        <v>0</v>
      </c>
      <c r="N97" s="28" t="e">
        <f t="shared" si="9"/>
        <v>#DIV/0!</v>
      </c>
      <c r="O97" s="7"/>
      <c r="P97" s="7"/>
      <c r="Q97" s="7"/>
      <c r="R97" s="7"/>
      <c r="S97" s="3"/>
      <c r="T97" s="37">
        <f t="shared" si="6"/>
        <v>0</v>
      </c>
      <c r="U97" s="28" t="e">
        <f t="shared" si="10"/>
        <v>#DIV/0!</v>
      </c>
      <c r="V97" s="59">
        <f t="shared" si="11"/>
        <v>0</v>
      </c>
    </row>
    <row r="98" spans="1:26" ht="21.75" customHeight="1">
      <c r="A98" s="87"/>
      <c r="B98" s="7" t="s">
        <v>13</v>
      </c>
      <c r="C98" s="3"/>
      <c r="D98" s="3"/>
      <c r="E98" s="4">
        <f t="shared" si="7"/>
        <v>0</v>
      </c>
      <c r="F98" s="3"/>
      <c r="G98" s="3"/>
      <c r="H98" s="3"/>
      <c r="I98" s="3"/>
      <c r="J98" s="3"/>
      <c r="K98" s="3"/>
      <c r="L98" s="3"/>
      <c r="M98" s="5">
        <f t="shared" si="8"/>
        <v>0</v>
      </c>
      <c r="N98" s="28" t="e">
        <f t="shared" si="9"/>
        <v>#DIV/0!</v>
      </c>
      <c r="O98" s="7"/>
      <c r="P98" s="7"/>
      <c r="Q98" s="7"/>
      <c r="R98" s="7"/>
      <c r="S98" s="3"/>
      <c r="T98" s="37">
        <f t="shared" si="6"/>
        <v>0</v>
      </c>
      <c r="U98" s="28" t="e">
        <f t="shared" si="10"/>
        <v>#DIV/0!</v>
      </c>
      <c r="V98" s="59">
        <f t="shared" si="11"/>
        <v>0</v>
      </c>
    </row>
    <row r="99" spans="1:26" ht="21.75" customHeight="1">
      <c r="A99" s="87"/>
      <c r="B99" s="7" t="s">
        <v>14</v>
      </c>
      <c r="C99" s="3"/>
      <c r="D99" s="3"/>
      <c r="E99" s="4">
        <f t="shared" si="7"/>
        <v>0</v>
      </c>
      <c r="F99" s="3"/>
      <c r="G99" s="3"/>
      <c r="H99" s="3"/>
      <c r="I99" s="3"/>
      <c r="J99" s="3"/>
      <c r="K99" s="3"/>
      <c r="L99" s="3"/>
      <c r="M99" s="5">
        <f t="shared" si="8"/>
        <v>0</v>
      </c>
      <c r="N99" s="28" t="e">
        <f t="shared" si="9"/>
        <v>#DIV/0!</v>
      </c>
      <c r="O99" s="7"/>
      <c r="P99" s="7"/>
      <c r="Q99" s="7"/>
      <c r="R99" s="7"/>
      <c r="S99" s="3"/>
      <c r="T99" s="37">
        <f t="shared" si="6"/>
        <v>0</v>
      </c>
      <c r="U99" s="28" t="e">
        <f t="shared" si="10"/>
        <v>#DIV/0!</v>
      </c>
      <c r="V99" s="59">
        <f t="shared" si="11"/>
        <v>0</v>
      </c>
      <c r="Z99" s="2" t="s">
        <v>75</v>
      </c>
    </row>
    <row r="100" spans="1:26" ht="21.75" customHeight="1">
      <c r="A100" s="87">
        <v>31</v>
      </c>
      <c r="B100" s="7" t="s">
        <v>12</v>
      </c>
      <c r="C100" s="3"/>
      <c r="D100" s="3"/>
      <c r="E100" s="4">
        <f t="shared" si="7"/>
        <v>0</v>
      </c>
      <c r="F100" s="3"/>
      <c r="G100" s="3"/>
      <c r="H100" s="3"/>
      <c r="I100" s="3"/>
      <c r="J100" s="3"/>
      <c r="K100" s="3"/>
      <c r="L100" s="3"/>
      <c r="M100" s="5">
        <f t="shared" si="8"/>
        <v>0</v>
      </c>
      <c r="N100" s="28" t="e">
        <f t="shared" si="9"/>
        <v>#DIV/0!</v>
      </c>
      <c r="O100" s="7"/>
      <c r="P100" s="7"/>
      <c r="Q100" s="7"/>
      <c r="R100" s="7"/>
      <c r="S100" s="3"/>
      <c r="T100" s="37">
        <f t="shared" si="6"/>
        <v>0</v>
      </c>
      <c r="U100" s="28" t="e">
        <f t="shared" si="10"/>
        <v>#DIV/0!</v>
      </c>
      <c r="V100" s="59">
        <f t="shared" si="11"/>
        <v>0</v>
      </c>
    </row>
    <row r="101" spans="1:26" ht="21.75" customHeight="1">
      <c r="A101" s="87"/>
      <c r="B101" s="7" t="s">
        <v>13</v>
      </c>
      <c r="C101" s="3"/>
      <c r="D101" s="3"/>
      <c r="E101" s="4">
        <f t="shared" si="7"/>
        <v>0</v>
      </c>
      <c r="F101" s="3"/>
      <c r="G101" s="3"/>
      <c r="H101" s="3"/>
      <c r="I101" s="3"/>
      <c r="J101" s="3"/>
      <c r="K101" s="3"/>
      <c r="L101" s="3"/>
      <c r="M101" s="5">
        <f t="shared" si="8"/>
        <v>0</v>
      </c>
      <c r="N101" s="28" t="e">
        <f t="shared" si="9"/>
        <v>#DIV/0!</v>
      </c>
      <c r="O101" s="7"/>
      <c r="P101" s="7"/>
      <c r="Q101" s="7"/>
      <c r="R101" s="7"/>
      <c r="S101" s="3"/>
      <c r="T101" s="37">
        <f t="shared" si="6"/>
        <v>0</v>
      </c>
      <c r="U101" s="28" t="e">
        <f t="shared" si="10"/>
        <v>#DIV/0!</v>
      </c>
      <c r="V101" s="59">
        <f t="shared" si="11"/>
        <v>0</v>
      </c>
    </row>
    <row r="102" spans="1:26" ht="21.75" customHeight="1">
      <c r="A102" s="87"/>
      <c r="B102" s="7" t="s">
        <v>14</v>
      </c>
      <c r="C102" s="3"/>
      <c r="D102" s="3"/>
      <c r="E102" s="4">
        <f t="shared" si="7"/>
        <v>0</v>
      </c>
      <c r="F102" s="3"/>
      <c r="G102" s="3"/>
      <c r="H102" s="3"/>
      <c r="I102" s="3"/>
      <c r="J102" s="3"/>
      <c r="K102" s="3"/>
      <c r="L102" s="3"/>
      <c r="M102" s="5">
        <f t="shared" si="8"/>
        <v>0</v>
      </c>
      <c r="N102" s="28" t="e">
        <f t="shared" si="9"/>
        <v>#DIV/0!</v>
      </c>
      <c r="O102" s="7"/>
      <c r="P102" s="7"/>
      <c r="Q102" s="7"/>
      <c r="R102" s="7"/>
      <c r="S102" s="3"/>
      <c r="T102" s="37">
        <f t="shared" si="6"/>
        <v>0</v>
      </c>
      <c r="U102" s="28" t="e">
        <f t="shared" si="10"/>
        <v>#DIV/0!</v>
      </c>
      <c r="V102" s="59">
        <f t="shared" si="11"/>
        <v>0</v>
      </c>
    </row>
    <row r="103" spans="1:26" ht="21.75" customHeight="1">
      <c r="A103" s="87" t="s">
        <v>41</v>
      </c>
      <c r="B103" s="1" t="s">
        <v>12</v>
      </c>
      <c r="C103" s="37">
        <f>C10+C13+C16+C19+C22+C25+C28+C31+C34+C37+C40+C43+C46+C49+C52+C55+C58+C61+C64+C67+C70+C73+C76+C79+C82+C85+C88+C91+C94+C97+C100</f>
        <v>0</v>
      </c>
      <c r="D103" s="37">
        <f>D10+D13+D16+D19+D22+D25+D28+D31+D34+D37+D40+D43+D46+D49+D52+D55+D58+D61+D64+D67+D70+D73+D76+D79+D82+D85+D88+D91+D94+D97+D100</f>
        <v>0</v>
      </c>
      <c r="E103" s="4">
        <f>((($B$3*C103)+(12*D103))*$M$4)/7</f>
        <v>0</v>
      </c>
      <c r="F103" s="1">
        <f t="shared" ref="F103:L105" si="12">F10+F13+F16+F19+F22+F25+F28+F31+F34+F37+F40+F43+F46+F49+F52+F55+F58+F61+F64+F67+F70+F73+F76+F79+F82+F85+F88+F91+F94+F97+F100</f>
        <v>0</v>
      </c>
      <c r="G103" s="1">
        <f t="shared" si="12"/>
        <v>0</v>
      </c>
      <c r="H103" s="1">
        <f t="shared" si="12"/>
        <v>0</v>
      </c>
      <c r="I103" s="1">
        <f t="shared" si="12"/>
        <v>0</v>
      </c>
      <c r="J103" s="1">
        <f t="shared" si="12"/>
        <v>0</v>
      </c>
      <c r="K103" s="1">
        <f t="shared" si="12"/>
        <v>0</v>
      </c>
      <c r="L103" s="1">
        <f t="shared" si="12"/>
        <v>0</v>
      </c>
      <c r="M103" s="5">
        <f t="shared" si="8"/>
        <v>0</v>
      </c>
      <c r="N103" s="28" t="e">
        <f t="shared" si="9"/>
        <v>#DIV/0!</v>
      </c>
      <c r="O103" s="1">
        <f t="shared" ref="O103:S105" si="13">O10+O13+O16+O19+O22+O25+O28+O31+O34+O37+O40+O43+O46+O49+O52+O55+O58+O61+O64+O67+O70+O73+O76+O79+O82+O85+O88+O91+O94+O97+O100</f>
        <v>0</v>
      </c>
      <c r="P103" s="1">
        <f t="shared" si="13"/>
        <v>0</v>
      </c>
      <c r="Q103" s="1">
        <f t="shared" si="13"/>
        <v>0</v>
      </c>
      <c r="R103" s="1">
        <f t="shared" si="13"/>
        <v>0</v>
      </c>
      <c r="S103" s="1">
        <f t="shared" si="13"/>
        <v>0</v>
      </c>
      <c r="T103" s="37">
        <f t="shared" si="6"/>
        <v>0</v>
      </c>
      <c r="U103" s="28" t="e">
        <f t="shared" si="10"/>
        <v>#DIV/0!</v>
      </c>
      <c r="V103" s="59">
        <f t="shared" si="11"/>
        <v>0</v>
      </c>
    </row>
    <row r="104" spans="1:26" ht="21.75" customHeight="1">
      <c r="A104" s="87"/>
      <c r="B104" s="1" t="s">
        <v>13</v>
      </c>
      <c r="C104" s="37">
        <f t="shared" ref="C104:D105" si="14">C11+C14+C17+C20+C23+C26+C29+C32+C35+C38+C41+C44+C47+C50+C53+C56+C59+C62+C65+C68+C71+C74+C77+C80+C83+C86+C89+C92+C95+C98+C101</f>
        <v>0</v>
      </c>
      <c r="D104" s="37">
        <f t="shared" si="14"/>
        <v>0</v>
      </c>
      <c r="E104" s="4">
        <f t="shared" ref="E104:E105" si="15">((($B$3*C104)+(12*D104))*$M$4)/7</f>
        <v>0</v>
      </c>
      <c r="F104" s="1">
        <f t="shared" si="12"/>
        <v>0</v>
      </c>
      <c r="G104" s="1">
        <f t="shared" si="12"/>
        <v>0</v>
      </c>
      <c r="H104" s="1">
        <f t="shared" ref="H104" si="16">H11+H14+H17+H20+H23+H26+H29+H32+H35+H38+H41+H44+H47+H50+H53+H56+H59+H62+H65+H68+H71+H74+H77+H80+H83+H86+H89+H92+H95+H98+H101</f>
        <v>0</v>
      </c>
      <c r="I104" s="1">
        <f t="shared" si="12"/>
        <v>0</v>
      </c>
      <c r="J104" s="1">
        <f t="shared" si="12"/>
        <v>0</v>
      </c>
      <c r="K104" s="1">
        <f t="shared" ref="K104" si="17">K11+K14+K17+K20+K23+K26+K29+K32+K35+K38+K41+K44+K47+K50+K53+K56+K59+K62+K65+K68+K71+K74+K77+K80+K83+K86+K89+K92+K95+K98+K101</f>
        <v>0</v>
      </c>
      <c r="L104" s="1">
        <f t="shared" si="12"/>
        <v>0</v>
      </c>
      <c r="M104" s="5">
        <f t="shared" si="8"/>
        <v>0</v>
      </c>
      <c r="N104" s="28" t="e">
        <f t="shared" si="9"/>
        <v>#DIV/0!</v>
      </c>
      <c r="O104" s="1">
        <f t="shared" si="13"/>
        <v>0</v>
      </c>
      <c r="P104" s="1">
        <f t="shared" si="13"/>
        <v>0</v>
      </c>
      <c r="Q104" s="1">
        <f t="shared" si="13"/>
        <v>0</v>
      </c>
      <c r="R104" s="1">
        <f t="shared" si="13"/>
        <v>0</v>
      </c>
      <c r="S104" s="1">
        <f t="shared" si="13"/>
        <v>0</v>
      </c>
      <c r="T104" s="37">
        <f t="shared" si="6"/>
        <v>0</v>
      </c>
      <c r="U104" s="28" t="e">
        <f t="shared" si="10"/>
        <v>#DIV/0!</v>
      </c>
      <c r="V104" s="59">
        <f t="shared" si="11"/>
        <v>0</v>
      </c>
    </row>
    <row r="105" spans="1:26" ht="21.75" customHeight="1">
      <c r="A105" s="87"/>
      <c r="B105" s="1" t="s">
        <v>14</v>
      </c>
      <c r="C105" s="37">
        <f t="shared" si="14"/>
        <v>0</v>
      </c>
      <c r="D105" s="37">
        <f t="shared" si="14"/>
        <v>0</v>
      </c>
      <c r="E105" s="4">
        <f t="shared" si="15"/>
        <v>0</v>
      </c>
      <c r="F105" s="1">
        <f t="shared" si="12"/>
        <v>0</v>
      </c>
      <c r="G105" s="1">
        <f t="shared" si="12"/>
        <v>0</v>
      </c>
      <c r="H105" s="1">
        <f t="shared" ref="H105" si="18">H12+H15+H18+H21+H24+H27+H30+H33+H36+H39+H42+H45+H48+H51+H54+H57+H60+H63+H66+H69+H72+H75+H78+H81+H84+H87+H90+H93+H96+H99+H102</f>
        <v>0</v>
      </c>
      <c r="I105" s="1">
        <f t="shared" si="12"/>
        <v>0</v>
      </c>
      <c r="J105" s="1">
        <f t="shared" si="12"/>
        <v>0</v>
      </c>
      <c r="K105" s="1">
        <f t="shared" ref="K105" si="19">K12+K15+K18+K21+K24+K27+K30+K33+K36+K39+K42+K45+K48+K51+K54+K57+K60+K63+K66+K69+K72+K75+K78+K81+K84+K87+K90+K93+K96+K99+K102</f>
        <v>0</v>
      </c>
      <c r="L105" s="1">
        <f t="shared" si="12"/>
        <v>0</v>
      </c>
      <c r="M105" s="5">
        <f t="shared" si="8"/>
        <v>0</v>
      </c>
      <c r="N105" s="28" t="e">
        <f t="shared" si="9"/>
        <v>#DIV/0!</v>
      </c>
      <c r="O105" s="1">
        <f t="shared" si="13"/>
        <v>0</v>
      </c>
      <c r="P105" s="1">
        <f t="shared" si="13"/>
        <v>0</v>
      </c>
      <c r="Q105" s="1">
        <f t="shared" si="13"/>
        <v>0</v>
      </c>
      <c r="R105" s="1">
        <f t="shared" si="13"/>
        <v>0</v>
      </c>
      <c r="S105" s="1">
        <f t="shared" si="13"/>
        <v>0</v>
      </c>
      <c r="T105" s="37">
        <f t="shared" si="6"/>
        <v>0</v>
      </c>
      <c r="U105" s="28" t="e">
        <f t="shared" si="10"/>
        <v>#DIV/0!</v>
      </c>
      <c r="V105" s="59">
        <f t="shared" si="11"/>
        <v>0</v>
      </c>
    </row>
    <row r="106" spans="1:26" ht="21.75" customHeight="1">
      <c r="A106" s="7" t="s">
        <v>42</v>
      </c>
      <c r="B106" s="7"/>
      <c r="C106" s="42">
        <f>SUM(C103:C105)/3</f>
        <v>0</v>
      </c>
      <c r="D106" s="42">
        <f>SUM(D103:D105)/3</f>
        <v>0</v>
      </c>
      <c r="E106" s="25"/>
      <c r="F106" s="42">
        <f>SUM(F103:F105)</f>
        <v>0</v>
      </c>
      <c r="G106" s="42">
        <f t="shared" ref="G106:L106" si="20">SUM(G103:G105)</f>
        <v>0</v>
      </c>
      <c r="H106" s="42">
        <f t="shared" si="20"/>
        <v>0</v>
      </c>
      <c r="I106" s="42">
        <f t="shared" si="20"/>
        <v>0</v>
      </c>
      <c r="J106" s="42">
        <f t="shared" si="20"/>
        <v>0</v>
      </c>
      <c r="K106" s="42">
        <f t="shared" si="20"/>
        <v>0</v>
      </c>
      <c r="L106" s="42">
        <f t="shared" si="20"/>
        <v>0</v>
      </c>
      <c r="M106" s="5">
        <f t="shared" si="8"/>
        <v>0</v>
      </c>
      <c r="N106" s="25"/>
      <c r="O106" s="25">
        <f>SUM(O103:O105)/3</f>
        <v>0</v>
      </c>
      <c r="P106" s="25">
        <f>SUM(P103:P105)/3</f>
        <v>0</v>
      </c>
      <c r="Q106" s="25">
        <f t="shared" ref="Q106:S106" si="21">SUM(Q103:Q105)/3</f>
        <v>0</v>
      </c>
      <c r="R106" s="25">
        <f t="shared" si="21"/>
        <v>0</v>
      </c>
      <c r="S106" s="25">
        <f t="shared" si="21"/>
        <v>0</v>
      </c>
      <c r="T106" s="37">
        <f t="shared" si="6"/>
        <v>0</v>
      </c>
      <c r="U106" s="28" t="e">
        <f t="shared" si="10"/>
        <v>#DIV/0!</v>
      </c>
      <c r="V106" s="59">
        <f t="shared" si="11"/>
        <v>0</v>
      </c>
    </row>
  </sheetData>
  <mergeCells count="77">
    <mergeCell ref="O7:S7"/>
    <mergeCell ref="T7:T9"/>
    <mergeCell ref="O8:O9"/>
    <mergeCell ref="Q4:R4"/>
    <mergeCell ref="F5:L5"/>
    <mergeCell ref="O5:P5"/>
    <mergeCell ref="Q5:R5"/>
    <mergeCell ref="O6:Q6"/>
    <mergeCell ref="R6:S6"/>
    <mergeCell ref="P8:P9"/>
    <mergeCell ref="I4:L4"/>
    <mergeCell ref="E4:H4"/>
    <mergeCell ref="F6:H6"/>
    <mergeCell ref="A1:N1"/>
    <mergeCell ref="A2:N2"/>
    <mergeCell ref="M3:N3"/>
    <mergeCell ref="O3:P3"/>
    <mergeCell ref="Q3:R3"/>
    <mergeCell ref="I3:L3"/>
    <mergeCell ref="E3:H3"/>
    <mergeCell ref="C5:D5"/>
    <mergeCell ref="C6:D6"/>
    <mergeCell ref="N7:N9"/>
    <mergeCell ref="E7:E9"/>
    <mergeCell ref="F7:J7"/>
    <mergeCell ref="I6:K6"/>
    <mergeCell ref="F8:H8"/>
    <mergeCell ref="I8:K8"/>
    <mergeCell ref="A97:A99"/>
    <mergeCell ref="A100:A102"/>
    <mergeCell ref="A103:A105"/>
    <mergeCell ref="A64:A66"/>
    <mergeCell ref="A67:A69"/>
    <mergeCell ref="A70:A72"/>
    <mergeCell ref="A73:A75"/>
    <mergeCell ref="A76:A78"/>
    <mergeCell ref="A94:A96"/>
    <mergeCell ref="A79:A81"/>
    <mergeCell ref="A82:A84"/>
    <mergeCell ref="A85:A87"/>
    <mergeCell ref="A88:A90"/>
    <mergeCell ref="A91:A93"/>
    <mergeCell ref="A49:A51"/>
    <mergeCell ref="A52:A54"/>
    <mergeCell ref="A55:A57"/>
    <mergeCell ref="A58:A60"/>
    <mergeCell ref="A61:A63"/>
    <mergeCell ref="A40:A42"/>
    <mergeCell ref="A43:A45"/>
    <mergeCell ref="A46:A48"/>
    <mergeCell ref="A10:A12"/>
    <mergeCell ref="A7:A9"/>
    <mergeCell ref="A37:A39"/>
    <mergeCell ref="A28:A30"/>
    <mergeCell ref="A31:A33"/>
    <mergeCell ref="A34:A36"/>
    <mergeCell ref="A13:A15"/>
    <mergeCell ref="A16:A18"/>
    <mergeCell ref="A19:A21"/>
    <mergeCell ref="A22:A24"/>
    <mergeCell ref="A25:A27"/>
    <mergeCell ref="U7:U9"/>
    <mergeCell ref="L7:L9"/>
    <mergeCell ref="M7:M9"/>
    <mergeCell ref="A3:A4"/>
    <mergeCell ref="B3:B4"/>
    <mergeCell ref="C3:C4"/>
    <mergeCell ref="Q8:Q9"/>
    <mergeCell ref="R8:R9"/>
    <mergeCell ref="S8:S9"/>
    <mergeCell ref="M4:N4"/>
    <mergeCell ref="O4:P4"/>
    <mergeCell ref="B7:B9"/>
    <mergeCell ref="C7:C9"/>
    <mergeCell ref="D7:D9"/>
    <mergeCell ref="A5:B5"/>
    <mergeCell ref="A6:B6"/>
  </mergeCells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V106"/>
  <sheetViews>
    <sheetView zoomScale="85" zoomScaleNormal="85" workbookViewId="0">
      <pane xSplit="5" ySplit="9" topLeftCell="F95" activePane="bottomRight" state="frozen"/>
      <selection pane="topRight" activeCell="E1" sqref="E1"/>
      <selection pane="bottomLeft" activeCell="A10" sqref="A10"/>
      <selection pane="bottomRight" activeCell="M10" sqref="M10:M106"/>
    </sheetView>
  </sheetViews>
  <sheetFormatPr defaultColWidth="9" defaultRowHeight="22.5" customHeight="1"/>
  <cols>
    <col min="1" max="1" width="13.6640625" style="2" bestFit="1" customWidth="1"/>
    <col min="2" max="2" width="7" style="2" customWidth="1"/>
    <col min="3" max="4" width="8.6640625" style="2" customWidth="1"/>
    <col min="5" max="5" width="6.88671875" style="2" bestFit="1" customWidth="1"/>
    <col min="6" max="6" width="7.77734375" style="2" bestFit="1" customWidth="1"/>
    <col min="7" max="8" width="7.77734375" style="2" customWidth="1"/>
    <col min="9" max="9" width="7" style="2" bestFit="1" customWidth="1"/>
    <col min="10" max="11" width="7" style="2" customWidth="1"/>
    <col min="12" max="12" width="5.88671875" style="2" customWidth="1"/>
    <col min="13" max="13" width="6.88671875" style="2" bestFit="1" customWidth="1"/>
    <col min="14" max="14" width="10.109375" style="2" bestFit="1" customWidth="1"/>
    <col min="15" max="15" width="8.6640625" style="2" bestFit="1" customWidth="1"/>
    <col min="16" max="19" width="5.77734375" style="2" customWidth="1"/>
    <col min="20" max="20" width="4" style="2" bestFit="1" customWidth="1"/>
    <col min="21" max="16384" width="9" style="2"/>
  </cols>
  <sheetData>
    <row r="1" spans="1:22" ht="22.5" customHeight="1">
      <c r="A1" s="90" t="s">
        <v>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</row>
    <row r="2" spans="1:22" ht="22.5" customHeight="1">
      <c r="A2" s="90" t="s">
        <v>9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</row>
    <row r="3" spans="1:22" ht="22.5" customHeight="1">
      <c r="A3" s="91" t="s">
        <v>10</v>
      </c>
      <c r="B3" s="92">
        <v>4.5</v>
      </c>
      <c r="C3" s="93" t="s">
        <v>11</v>
      </c>
      <c r="D3" s="38"/>
      <c r="E3" s="116" t="s">
        <v>12</v>
      </c>
      <c r="F3" s="95"/>
      <c r="G3" s="95"/>
      <c r="H3" s="96"/>
      <c r="I3" s="93" t="s">
        <v>13</v>
      </c>
      <c r="J3" s="93"/>
      <c r="K3" s="93"/>
      <c r="L3" s="93"/>
      <c r="M3" s="95"/>
      <c r="N3" s="96"/>
      <c r="O3" s="113" t="s">
        <v>15</v>
      </c>
      <c r="P3" s="113"/>
      <c r="Q3" s="115">
        <f>((F103+F105)*240)+((G103+G105)*180)</f>
        <v>0</v>
      </c>
      <c r="R3" s="115"/>
      <c r="S3" s="7" t="s">
        <v>16</v>
      </c>
    </row>
    <row r="4" spans="1:22" ht="22.5" customHeight="1">
      <c r="A4" s="91"/>
      <c r="B4" s="92"/>
      <c r="C4" s="93"/>
      <c r="D4" s="38"/>
      <c r="E4" s="114">
        <v>0.25</v>
      </c>
      <c r="F4" s="97"/>
      <c r="G4" s="97"/>
      <c r="H4" s="98"/>
      <c r="I4" s="94">
        <v>0.4</v>
      </c>
      <c r="J4" s="94"/>
      <c r="K4" s="94"/>
      <c r="L4" s="94"/>
      <c r="M4" s="97">
        <v>0.35</v>
      </c>
      <c r="N4" s="98"/>
      <c r="O4" s="113" t="s">
        <v>17</v>
      </c>
      <c r="P4" s="113"/>
      <c r="Q4" s="115">
        <f>((I103+L103+I104+L104+I105+L105)*660)+((J103+J105+J104)*530)</f>
        <v>0</v>
      </c>
      <c r="R4" s="115"/>
      <c r="S4" s="7" t="s">
        <v>16</v>
      </c>
    </row>
    <row r="5" spans="1:22" ht="22.5" customHeight="1">
      <c r="A5" s="99" t="s">
        <v>18</v>
      </c>
      <c r="B5" s="99"/>
      <c r="C5" s="63">
        <f>(เมย!C5+พค!C5+มิย!C5+กค!C5+สค!C5+กย!C5)/2</f>
        <v>0</v>
      </c>
      <c r="D5" s="64"/>
      <c r="E5" s="35" t="s">
        <v>19</v>
      </c>
      <c r="F5" s="114" t="s">
        <v>20</v>
      </c>
      <c r="G5" s="97"/>
      <c r="H5" s="97"/>
      <c r="I5" s="97"/>
      <c r="J5" s="97"/>
      <c r="K5" s="97"/>
      <c r="L5" s="97"/>
      <c r="M5" s="26">
        <f>เมย!M5+พค!M5+มิย!M5+กค!M5+สค!M5+กย!M5</f>
        <v>0</v>
      </c>
      <c r="N5" s="34" t="s">
        <v>21</v>
      </c>
      <c r="O5" s="113" t="s">
        <v>22</v>
      </c>
      <c r="P5" s="113"/>
      <c r="Q5" s="115" t="e">
        <f>(#REF!+#REF!+#REF!)*770</f>
        <v>#REF!</v>
      </c>
      <c r="R5" s="115"/>
      <c r="S5" s="7" t="s">
        <v>16</v>
      </c>
    </row>
    <row r="6" spans="1:22" ht="22.5" customHeight="1">
      <c r="A6" s="99" t="s">
        <v>23</v>
      </c>
      <c r="B6" s="99"/>
      <c r="C6" s="105" t="e">
        <f>((C106*12)/(M5*7)+((D106*12)/(M5*7)))</f>
        <v>#DIV/0!</v>
      </c>
      <c r="D6" s="106"/>
      <c r="E6" s="35" t="s">
        <v>19</v>
      </c>
      <c r="F6" s="80" t="s">
        <v>24</v>
      </c>
      <c r="G6" s="81"/>
      <c r="H6" s="82"/>
      <c r="I6" s="77" t="e">
        <f>C5-C6</f>
        <v>#DIV/0!</v>
      </c>
      <c r="J6" s="78"/>
      <c r="K6" s="79"/>
      <c r="L6" s="39" t="s">
        <v>19</v>
      </c>
      <c r="M6" s="36" t="s">
        <v>25</v>
      </c>
      <c r="N6" s="27" t="e">
        <f>((((C106*4.5)+(D106*12))/((F106+G106+H106+I106+J106+K106+L106)*7)))*100</f>
        <v>#DIV/0!</v>
      </c>
      <c r="O6" s="71" t="s">
        <v>26</v>
      </c>
      <c r="P6" s="71"/>
      <c r="Q6" s="71"/>
      <c r="R6" s="72" t="e">
        <f>U106</f>
        <v>#DIV/0!</v>
      </c>
      <c r="S6" s="73"/>
    </row>
    <row r="7" spans="1:22" ht="22.5" customHeight="1">
      <c r="A7" s="65" t="s">
        <v>27</v>
      </c>
      <c r="B7" s="65" t="s">
        <v>28</v>
      </c>
      <c r="C7" s="100" t="s">
        <v>77</v>
      </c>
      <c r="D7" s="100" t="s">
        <v>78</v>
      </c>
      <c r="E7" s="65" t="s">
        <v>30</v>
      </c>
      <c r="F7" s="74" t="s">
        <v>31</v>
      </c>
      <c r="G7" s="75"/>
      <c r="H7" s="75"/>
      <c r="I7" s="75"/>
      <c r="J7" s="75"/>
      <c r="K7" s="76"/>
      <c r="L7" s="65" t="s">
        <v>32</v>
      </c>
      <c r="M7" s="65" t="s">
        <v>33</v>
      </c>
      <c r="N7" s="131" t="s">
        <v>25</v>
      </c>
      <c r="O7" s="87" t="s">
        <v>34</v>
      </c>
      <c r="P7" s="87"/>
      <c r="Q7" s="87"/>
      <c r="R7" s="87"/>
      <c r="S7" s="87"/>
      <c r="T7" s="124" t="s">
        <v>35</v>
      </c>
      <c r="U7" s="125" t="s">
        <v>26</v>
      </c>
      <c r="V7" s="87" t="s">
        <v>36</v>
      </c>
    </row>
    <row r="8" spans="1:22" ht="22.5" customHeight="1">
      <c r="A8" s="66"/>
      <c r="B8" s="66"/>
      <c r="C8" s="101"/>
      <c r="D8" s="101"/>
      <c r="E8" s="66"/>
      <c r="F8" s="129" t="s">
        <v>37</v>
      </c>
      <c r="G8" s="129"/>
      <c r="H8" s="129"/>
      <c r="I8" s="123" t="s">
        <v>38</v>
      </c>
      <c r="J8" s="123"/>
      <c r="K8" s="123"/>
      <c r="L8" s="66"/>
      <c r="M8" s="66"/>
      <c r="N8" s="132"/>
      <c r="O8" s="88">
        <v>1</v>
      </c>
      <c r="P8" s="88">
        <v>2</v>
      </c>
      <c r="Q8" s="88">
        <v>3</v>
      </c>
      <c r="R8" s="88">
        <v>4</v>
      </c>
      <c r="S8" s="88">
        <v>5</v>
      </c>
      <c r="T8" s="124"/>
      <c r="U8" s="125"/>
      <c r="V8" s="87"/>
    </row>
    <row r="9" spans="1:22" ht="22.5" customHeight="1">
      <c r="A9" s="67"/>
      <c r="B9" s="67"/>
      <c r="C9" s="102"/>
      <c r="D9" s="102"/>
      <c r="E9" s="67"/>
      <c r="F9" s="24" t="s">
        <v>39</v>
      </c>
      <c r="G9" s="24" t="s">
        <v>40</v>
      </c>
      <c r="H9" s="24" t="s">
        <v>76</v>
      </c>
      <c r="I9" s="57" t="s">
        <v>39</v>
      </c>
      <c r="J9" s="57" t="s">
        <v>40</v>
      </c>
      <c r="K9" s="57" t="s">
        <v>76</v>
      </c>
      <c r="L9" s="67"/>
      <c r="M9" s="67"/>
      <c r="N9" s="133"/>
      <c r="O9" s="89"/>
      <c r="P9" s="89"/>
      <c r="Q9" s="89"/>
      <c r="R9" s="89"/>
      <c r="S9" s="89"/>
      <c r="T9" s="124"/>
      <c r="U9" s="125"/>
      <c r="V9" s="87"/>
    </row>
    <row r="10" spans="1:22" ht="22.5" customHeight="1">
      <c r="A10" s="87">
        <v>1</v>
      </c>
      <c r="B10" s="7" t="s">
        <v>12</v>
      </c>
      <c r="C10" s="3">
        <f>เมย!C10+พค!C10+มิย!C10+กค!C10+สค!C10+กย!C10</f>
        <v>0</v>
      </c>
      <c r="D10" s="3">
        <f>เมย!D10+พค!D10+มิย!D10+กค!D10+สค!D10+กย!D10</f>
        <v>0</v>
      </c>
      <c r="E10" s="4">
        <f>((($B$3*C10)+(12*D10))*$E$4)/7</f>
        <v>0</v>
      </c>
      <c r="F10" s="3">
        <f>เมย!F10+พค!F10+มิย!F10+กค!F10+สค!F10+กย!F10</f>
        <v>0</v>
      </c>
      <c r="G10" s="3">
        <f>เมย!G10+พค!G10+มิย!G10+กค!G10+สค!G10+กย!G10</f>
        <v>0</v>
      </c>
      <c r="H10" s="3">
        <f>เมย!H10+พค!H10+มิย!H10+กค!H10+สค!H10+กย!H10</f>
        <v>0</v>
      </c>
      <c r="I10" s="3">
        <f>เมย!I10+พค!I10+มิย!I10+กค!I10+สค!I10+กย!I10</f>
        <v>0</v>
      </c>
      <c r="J10" s="3">
        <f>เมย!J10+พค!J10+มิย!J10+กค!J10+สค!J10+กย!J10</f>
        <v>0</v>
      </c>
      <c r="K10" s="3">
        <f>เมย!K10+พค!K10+มิย!K10+กค!K10+สค!K10+กย!K10</f>
        <v>0</v>
      </c>
      <c r="L10" s="3">
        <f>เมย!L10+พค!L10+มิย!L10+กค!L10+สค!L10+กย!L10</f>
        <v>0</v>
      </c>
      <c r="M10" s="5">
        <f>(F10+G10+H10+L10)-E10</f>
        <v>0</v>
      </c>
      <c r="N10" s="28" t="e">
        <f>(((C10*4.5)+(12*D10))*$E$4)/((F10+G10+H10+I10+J10+K10+L10)*7)*100</f>
        <v>#DIV/0!</v>
      </c>
      <c r="O10" s="3">
        <f>เมย!O10+พค!O10+มิย!O10+กค!O10+สค!O10+กย!O10</f>
        <v>0</v>
      </c>
      <c r="P10" s="3">
        <f>เมย!P10+พค!P10+มิย!P10+กค!P10+สค!P10+กย!P10</f>
        <v>0</v>
      </c>
      <c r="Q10" s="3">
        <f>เมย!Q10+พค!Q10+มิย!Q10+กค!Q10+สค!Q10+กย!Q10</f>
        <v>0</v>
      </c>
      <c r="R10" s="3">
        <f>เมย!R10+พค!R10+มิย!R10+กค!R10+สค!R10+กย!R10</f>
        <v>0</v>
      </c>
      <c r="S10" s="3">
        <f>เมย!S10+พค!S10+มิย!S10+กค!S10+สค!S10+กย!S10</f>
        <v>0</v>
      </c>
      <c r="T10" s="37">
        <f t="shared" ref="T10:T73" si="0">SUM(O10:S10)</f>
        <v>0</v>
      </c>
      <c r="U10" s="28" t="e">
        <f>((((O10*1.5+(P10*3.5)+(Q10*5.5)+(R10*7.5)+(S10*12)))/3)/((F10+G10+H10+I10+J10+K10+L10)*7))*100</f>
        <v>#DIV/0!</v>
      </c>
      <c r="V10" s="59">
        <f t="shared" ref="V10:V41" si="1">C10+D10-T10</f>
        <v>0</v>
      </c>
    </row>
    <row r="11" spans="1:22" ht="22.5" customHeight="1">
      <c r="A11" s="87"/>
      <c r="B11" s="7" t="s">
        <v>13</v>
      </c>
      <c r="C11" s="3">
        <f>เมย!C11+พค!C11+มิย!C11+กค!C11+สค!C11+กย!C11</f>
        <v>0</v>
      </c>
      <c r="D11" s="3">
        <f>เมย!D11+พค!D11+มิย!D11+กค!D11+สค!D11+กย!D11</f>
        <v>0</v>
      </c>
      <c r="E11" s="4">
        <f t="shared" ref="E11:E74" si="2">((($B$3*C11)+(12*D11))*$E$4)/7</f>
        <v>0</v>
      </c>
      <c r="F11" s="3">
        <f>เมย!F11+พค!F11+มิย!F11+กค!F11+สค!F11+กย!F11</f>
        <v>0</v>
      </c>
      <c r="G11" s="3">
        <f>เมย!G11+พค!G11+มิย!G11+กค!G11+สค!G11+กย!G11</f>
        <v>0</v>
      </c>
      <c r="H11" s="3">
        <f>เมย!H11+พค!H11+มิย!H11+กค!H11+สค!H11+กย!H11</f>
        <v>0</v>
      </c>
      <c r="I11" s="3">
        <f>เมย!I11+พค!I11+มิย!I11+กค!I11+สค!I11+กย!I11</f>
        <v>0</v>
      </c>
      <c r="J11" s="3">
        <f>เมย!J11+พค!J11+มิย!J11+กค!J11+สค!J11+กย!J11</f>
        <v>0</v>
      </c>
      <c r="K11" s="3">
        <f>เมย!K11+พค!K11+มิย!K11+กค!K11+สค!K11+กย!K11</f>
        <v>0</v>
      </c>
      <c r="L11" s="3">
        <f>เมย!L11+พค!L11+มิย!L11+กค!L11+สค!L11+กย!L11</f>
        <v>0</v>
      </c>
      <c r="M11" s="5">
        <f t="shared" ref="M11:M74" si="3">(F11+G11+H11+L11)-E11</f>
        <v>0</v>
      </c>
      <c r="N11" s="28" t="e">
        <f t="shared" ref="N11:N74" si="4">(((C11*4.5)+(12*D11))*$E$4)/((F11+G11+H11+I11+J11+K11+L11)*7)*100</f>
        <v>#DIV/0!</v>
      </c>
      <c r="O11" s="3">
        <f>เมย!O11+พค!O11+มิย!O11+กค!O11+สค!O11+กย!O11</f>
        <v>0</v>
      </c>
      <c r="P11" s="3">
        <f>เมย!P11+พค!P11+มิย!P11+กค!P11+สค!P11+กย!P11</f>
        <v>0</v>
      </c>
      <c r="Q11" s="3">
        <f>เมย!Q11+พค!Q11+มิย!Q11+กค!Q11+สค!Q11+กย!Q11</f>
        <v>0</v>
      </c>
      <c r="R11" s="3">
        <f>เมย!R11+พค!R11+มิย!R11+กค!R11+สค!R11+กย!R11</f>
        <v>0</v>
      </c>
      <c r="S11" s="3">
        <f>เมย!S11+พค!S11+มิย!S11+กค!S11+สค!S11+กย!S11</f>
        <v>0</v>
      </c>
      <c r="T11" s="37">
        <f t="shared" si="0"/>
        <v>0</v>
      </c>
      <c r="U11" s="28" t="e">
        <f t="shared" ref="U11:U74" si="5">((((O11*1.5+(P11*3.5)+(Q11*5.5)+(R11*7.5)+(S11*12)))/3)/((F11+G11+H11+I11+J11+K11+L11)*7))*100</f>
        <v>#DIV/0!</v>
      </c>
      <c r="V11" s="59">
        <f t="shared" si="1"/>
        <v>0</v>
      </c>
    </row>
    <row r="12" spans="1:22" ht="22.5" customHeight="1">
      <c r="A12" s="87"/>
      <c r="B12" s="7" t="s">
        <v>14</v>
      </c>
      <c r="C12" s="3">
        <f>เมย!C12+พค!C12+มิย!C12+กค!C12+สค!C12+กย!C12</f>
        <v>0</v>
      </c>
      <c r="D12" s="3">
        <f>เมย!D12+พค!D12+มิย!D12+กค!D12+สค!D12+กย!D12</f>
        <v>0</v>
      </c>
      <c r="E12" s="4">
        <f t="shared" si="2"/>
        <v>0</v>
      </c>
      <c r="F12" s="3">
        <f>เมย!F12+พค!F12+มิย!F12+กค!F12+สค!F12+กย!F12</f>
        <v>0</v>
      </c>
      <c r="G12" s="3">
        <f>เมย!G12+พค!G12+มิย!G12+กค!G12+สค!G12+กย!G12</f>
        <v>0</v>
      </c>
      <c r="H12" s="3">
        <f>เมย!H12+พค!H12+มิย!H12+กค!H12+สค!H12+กย!H12</f>
        <v>0</v>
      </c>
      <c r="I12" s="3">
        <f>เมย!I12+พค!I12+มิย!I12+กค!I12+สค!I12+กย!I12</f>
        <v>0</v>
      </c>
      <c r="J12" s="3">
        <f>เมย!J12+พค!J12+มิย!J12+กค!J12+สค!J12+กย!J12</f>
        <v>0</v>
      </c>
      <c r="K12" s="3">
        <f>เมย!K12+พค!K12+มิย!K12+กค!K12+สค!K12+กย!K12</f>
        <v>0</v>
      </c>
      <c r="L12" s="3">
        <f>เมย!L12+พค!L12+มิย!L12+กค!L12+สค!L12+กย!L12</f>
        <v>0</v>
      </c>
      <c r="M12" s="5">
        <f t="shared" si="3"/>
        <v>0</v>
      </c>
      <c r="N12" s="28" t="e">
        <f t="shared" si="4"/>
        <v>#DIV/0!</v>
      </c>
      <c r="O12" s="3">
        <f>เมย!O12+พค!O12+มิย!O12+กค!O12+สค!O12+กย!O12</f>
        <v>0</v>
      </c>
      <c r="P12" s="3">
        <f>เมย!P12+พค!P12+มิย!P12+กค!P12+สค!P12+กย!P12</f>
        <v>0</v>
      </c>
      <c r="Q12" s="3">
        <f>เมย!Q12+พค!Q12+มิย!Q12+กค!Q12+สค!Q12+กย!Q12</f>
        <v>0</v>
      </c>
      <c r="R12" s="3">
        <f>เมย!R12+พค!R12+มิย!R12+กค!R12+สค!R12+กย!R12</f>
        <v>0</v>
      </c>
      <c r="S12" s="3">
        <f>เมย!S12+พค!S12+มิย!S12+กค!S12+สค!S12+กย!S12</f>
        <v>0</v>
      </c>
      <c r="T12" s="37">
        <f t="shared" si="0"/>
        <v>0</v>
      </c>
      <c r="U12" s="28" t="e">
        <f t="shared" si="5"/>
        <v>#DIV/0!</v>
      </c>
      <c r="V12" s="59">
        <f t="shared" si="1"/>
        <v>0</v>
      </c>
    </row>
    <row r="13" spans="1:22" ht="22.5" customHeight="1">
      <c r="A13" s="87">
        <v>2</v>
      </c>
      <c r="B13" s="7" t="s">
        <v>12</v>
      </c>
      <c r="C13" s="3">
        <f>เมย!C13+พค!C13+มิย!C13+กค!C13+สค!C13+กย!C13</f>
        <v>0</v>
      </c>
      <c r="D13" s="3">
        <f>เมย!D13+พค!D13+มิย!D13+กค!D13+สค!D13+กย!D13</f>
        <v>0</v>
      </c>
      <c r="E13" s="4">
        <f t="shared" si="2"/>
        <v>0</v>
      </c>
      <c r="F13" s="3">
        <f>เมย!F13+พค!F13+มิย!F13+กค!F13+สค!F13+กย!F13</f>
        <v>0</v>
      </c>
      <c r="G13" s="3">
        <f>เมย!G13+พค!G13+มิย!G13+กค!G13+สค!G13+กย!G13</f>
        <v>0</v>
      </c>
      <c r="H13" s="3">
        <f>เมย!H13+พค!H13+มิย!H13+กค!H13+สค!H13+กย!H13</f>
        <v>0</v>
      </c>
      <c r="I13" s="3">
        <f>เมย!I13+พค!I13+มิย!I13+กค!I13+สค!I13+กย!I13</f>
        <v>0</v>
      </c>
      <c r="J13" s="3">
        <f>เมย!J13+พค!J13+มิย!J13+กค!J13+สค!J13+กย!J13</f>
        <v>0</v>
      </c>
      <c r="K13" s="3">
        <f>เมย!K13+พค!K13+มิย!K13+กค!K13+สค!K13+กย!K13</f>
        <v>0</v>
      </c>
      <c r="L13" s="3">
        <f>เมย!L13+พค!L13+มิย!L13+กค!L13+สค!L13+กย!L13</f>
        <v>0</v>
      </c>
      <c r="M13" s="5">
        <f t="shared" si="3"/>
        <v>0</v>
      </c>
      <c r="N13" s="28" t="e">
        <f t="shared" si="4"/>
        <v>#DIV/0!</v>
      </c>
      <c r="O13" s="3">
        <f>เมย!O13+พค!O13+มิย!O13+กค!O13+สค!O13+กย!O13</f>
        <v>0</v>
      </c>
      <c r="P13" s="3">
        <f>เมย!P13+พค!P13+มิย!P13+กค!P13+สค!P13+กย!P13</f>
        <v>0</v>
      </c>
      <c r="Q13" s="3">
        <f>เมย!Q13+พค!Q13+มิย!Q13+กค!Q13+สค!Q13+กย!Q13</f>
        <v>0</v>
      </c>
      <c r="R13" s="3">
        <f>เมย!R13+พค!R13+มิย!R13+กค!R13+สค!R13+กย!R13</f>
        <v>0</v>
      </c>
      <c r="S13" s="3">
        <f>เมย!S13+พค!S13+มิย!S13+กค!S13+สค!S13+กย!S13</f>
        <v>0</v>
      </c>
      <c r="T13" s="37">
        <f t="shared" si="0"/>
        <v>0</v>
      </c>
      <c r="U13" s="28" t="e">
        <f t="shared" si="5"/>
        <v>#DIV/0!</v>
      </c>
      <c r="V13" s="59">
        <f t="shared" si="1"/>
        <v>0</v>
      </c>
    </row>
    <row r="14" spans="1:22" ht="22.5" customHeight="1">
      <c r="A14" s="87"/>
      <c r="B14" s="7" t="s">
        <v>13</v>
      </c>
      <c r="C14" s="3">
        <f>เมย!C14+พค!C14+มิย!C14+กค!C14+สค!C14+กย!C14</f>
        <v>0</v>
      </c>
      <c r="D14" s="3">
        <f>เมย!D14+พค!D14+มิย!D14+กค!D14+สค!D14+กย!D14</f>
        <v>0</v>
      </c>
      <c r="E14" s="4">
        <f t="shared" si="2"/>
        <v>0</v>
      </c>
      <c r="F14" s="3">
        <f>เมย!F14+พค!F14+มิย!F14+กค!F14+สค!F14+กย!F14</f>
        <v>0</v>
      </c>
      <c r="G14" s="3">
        <f>เมย!G14+พค!G14+มิย!G14+กค!G14+สค!G14+กย!G14</f>
        <v>0</v>
      </c>
      <c r="H14" s="3">
        <f>เมย!H14+พค!H14+มิย!H14+กค!H14+สค!H14+กย!H14</f>
        <v>0</v>
      </c>
      <c r="I14" s="3">
        <f>เมย!I14+พค!I14+มิย!I14+กค!I14+สค!I14+กย!I14</f>
        <v>0</v>
      </c>
      <c r="J14" s="3">
        <f>เมย!J14+พค!J14+มิย!J14+กค!J14+สค!J14+กย!J14</f>
        <v>0</v>
      </c>
      <c r="K14" s="3">
        <f>เมย!K14+พค!K14+มิย!K14+กค!K14+สค!K14+กย!K14</f>
        <v>0</v>
      </c>
      <c r="L14" s="3">
        <f>เมย!L14+พค!L14+มิย!L14+กค!L14+สค!L14+กย!L14</f>
        <v>0</v>
      </c>
      <c r="M14" s="5">
        <f t="shared" si="3"/>
        <v>0</v>
      </c>
      <c r="N14" s="28" t="e">
        <f t="shared" si="4"/>
        <v>#DIV/0!</v>
      </c>
      <c r="O14" s="3">
        <f>เมย!O14+พค!O14+มิย!O14+กค!O14+สค!O14+กย!O14</f>
        <v>0</v>
      </c>
      <c r="P14" s="3">
        <f>เมย!P14+พค!P14+มิย!P14+กค!P14+สค!P14+กย!P14</f>
        <v>0</v>
      </c>
      <c r="Q14" s="3">
        <f>เมย!Q14+พค!Q14+มิย!Q14+กค!Q14+สค!Q14+กย!Q14</f>
        <v>0</v>
      </c>
      <c r="R14" s="3">
        <f>เมย!R14+พค!R14+มิย!R14+กค!R14+สค!R14+กย!R14</f>
        <v>0</v>
      </c>
      <c r="S14" s="3">
        <f>เมย!S14+พค!S14+มิย!S14+กค!S14+สค!S14+กย!S14</f>
        <v>0</v>
      </c>
      <c r="T14" s="37">
        <f t="shared" si="0"/>
        <v>0</v>
      </c>
      <c r="U14" s="28" t="e">
        <f t="shared" si="5"/>
        <v>#DIV/0!</v>
      </c>
      <c r="V14" s="59">
        <f t="shared" si="1"/>
        <v>0</v>
      </c>
    </row>
    <row r="15" spans="1:22" ht="22.5" customHeight="1">
      <c r="A15" s="87"/>
      <c r="B15" s="7" t="s">
        <v>14</v>
      </c>
      <c r="C15" s="3">
        <f>เมย!C15+พค!C15+มิย!C15+กค!C15+สค!C15+กย!C15</f>
        <v>0</v>
      </c>
      <c r="D15" s="3">
        <f>เมย!D15+พค!D15+มิย!D15+กค!D15+สค!D15+กย!D15</f>
        <v>0</v>
      </c>
      <c r="E15" s="4">
        <f t="shared" si="2"/>
        <v>0</v>
      </c>
      <c r="F15" s="3">
        <f>เมย!F15+พค!F15+มิย!F15+กค!F15+สค!F15+กย!F15</f>
        <v>0</v>
      </c>
      <c r="G15" s="3">
        <f>เมย!G15+พค!G15+มิย!G15+กค!G15+สค!G15+กย!G15</f>
        <v>0</v>
      </c>
      <c r="H15" s="3">
        <f>เมย!H15+พค!H15+มิย!H15+กค!H15+สค!H15+กย!H15</f>
        <v>0</v>
      </c>
      <c r="I15" s="3">
        <f>เมย!I15+พค!I15+มิย!I15+กค!I15+สค!I15+กย!I15</f>
        <v>0</v>
      </c>
      <c r="J15" s="3">
        <f>เมย!J15+พค!J15+มิย!J15+กค!J15+สค!J15+กย!J15</f>
        <v>0</v>
      </c>
      <c r="K15" s="3">
        <f>เมย!K15+พค!K15+มิย!K15+กค!K15+สค!K15+กย!K15</f>
        <v>0</v>
      </c>
      <c r="L15" s="3">
        <f>เมย!L15+พค!L15+มิย!L15+กค!L15+สค!L15+กย!L15</f>
        <v>0</v>
      </c>
      <c r="M15" s="5">
        <f t="shared" si="3"/>
        <v>0</v>
      </c>
      <c r="N15" s="28" t="e">
        <f t="shared" si="4"/>
        <v>#DIV/0!</v>
      </c>
      <c r="O15" s="3">
        <f>เมย!O15+พค!O15+มิย!O15+กค!O15+สค!O15+กย!O15</f>
        <v>0</v>
      </c>
      <c r="P15" s="3">
        <f>เมย!P15+พค!P15+มิย!P15+กค!P15+สค!P15+กย!P15</f>
        <v>0</v>
      </c>
      <c r="Q15" s="3">
        <f>เมย!Q15+พค!Q15+มิย!Q15+กค!Q15+สค!Q15+กย!Q15</f>
        <v>0</v>
      </c>
      <c r="R15" s="3">
        <f>เมย!R15+พค!R15+มิย!R15+กค!R15+สค!R15+กย!R15</f>
        <v>0</v>
      </c>
      <c r="S15" s="3">
        <f>เมย!S15+พค!S15+มิย!S15+กค!S15+สค!S15+กย!S15</f>
        <v>0</v>
      </c>
      <c r="T15" s="37">
        <f t="shared" si="0"/>
        <v>0</v>
      </c>
      <c r="U15" s="28" t="e">
        <f t="shared" si="5"/>
        <v>#DIV/0!</v>
      </c>
      <c r="V15" s="59">
        <f t="shared" si="1"/>
        <v>0</v>
      </c>
    </row>
    <row r="16" spans="1:22" ht="22.5" customHeight="1">
      <c r="A16" s="87">
        <v>3</v>
      </c>
      <c r="B16" s="7" t="s">
        <v>12</v>
      </c>
      <c r="C16" s="3">
        <f>เมย!C16+พค!C16+มิย!C16+กค!C16+สค!C16+กย!C16</f>
        <v>0</v>
      </c>
      <c r="D16" s="3">
        <f>เมย!D16+พค!D16+มิย!D16+กค!D16+สค!D16+กย!D16</f>
        <v>0</v>
      </c>
      <c r="E16" s="4">
        <f t="shared" si="2"/>
        <v>0</v>
      </c>
      <c r="F16" s="3">
        <f>เมย!F16+พค!F16+มิย!F16+กค!F16+สค!F16+กย!F16</f>
        <v>0</v>
      </c>
      <c r="G16" s="3">
        <f>เมย!G16+พค!G16+มิย!G16+กค!G16+สค!G16+กย!G16</f>
        <v>0</v>
      </c>
      <c r="H16" s="3">
        <f>เมย!H16+พค!H16+มิย!H16+กค!H16+สค!H16+กย!H16</f>
        <v>0</v>
      </c>
      <c r="I16" s="3">
        <f>เมย!I16+พค!I16+มิย!I16+กค!I16+สค!I16+กย!I16</f>
        <v>0</v>
      </c>
      <c r="J16" s="3">
        <f>เมย!J16+พค!J16+มิย!J16+กค!J16+สค!J16+กย!J16</f>
        <v>0</v>
      </c>
      <c r="K16" s="3">
        <f>เมย!K16+พค!K16+มิย!K16+กค!K16+สค!K16+กย!K16</f>
        <v>0</v>
      </c>
      <c r="L16" s="3">
        <f>เมย!L16+พค!L16+มิย!L16+กค!L16+สค!L16+กย!L16</f>
        <v>0</v>
      </c>
      <c r="M16" s="5">
        <f t="shared" si="3"/>
        <v>0</v>
      </c>
      <c r="N16" s="28" t="e">
        <f t="shared" si="4"/>
        <v>#DIV/0!</v>
      </c>
      <c r="O16" s="3">
        <f>เมย!O16+พค!O16+มิย!O16+กค!O16+สค!O16+กย!O16</f>
        <v>0</v>
      </c>
      <c r="P16" s="3">
        <f>เมย!P16+พค!P16+มิย!P16+กค!P16+สค!P16+กย!P16</f>
        <v>0</v>
      </c>
      <c r="Q16" s="3">
        <f>เมย!Q16+พค!Q16+มิย!Q16+กค!Q16+สค!Q16+กย!Q16</f>
        <v>0</v>
      </c>
      <c r="R16" s="3">
        <f>เมย!R16+พค!R16+มิย!R16+กค!R16+สค!R16+กย!R16</f>
        <v>0</v>
      </c>
      <c r="S16" s="3">
        <f>เมย!S16+พค!S16+มิย!S16+กค!S16+สค!S16+กย!S16</f>
        <v>0</v>
      </c>
      <c r="T16" s="37">
        <f t="shared" si="0"/>
        <v>0</v>
      </c>
      <c r="U16" s="28" t="e">
        <f t="shared" si="5"/>
        <v>#DIV/0!</v>
      </c>
      <c r="V16" s="59">
        <f t="shared" si="1"/>
        <v>0</v>
      </c>
    </row>
    <row r="17" spans="1:22" ht="22.5" customHeight="1">
      <c r="A17" s="87"/>
      <c r="B17" s="7" t="s">
        <v>13</v>
      </c>
      <c r="C17" s="3">
        <f>เมย!C17+พค!C17+มิย!C17+กค!C17+สค!C17+กย!C17</f>
        <v>0</v>
      </c>
      <c r="D17" s="3">
        <f>เมย!D17+พค!D17+มิย!D17+กค!D17+สค!D17+กย!D17</f>
        <v>0</v>
      </c>
      <c r="E17" s="4">
        <f t="shared" si="2"/>
        <v>0</v>
      </c>
      <c r="F17" s="3">
        <f>เมย!F17+พค!F17+มิย!F17+กค!F17+สค!F17+กย!F17</f>
        <v>0</v>
      </c>
      <c r="G17" s="3">
        <f>เมย!G17+พค!G17+มิย!G17+กค!G17+สค!G17+กย!G17</f>
        <v>0</v>
      </c>
      <c r="H17" s="3">
        <f>เมย!H17+พค!H17+มิย!H17+กค!H17+สค!H17+กย!H17</f>
        <v>0</v>
      </c>
      <c r="I17" s="3">
        <f>เมย!I17+พค!I17+มิย!I17+กค!I17+สค!I17+กย!I17</f>
        <v>0</v>
      </c>
      <c r="J17" s="3">
        <f>เมย!J17+พค!J17+มิย!J17+กค!J17+สค!J17+กย!J17</f>
        <v>0</v>
      </c>
      <c r="K17" s="3">
        <f>เมย!K17+พค!K17+มิย!K17+กค!K17+สค!K17+กย!K17</f>
        <v>0</v>
      </c>
      <c r="L17" s="3">
        <f>เมย!L17+พค!L17+มิย!L17+กค!L17+สค!L17+กย!L17</f>
        <v>0</v>
      </c>
      <c r="M17" s="5">
        <f t="shared" si="3"/>
        <v>0</v>
      </c>
      <c r="N17" s="28" t="e">
        <f t="shared" si="4"/>
        <v>#DIV/0!</v>
      </c>
      <c r="O17" s="3">
        <f>เมย!O17+พค!O17+มิย!O17+กค!O17+สค!O17+กย!O17</f>
        <v>0</v>
      </c>
      <c r="P17" s="3">
        <f>เมย!P17+พค!P17+มิย!P17+กค!P17+สค!P17+กย!P17</f>
        <v>0</v>
      </c>
      <c r="Q17" s="3">
        <f>เมย!Q17+พค!Q17+มิย!Q17+กค!Q17+สค!Q17+กย!Q17</f>
        <v>0</v>
      </c>
      <c r="R17" s="3">
        <f>เมย!R17+พค!R17+มิย!R17+กค!R17+สค!R17+กย!R17</f>
        <v>0</v>
      </c>
      <c r="S17" s="3">
        <f>เมย!S17+พค!S17+มิย!S17+กค!S17+สค!S17+กย!S17</f>
        <v>0</v>
      </c>
      <c r="T17" s="37">
        <f t="shared" si="0"/>
        <v>0</v>
      </c>
      <c r="U17" s="28" t="e">
        <f t="shared" si="5"/>
        <v>#DIV/0!</v>
      </c>
      <c r="V17" s="59">
        <f t="shared" si="1"/>
        <v>0</v>
      </c>
    </row>
    <row r="18" spans="1:22" ht="22.5" customHeight="1">
      <c r="A18" s="87"/>
      <c r="B18" s="7" t="s">
        <v>14</v>
      </c>
      <c r="C18" s="3">
        <f>เมย!C18+พค!C18+มิย!C18+กค!C18+สค!C18+กย!C18</f>
        <v>0</v>
      </c>
      <c r="D18" s="3">
        <f>เมย!D18+พค!D18+มิย!D18+กค!D18+สค!D18+กย!D18</f>
        <v>0</v>
      </c>
      <c r="E18" s="4">
        <f t="shared" si="2"/>
        <v>0</v>
      </c>
      <c r="F18" s="3">
        <f>เมย!F18+พค!F18+มิย!F18+กค!F18+สค!F18+กย!F18</f>
        <v>0</v>
      </c>
      <c r="G18" s="3">
        <f>เมย!G18+พค!G18+มิย!G18+กค!G18+สค!G18+กย!G18</f>
        <v>0</v>
      </c>
      <c r="H18" s="3">
        <f>เมย!H18+พค!H18+มิย!H18+กค!H18+สค!H18+กย!H18</f>
        <v>0</v>
      </c>
      <c r="I18" s="3">
        <f>เมย!I18+พค!I18+มิย!I18+กค!I18+สค!I18+กย!I18</f>
        <v>0</v>
      </c>
      <c r="J18" s="3">
        <f>เมย!J18+พค!J18+มิย!J18+กค!J18+สค!J18+กย!J18</f>
        <v>0</v>
      </c>
      <c r="K18" s="3">
        <f>เมย!K18+พค!K18+มิย!K18+กค!K18+สค!K18+กย!K18</f>
        <v>0</v>
      </c>
      <c r="L18" s="3">
        <f>เมย!L18+พค!L18+มิย!L18+กค!L18+สค!L18+กย!L18</f>
        <v>0</v>
      </c>
      <c r="M18" s="5">
        <f t="shared" si="3"/>
        <v>0</v>
      </c>
      <c r="N18" s="28" t="e">
        <f t="shared" si="4"/>
        <v>#DIV/0!</v>
      </c>
      <c r="O18" s="3">
        <f>เมย!O18+พค!O18+มิย!O18+กค!O18+สค!O18+กย!O18</f>
        <v>0</v>
      </c>
      <c r="P18" s="3">
        <f>เมย!P18+พค!P18+มิย!P18+กค!P18+สค!P18+กย!P18</f>
        <v>0</v>
      </c>
      <c r="Q18" s="3">
        <f>เมย!Q18+พค!Q18+มิย!Q18+กค!Q18+สค!Q18+กย!Q18</f>
        <v>0</v>
      </c>
      <c r="R18" s="3">
        <f>เมย!R18+พค!R18+มิย!R18+กค!R18+สค!R18+กย!R18</f>
        <v>0</v>
      </c>
      <c r="S18" s="3">
        <f>เมย!S18+พค!S18+มิย!S18+กค!S18+สค!S18+กย!S18</f>
        <v>0</v>
      </c>
      <c r="T18" s="37">
        <f t="shared" si="0"/>
        <v>0</v>
      </c>
      <c r="U18" s="28" t="e">
        <f t="shared" si="5"/>
        <v>#DIV/0!</v>
      </c>
      <c r="V18" s="59">
        <f t="shared" si="1"/>
        <v>0</v>
      </c>
    </row>
    <row r="19" spans="1:22" ht="22.5" customHeight="1">
      <c r="A19" s="87">
        <v>4</v>
      </c>
      <c r="B19" s="7" t="s">
        <v>12</v>
      </c>
      <c r="C19" s="3">
        <f>เมย!C19+พค!C19+มิย!C19+กค!C19+สค!C19+กย!C19</f>
        <v>0</v>
      </c>
      <c r="D19" s="3">
        <f>เมย!D19+พค!D19+มิย!D19+กค!D19+สค!D19+กย!D19</f>
        <v>0</v>
      </c>
      <c r="E19" s="4">
        <f t="shared" si="2"/>
        <v>0</v>
      </c>
      <c r="F19" s="3">
        <f>เมย!F19+พค!F19+มิย!F19+กค!F19+สค!F19+กย!F19</f>
        <v>0</v>
      </c>
      <c r="G19" s="3">
        <f>เมย!G19+พค!G19+มิย!G19+กค!G19+สค!G19+กย!G19</f>
        <v>0</v>
      </c>
      <c r="H19" s="3">
        <f>เมย!H19+พค!H19+มิย!H19+กค!H19+สค!H19+กย!H19</f>
        <v>0</v>
      </c>
      <c r="I19" s="3">
        <f>เมย!I19+พค!I19+มิย!I19+กค!I19+สค!I19+กย!I19</f>
        <v>0</v>
      </c>
      <c r="J19" s="3">
        <f>เมย!J19+พค!J19+มิย!J19+กค!J19+สค!J19+กย!J19</f>
        <v>0</v>
      </c>
      <c r="K19" s="3">
        <f>เมย!K19+พค!K19+มิย!K19+กค!K19+สค!K19+กย!K19</f>
        <v>0</v>
      </c>
      <c r="L19" s="3">
        <f>เมย!L19+พค!L19+มิย!L19+กค!L19+สค!L19+กย!L19</f>
        <v>0</v>
      </c>
      <c r="M19" s="5">
        <f t="shared" si="3"/>
        <v>0</v>
      </c>
      <c r="N19" s="28" t="e">
        <f t="shared" si="4"/>
        <v>#DIV/0!</v>
      </c>
      <c r="O19" s="3">
        <f>เมย!O19+พค!O19+มิย!O19+กค!O19+สค!O19+กย!O19</f>
        <v>0</v>
      </c>
      <c r="P19" s="3">
        <f>เมย!P19+พค!P19+มิย!P19+กค!P19+สค!P19+กย!P19</f>
        <v>0</v>
      </c>
      <c r="Q19" s="3">
        <f>เมย!Q19+พค!Q19+มิย!Q19+กค!Q19+สค!Q19+กย!Q19</f>
        <v>0</v>
      </c>
      <c r="R19" s="3">
        <f>เมย!R19+พค!R19+มิย!R19+กค!R19+สค!R19+กย!R19</f>
        <v>0</v>
      </c>
      <c r="S19" s="3">
        <f>เมย!S19+พค!S19+มิย!S19+กค!S19+สค!S19+กย!S19</f>
        <v>0</v>
      </c>
      <c r="T19" s="37">
        <f t="shared" si="0"/>
        <v>0</v>
      </c>
      <c r="U19" s="28" t="e">
        <f t="shared" si="5"/>
        <v>#DIV/0!</v>
      </c>
      <c r="V19" s="59">
        <f t="shared" si="1"/>
        <v>0</v>
      </c>
    </row>
    <row r="20" spans="1:22" ht="22.5" customHeight="1">
      <c r="A20" s="87"/>
      <c r="B20" s="7" t="s">
        <v>13</v>
      </c>
      <c r="C20" s="3">
        <f>เมย!C20+พค!C20+มิย!C20+กค!C20+สค!C20+กย!C20</f>
        <v>0</v>
      </c>
      <c r="D20" s="3">
        <f>เมย!D20+พค!D20+มิย!D20+กค!D20+สค!D20+กย!D20</f>
        <v>0</v>
      </c>
      <c r="E20" s="4">
        <f t="shared" si="2"/>
        <v>0</v>
      </c>
      <c r="F20" s="3">
        <f>เมย!F20+พค!F20+มิย!F20+กค!F20+สค!F20+กย!F20</f>
        <v>0</v>
      </c>
      <c r="G20" s="3">
        <f>เมย!G20+พค!G20+มิย!G20+กค!G20+สค!G20+กย!G20</f>
        <v>0</v>
      </c>
      <c r="H20" s="3">
        <f>เมย!H20+พค!H20+มิย!H20+กค!H20+สค!H20+กย!H20</f>
        <v>0</v>
      </c>
      <c r="I20" s="3">
        <f>เมย!I20+พค!I20+มิย!I20+กค!I20+สค!I20+กย!I20</f>
        <v>0</v>
      </c>
      <c r="J20" s="3">
        <f>เมย!J20+พค!J20+มิย!J20+กค!J20+สค!J20+กย!J20</f>
        <v>0</v>
      </c>
      <c r="K20" s="3">
        <f>เมย!K20+พค!K20+มิย!K20+กค!K20+สค!K20+กย!K20</f>
        <v>0</v>
      </c>
      <c r="L20" s="3">
        <f>เมย!L20+พค!L20+มิย!L20+กค!L20+สค!L20+กย!L20</f>
        <v>0</v>
      </c>
      <c r="M20" s="5">
        <f t="shared" si="3"/>
        <v>0</v>
      </c>
      <c r="N20" s="28" t="e">
        <f t="shared" si="4"/>
        <v>#DIV/0!</v>
      </c>
      <c r="O20" s="3">
        <f>เมย!O20+พค!O20+มิย!O20+กค!O20+สค!O20+กย!O20</f>
        <v>0</v>
      </c>
      <c r="P20" s="3">
        <f>เมย!P20+พค!P20+มิย!P20+กค!P20+สค!P20+กย!P20</f>
        <v>0</v>
      </c>
      <c r="Q20" s="3">
        <f>เมย!Q20+พค!Q20+มิย!Q20+กค!Q20+สค!Q20+กย!Q20</f>
        <v>0</v>
      </c>
      <c r="R20" s="3">
        <f>เมย!R20+พค!R20+มิย!R20+กค!R20+สค!R20+กย!R20</f>
        <v>0</v>
      </c>
      <c r="S20" s="3">
        <f>เมย!S20+พค!S20+มิย!S20+กค!S20+สค!S20+กย!S20</f>
        <v>0</v>
      </c>
      <c r="T20" s="37">
        <f t="shared" si="0"/>
        <v>0</v>
      </c>
      <c r="U20" s="28" t="e">
        <f t="shared" si="5"/>
        <v>#DIV/0!</v>
      </c>
      <c r="V20" s="59">
        <f t="shared" si="1"/>
        <v>0</v>
      </c>
    </row>
    <row r="21" spans="1:22" ht="22.5" customHeight="1">
      <c r="A21" s="87"/>
      <c r="B21" s="7" t="s">
        <v>14</v>
      </c>
      <c r="C21" s="3">
        <f>เมย!C21+พค!C21+มิย!C21+กค!C21+สค!C21+กย!C21</f>
        <v>0</v>
      </c>
      <c r="D21" s="3">
        <f>เมย!D21+พค!D21+มิย!D21+กค!D21+สค!D21+กย!D21</f>
        <v>0</v>
      </c>
      <c r="E21" s="4">
        <f t="shared" si="2"/>
        <v>0</v>
      </c>
      <c r="F21" s="3">
        <f>เมย!F21+พค!F21+มิย!F21+กค!F21+สค!F21+กย!F21</f>
        <v>0</v>
      </c>
      <c r="G21" s="3">
        <f>เมย!G21+พค!G21+มิย!G21+กค!G21+สค!G21+กย!G21</f>
        <v>0</v>
      </c>
      <c r="H21" s="3">
        <f>เมย!H21+พค!H21+มิย!H21+กค!H21+สค!H21+กย!H21</f>
        <v>0</v>
      </c>
      <c r="I21" s="3">
        <f>เมย!I21+พค!I21+มิย!I21+กค!I21+สค!I21+กย!I21</f>
        <v>0</v>
      </c>
      <c r="J21" s="3">
        <f>เมย!J21+พค!J21+มิย!J21+กค!J21+สค!J21+กย!J21</f>
        <v>0</v>
      </c>
      <c r="K21" s="3">
        <f>เมย!K21+พค!K21+มิย!K21+กค!K21+สค!K21+กย!K21</f>
        <v>0</v>
      </c>
      <c r="L21" s="3">
        <f>เมย!L21+พค!L21+มิย!L21+กค!L21+สค!L21+กย!L21</f>
        <v>0</v>
      </c>
      <c r="M21" s="5">
        <f t="shared" si="3"/>
        <v>0</v>
      </c>
      <c r="N21" s="28" t="e">
        <f t="shared" si="4"/>
        <v>#DIV/0!</v>
      </c>
      <c r="O21" s="3">
        <f>เมย!O21+พค!O21+มิย!O21+กค!O21+สค!O21+กย!O21</f>
        <v>0</v>
      </c>
      <c r="P21" s="3">
        <f>เมย!P21+พค!P21+มิย!P21+กค!P21+สค!P21+กย!P21</f>
        <v>0</v>
      </c>
      <c r="Q21" s="3">
        <f>เมย!Q21+พค!Q21+มิย!Q21+กค!Q21+สค!Q21+กย!Q21</f>
        <v>0</v>
      </c>
      <c r="R21" s="3">
        <f>เมย!R21+พค!R21+มิย!R21+กค!R21+สค!R21+กย!R21</f>
        <v>0</v>
      </c>
      <c r="S21" s="3">
        <f>เมย!S21+พค!S21+มิย!S21+กค!S21+สค!S21+กย!S21</f>
        <v>0</v>
      </c>
      <c r="T21" s="37">
        <f t="shared" si="0"/>
        <v>0</v>
      </c>
      <c r="U21" s="28" t="e">
        <f t="shared" si="5"/>
        <v>#DIV/0!</v>
      </c>
      <c r="V21" s="59">
        <f t="shared" si="1"/>
        <v>0</v>
      </c>
    </row>
    <row r="22" spans="1:22" ht="22.5" customHeight="1">
      <c r="A22" s="87">
        <v>5</v>
      </c>
      <c r="B22" s="7" t="s">
        <v>12</v>
      </c>
      <c r="C22" s="3">
        <f>เมย!C22+พค!C22+มิย!C22+กค!C22+สค!C22+กย!C22</f>
        <v>0</v>
      </c>
      <c r="D22" s="3">
        <f>เมย!D22+พค!D22+มิย!D22+กค!D22+สค!D22+กย!D22</f>
        <v>0</v>
      </c>
      <c r="E22" s="4">
        <f t="shared" si="2"/>
        <v>0</v>
      </c>
      <c r="F22" s="3">
        <f>เมย!F22+พค!F22+มิย!F22+กค!F22+สค!F22+กย!F22</f>
        <v>0</v>
      </c>
      <c r="G22" s="3">
        <f>เมย!G22+พค!G22+มิย!G22+กค!G22+สค!G22+กย!G22</f>
        <v>0</v>
      </c>
      <c r="H22" s="3">
        <f>เมย!H22+พค!H22+มิย!H22+กค!H22+สค!H22+กย!H22</f>
        <v>0</v>
      </c>
      <c r="I22" s="3">
        <f>เมย!I22+พค!I22+มิย!I22+กค!I22+สค!I22+กย!I22</f>
        <v>0</v>
      </c>
      <c r="J22" s="3">
        <f>เมย!J22+พค!J22+มิย!J22+กค!J22+สค!J22+กย!J22</f>
        <v>0</v>
      </c>
      <c r="K22" s="3">
        <f>เมย!K22+พค!K22+มิย!K22+กค!K22+สค!K22+กย!K22</f>
        <v>0</v>
      </c>
      <c r="L22" s="3">
        <f>เมย!L22+พค!L22+มิย!L22+กค!L22+สค!L22+กย!L22</f>
        <v>0</v>
      </c>
      <c r="M22" s="5">
        <f t="shared" si="3"/>
        <v>0</v>
      </c>
      <c r="N22" s="28" t="e">
        <f t="shared" si="4"/>
        <v>#DIV/0!</v>
      </c>
      <c r="O22" s="3">
        <f>เมย!O22+พค!O22+มิย!O22+กค!O22+สค!O22+กย!O22</f>
        <v>0</v>
      </c>
      <c r="P22" s="3">
        <f>เมย!P22+พค!P22+มิย!P22+กค!P22+สค!P22+กย!P22</f>
        <v>0</v>
      </c>
      <c r="Q22" s="3">
        <f>เมย!Q22+พค!Q22+มิย!Q22+กค!Q22+สค!Q22+กย!Q22</f>
        <v>0</v>
      </c>
      <c r="R22" s="3">
        <f>เมย!R22+พค!R22+มิย!R22+กค!R22+สค!R22+กย!R22</f>
        <v>0</v>
      </c>
      <c r="S22" s="3">
        <f>เมย!S22+พค!S22+มิย!S22+กค!S22+สค!S22+กย!S22</f>
        <v>0</v>
      </c>
      <c r="T22" s="37">
        <f t="shared" si="0"/>
        <v>0</v>
      </c>
      <c r="U22" s="28" t="e">
        <f t="shared" si="5"/>
        <v>#DIV/0!</v>
      </c>
      <c r="V22" s="59">
        <f t="shared" si="1"/>
        <v>0</v>
      </c>
    </row>
    <row r="23" spans="1:22" ht="22.5" customHeight="1">
      <c r="A23" s="87"/>
      <c r="B23" s="7" t="s">
        <v>13</v>
      </c>
      <c r="C23" s="3">
        <f>เมย!C23+พค!C23+มิย!C23+กค!C23+สค!C23+กย!C23</f>
        <v>0</v>
      </c>
      <c r="D23" s="3">
        <f>เมย!D23+พค!D23+มิย!D23+กค!D23+สค!D23+กย!D23</f>
        <v>0</v>
      </c>
      <c r="E23" s="4">
        <f t="shared" si="2"/>
        <v>0</v>
      </c>
      <c r="F23" s="3">
        <f>เมย!F23+พค!F23+มิย!F23+กค!F23+สค!F23+กย!F23</f>
        <v>0</v>
      </c>
      <c r="G23" s="3">
        <f>เมย!G23+พค!G23+มิย!G23+กค!G23+สค!G23+กย!G23</f>
        <v>0</v>
      </c>
      <c r="H23" s="3">
        <f>เมย!H23+พค!H23+มิย!H23+กค!H23+สค!H23+กย!H23</f>
        <v>0</v>
      </c>
      <c r="I23" s="3">
        <f>เมย!I23+พค!I23+มิย!I23+กค!I23+สค!I23+กย!I23</f>
        <v>0</v>
      </c>
      <c r="J23" s="3">
        <f>เมย!J23+พค!J23+มิย!J23+กค!J23+สค!J23+กย!J23</f>
        <v>0</v>
      </c>
      <c r="K23" s="3">
        <f>เมย!K23+พค!K23+มิย!K23+กค!K23+สค!K23+กย!K23</f>
        <v>0</v>
      </c>
      <c r="L23" s="3">
        <f>เมย!L23+พค!L23+มิย!L23+กค!L23+สค!L23+กย!L23</f>
        <v>0</v>
      </c>
      <c r="M23" s="5">
        <f t="shared" si="3"/>
        <v>0</v>
      </c>
      <c r="N23" s="28" t="e">
        <f t="shared" si="4"/>
        <v>#DIV/0!</v>
      </c>
      <c r="O23" s="3">
        <f>เมย!O23+พค!O23+มิย!O23+กค!O23+สค!O23+กย!O23</f>
        <v>0</v>
      </c>
      <c r="P23" s="3">
        <f>เมย!P23+พค!P23+มิย!P23+กค!P23+สค!P23+กย!P23</f>
        <v>0</v>
      </c>
      <c r="Q23" s="3">
        <f>เมย!Q23+พค!Q23+มิย!Q23+กค!Q23+สค!Q23+กย!Q23</f>
        <v>0</v>
      </c>
      <c r="R23" s="3">
        <f>เมย!R23+พค!R23+มิย!R23+กค!R23+สค!R23+กย!R23</f>
        <v>0</v>
      </c>
      <c r="S23" s="3">
        <f>เมย!S23+พค!S23+มิย!S23+กค!S23+สค!S23+กย!S23</f>
        <v>0</v>
      </c>
      <c r="T23" s="37">
        <f t="shared" si="0"/>
        <v>0</v>
      </c>
      <c r="U23" s="28" t="e">
        <f t="shared" si="5"/>
        <v>#DIV/0!</v>
      </c>
      <c r="V23" s="59">
        <f t="shared" si="1"/>
        <v>0</v>
      </c>
    </row>
    <row r="24" spans="1:22" ht="22.5" customHeight="1">
      <c r="A24" s="87"/>
      <c r="B24" s="7" t="s">
        <v>14</v>
      </c>
      <c r="C24" s="3">
        <f>เมย!C24+พค!C24+มิย!C24+กค!C24+สค!C24+กย!C24</f>
        <v>0</v>
      </c>
      <c r="D24" s="3">
        <f>เมย!D24+พค!D24+มิย!D24+กค!D24+สค!D24+กย!D24</f>
        <v>0</v>
      </c>
      <c r="E24" s="4">
        <f t="shared" si="2"/>
        <v>0</v>
      </c>
      <c r="F24" s="3">
        <f>เมย!F24+พค!F24+มิย!F24+กค!F24+สค!F24+กย!F24</f>
        <v>0</v>
      </c>
      <c r="G24" s="3">
        <f>เมย!G24+พค!G24+มิย!G24+กค!G24+สค!G24+กย!G24</f>
        <v>0</v>
      </c>
      <c r="H24" s="3">
        <f>เมย!H24+พค!H24+มิย!H24+กค!H24+สค!H24+กย!H24</f>
        <v>0</v>
      </c>
      <c r="I24" s="3">
        <f>เมย!I24+พค!I24+มิย!I24+กค!I24+สค!I24+กย!I24</f>
        <v>0</v>
      </c>
      <c r="J24" s="3">
        <f>เมย!J24+พค!J24+มิย!J24+กค!J24+สค!J24+กย!J24</f>
        <v>0</v>
      </c>
      <c r="K24" s="3">
        <f>เมย!K24+พค!K24+มิย!K24+กค!K24+สค!K24+กย!K24</f>
        <v>0</v>
      </c>
      <c r="L24" s="3">
        <f>เมย!L24+พค!L24+มิย!L24+กค!L24+สค!L24+กย!L24</f>
        <v>0</v>
      </c>
      <c r="M24" s="5">
        <f t="shared" si="3"/>
        <v>0</v>
      </c>
      <c r="N24" s="28" t="e">
        <f t="shared" si="4"/>
        <v>#DIV/0!</v>
      </c>
      <c r="O24" s="3">
        <f>เมย!O24+พค!O24+มิย!O24+กค!O24+สค!O24+กย!O24</f>
        <v>0</v>
      </c>
      <c r="P24" s="3">
        <f>เมย!P24+พค!P24+มิย!P24+กค!P24+สค!P24+กย!P24</f>
        <v>0</v>
      </c>
      <c r="Q24" s="3">
        <f>เมย!Q24+พค!Q24+มิย!Q24+กค!Q24+สค!Q24+กย!Q24</f>
        <v>0</v>
      </c>
      <c r="R24" s="3">
        <f>เมย!R24+พค!R24+มิย!R24+กค!R24+สค!R24+กย!R24</f>
        <v>0</v>
      </c>
      <c r="S24" s="3">
        <f>เมย!S24+พค!S24+มิย!S24+กค!S24+สค!S24+กย!S24</f>
        <v>0</v>
      </c>
      <c r="T24" s="37">
        <f t="shared" si="0"/>
        <v>0</v>
      </c>
      <c r="U24" s="28" t="e">
        <f t="shared" si="5"/>
        <v>#DIV/0!</v>
      </c>
      <c r="V24" s="59">
        <f t="shared" si="1"/>
        <v>0</v>
      </c>
    </row>
    <row r="25" spans="1:22" ht="22.5" customHeight="1">
      <c r="A25" s="87">
        <v>6</v>
      </c>
      <c r="B25" s="7" t="s">
        <v>12</v>
      </c>
      <c r="C25" s="3">
        <f>เมย!C25+พค!C25+มิย!C25+กค!C25+สค!C25+กย!C25</f>
        <v>0</v>
      </c>
      <c r="D25" s="3">
        <f>เมย!D25+พค!D25+มิย!D25+กค!D25+สค!D25+กย!D25</f>
        <v>0</v>
      </c>
      <c r="E25" s="4">
        <f t="shared" si="2"/>
        <v>0</v>
      </c>
      <c r="F25" s="3">
        <f>เมย!F25+พค!F25+มิย!F25+กค!F25+สค!F25+กย!F25</f>
        <v>0</v>
      </c>
      <c r="G25" s="3">
        <f>เมย!G25+พค!G25+มิย!G25+กค!G25+สค!G25+กย!G25</f>
        <v>0</v>
      </c>
      <c r="H25" s="3">
        <f>เมย!H25+พค!H25+มิย!H25+กค!H25+สค!H25+กย!H25</f>
        <v>0</v>
      </c>
      <c r="I25" s="3">
        <f>เมย!I25+พค!I25+มิย!I25+กค!I25+สค!I25+กย!I25</f>
        <v>0</v>
      </c>
      <c r="J25" s="3">
        <f>เมย!J25+พค!J25+มิย!J25+กค!J25+สค!J25+กย!J25</f>
        <v>0</v>
      </c>
      <c r="K25" s="3">
        <f>เมย!K25+พค!K25+มิย!K25+กค!K25+สค!K25+กย!K25</f>
        <v>0</v>
      </c>
      <c r="L25" s="3">
        <f>เมย!L25+พค!L25+มิย!L25+กค!L25+สค!L25+กย!L25</f>
        <v>0</v>
      </c>
      <c r="M25" s="5">
        <f t="shared" si="3"/>
        <v>0</v>
      </c>
      <c r="N25" s="28" t="e">
        <f t="shared" si="4"/>
        <v>#DIV/0!</v>
      </c>
      <c r="O25" s="3">
        <f>เมย!O25+พค!O25+มิย!O25+กค!O25+สค!O25+กย!O25</f>
        <v>0</v>
      </c>
      <c r="P25" s="3">
        <f>เมย!P25+พค!P25+มิย!P25+กค!P25+สค!P25+กย!P25</f>
        <v>0</v>
      </c>
      <c r="Q25" s="3">
        <f>เมย!Q25+พค!Q25+มิย!Q25+กค!Q25+สค!Q25+กย!Q25</f>
        <v>0</v>
      </c>
      <c r="R25" s="3">
        <f>เมย!R25+พค!R25+มิย!R25+กค!R25+สค!R25+กย!R25</f>
        <v>0</v>
      </c>
      <c r="S25" s="3">
        <f>เมย!S25+พค!S25+มิย!S25+กค!S25+สค!S25+กย!S25</f>
        <v>0</v>
      </c>
      <c r="T25" s="37">
        <f t="shared" si="0"/>
        <v>0</v>
      </c>
      <c r="U25" s="28" t="e">
        <f t="shared" si="5"/>
        <v>#DIV/0!</v>
      </c>
      <c r="V25" s="59">
        <f t="shared" si="1"/>
        <v>0</v>
      </c>
    </row>
    <row r="26" spans="1:22" ht="22.5" customHeight="1">
      <c r="A26" s="87"/>
      <c r="B26" s="7" t="s">
        <v>13</v>
      </c>
      <c r="C26" s="3">
        <f>เมย!C26+พค!C26+มิย!C26+กค!C26+สค!C26+กย!C26</f>
        <v>0</v>
      </c>
      <c r="D26" s="3">
        <f>เมย!D26+พค!D26+มิย!D26+กค!D26+สค!D26+กย!D26</f>
        <v>0</v>
      </c>
      <c r="E26" s="4">
        <f t="shared" si="2"/>
        <v>0</v>
      </c>
      <c r="F26" s="3">
        <f>เมย!F26+พค!F26+มิย!F26+กค!F26+สค!F26+กย!F26</f>
        <v>0</v>
      </c>
      <c r="G26" s="3">
        <f>เมย!G26+พค!G26+มิย!G26+กค!G26+สค!G26+กย!G26</f>
        <v>0</v>
      </c>
      <c r="H26" s="3">
        <f>เมย!H26+พค!H26+มิย!H26+กค!H26+สค!H26+กย!H26</f>
        <v>0</v>
      </c>
      <c r="I26" s="3">
        <f>เมย!I26+พค!I26+มิย!I26+กค!I26+สค!I26+กย!I26</f>
        <v>0</v>
      </c>
      <c r="J26" s="3">
        <f>เมย!J26+พค!J26+มิย!J26+กค!J26+สค!J26+กย!J26</f>
        <v>0</v>
      </c>
      <c r="K26" s="3">
        <f>เมย!K26+พค!K26+มิย!K26+กค!K26+สค!K26+กย!K26</f>
        <v>0</v>
      </c>
      <c r="L26" s="3">
        <f>เมย!L26+พค!L26+มิย!L26+กค!L26+สค!L26+กย!L26</f>
        <v>0</v>
      </c>
      <c r="M26" s="5">
        <f t="shared" si="3"/>
        <v>0</v>
      </c>
      <c r="N26" s="28" t="e">
        <f t="shared" si="4"/>
        <v>#DIV/0!</v>
      </c>
      <c r="O26" s="3">
        <f>เมย!O26+พค!O26+มิย!O26+กค!O26+สค!O26+กย!O26</f>
        <v>0</v>
      </c>
      <c r="P26" s="3">
        <f>เมย!P26+พค!P26+มิย!P26+กค!P26+สค!P26+กย!P26</f>
        <v>0</v>
      </c>
      <c r="Q26" s="3">
        <f>เมย!Q26+พค!Q26+มิย!Q26+กค!Q26+สค!Q26+กย!Q26</f>
        <v>0</v>
      </c>
      <c r="R26" s="3">
        <f>เมย!R26+พค!R26+มิย!R26+กค!R26+สค!R26+กย!R26</f>
        <v>0</v>
      </c>
      <c r="S26" s="3">
        <f>เมย!S26+พค!S26+มิย!S26+กค!S26+สค!S26+กย!S26</f>
        <v>0</v>
      </c>
      <c r="T26" s="37">
        <f t="shared" si="0"/>
        <v>0</v>
      </c>
      <c r="U26" s="28" t="e">
        <f t="shared" si="5"/>
        <v>#DIV/0!</v>
      </c>
      <c r="V26" s="59">
        <f t="shared" si="1"/>
        <v>0</v>
      </c>
    </row>
    <row r="27" spans="1:22" ht="22.5" customHeight="1">
      <c r="A27" s="87"/>
      <c r="B27" s="7" t="s">
        <v>14</v>
      </c>
      <c r="C27" s="3">
        <f>เมย!C27+พค!C27+มิย!C27+กค!C27+สค!C27+กย!C27</f>
        <v>0</v>
      </c>
      <c r="D27" s="3">
        <f>เมย!D27+พค!D27+มิย!D27+กค!D27+สค!D27+กย!D27</f>
        <v>0</v>
      </c>
      <c r="E27" s="4">
        <f t="shared" si="2"/>
        <v>0</v>
      </c>
      <c r="F27" s="3">
        <f>เมย!F27+พค!F27+มิย!F27+กค!F27+สค!F27+กย!F27</f>
        <v>0</v>
      </c>
      <c r="G27" s="3">
        <f>เมย!G27+พค!G27+มิย!G27+กค!G27+สค!G27+กย!G27</f>
        <v>0</v>
      </c>
      <c r="H27" s="3">
        <f>เมย!H27+พค!H27+มิย!H27+กค!H27+สค!H27+กย!H27</f>
        <v>0</v>
      </c>
      <c r="I27" s="3">
        <f>เมย!I27+พค!I27+มิย!I27+กค!I27+สค!I27+กย!I27</f>
        <v>0</v>
      </c>
      <c r="J27" s="3">
        <f>เมย!J27+พค!J27+มิย!J27+กค!J27+สค!J27+กย!J27</f>
        <v>0</v>
      </c>
      <c r="K27" s="3">
        <f>เมย!K27+พค!K27+มิย!K27+กค!K27+สค!K27+กย!K27</f>
        <v>0</v>
      </c>
      <c r="L27" s="3">
        <f>เมย!L27+พค!L27+มิย!L27+กค!L27+สค!L27+กย!L27</f>
        <v>0</v>
      </c>
      <c r="M27" s="5">
        <f t="shared" si="3"/>
        <v>0</v>
      </c>
      <c r="N27" s="28" t="e">
        <f t="shared" si="4"/>
        <v>#DIV/0!</v>
      </c>
      <c r="O27" s="3">
        <f>เมย!O27+พค!O27+มิย!O27+กค!O27+สค!O27+กย!O27</f>
        <v>0</v>
      </c>
      <c r="P27" s="3">
        <f>เมย!P27+พค!P27+มิย!P27+กค!P27+สค!P27+กย!P27</f>
        <v>0</v>
      </c>
      <c r="Q27" s="3">
        <f>เมย!Q27+พค!Q27+มิย!Q27+กค!Q27+สค!Q27+กย!Q27</f>
        <v>0</v>
      </c>
      <c r="R27" s="3">
        <f>เมย!R27+พค!R27+มิย!R27+กค!R27+สค!R27+กย!R27</f>
        <v>0</v>
      </c>
      <c r="S27" s="3">
        <f>เมย!S27+พค!S27+มิย!S27+กค!S27+สค!S27+กย!S27</f>
        <v>0</v>
      </c>
      <c r="T27" s="37">
        <f t="shared" si="0"/>
        <v>0</v>
      </c>
      <c r="U27" s="28" t="e">
        <f t="shared" si="5"/>
        <v>#DIV/0!</v>
      </c>
      <c r="V27" s="59">
        <f t="shared" si="1"/>
        <v>0</v>
      </c>
    </row>
    <row r="28" spans="1:22" ht="22.5" customHeight="1">
      <c r="A28" s="87">
        <v>7</v>
      </c>
      <c r="B28" s="7" t="s">
        <v>12</v>
      </c>
      <c r="C28" s="3">
        <f>เมย!C28+พค!C28+มิย!C28+กค!C28+สค!C28+กย!C28</f>
        <v>0</v>
      </c>
      <c r="D28" s="3">
        <f>เมย!D28+พค!D28+มิย!D28+กค!D28+สค!D28+กย!D28</f>
        <v>0</v>
      </c>
      <c r="E28" s="4">
        <f t="shared" si="2"/>
        <v>0</v>
      </c>
      <c r="F28" s="3">
        <f>เมย!F28+พค!F28+มิย!F28+กค!F28+สค!F28+กย!F28</f>
        <v>0</v>
      </c>
      <c r="G28" s="3">
        <f>เมย!G28+พค!G28+มิย!G28+กค!G28+สค!G28+กย!G28</f>
        <v>0</v>
      </c>
      <c r="H28" s="3">
        <f>เมย!H28+พค!H28+มิย!H28+กค!H28+สค!H28+กย!H28</f>
        <v>0</v>
      </c>
      <c r="I28" s="3">
        <f>เมย!I28+พค!I28+มิย!I28+กค!I28+สค!I28+กย!I28</f>
        <v>0</v>
      </c>
      <c r="J28" s="3">
        <f>เมย!J28+พค!J28+มิย!J28+กค!J28+สค!J28+กย!J28</f>
        <v>0</v>
      </c>
      <c r="K28" s="3">
        <f>เมย!K28+พค!K28+มิย!K28+กค!K28+สค!K28+กย!K28</f>
        <v>0</v>
      </c>
      <c r="L28" s="3">
        <f>เมย!L28+พค!L28+มิย!L28+กค!L28+สค!L28+กย!L28</f>
        <v>0</v>
      </c>
      <c r="M28" s="5">
        <f t="shared" si="3"/>
        <v>0</v>
      </c>
      <c r="N28" s="28" t="e">
        <f t="shared" si="4"/>
        <v>#DIV/0!</v>
      </c>
      <c r="O28" s="3">
        <f>เมย!O28+พค!O28+มิย!O28+กค!O28+สค!O28+กย!O28</f>
        <v>0</v>
      </c>
      <c r="P28" s="3">
        <f>เมย!P28+พค!P28+มิย!P28+กค!P28+สค!P28+กย!P28</f>
        <v>0</v>
      </c>
      <c r="Q28" s="3">
        <f>เมย!Q28+พค!Q28+มิย!Q28+กค!Q28+สค!Q28+กย!Q28</f>
        <v>0</v>
      </c>
      <c r="R28" s="3">
        <f>เมย!R28+พค!R28+มิย!R28+กค!R28+สค!R28+กย!R28</f>
        <v>0</v>
      </c>
      <c r="S28" s="3">
        <f>เมย!S28+พค!S28+มิย!S28+กค!S28+สค!S28+กย!S28</f>
        <v>0</v>
      </c>
      <c r="T28" s="37">
        <f t="shared" si="0"/>
        <v>0</v>
      </c>
      <c r="U28" s="28" t="e">
        <f t="shared" si="5"/>
        <v>#DIV/0!</v>
      </c>
      <c r="V28" s="59">
        <f t="shared" si="1"/>
        <v>0</v>
      </c>
    </row>
    <row r="29" spans="1:22" ht="22.5" customHeight="1">
      <c r="A29" s="87"/>
      <c r="B29" s="7" t="s">
        <v>13</v>
      </c>
      <c r="C29" s="3">
        <f>เมย!C29+พค!C29+มิย!C29+กค!C29+สค!C29+กย!C29</f>
        <v>0</v>
      </c>
      <c r="D29" s="3">
        <f>เมย!D29+พค!D29+มิย!D29+กค!D29+สค!D29+กย!D29</f>
        <v>0</v>
      </c>
      <c r="E29" s="4">
        <f t="shared" si="2"/>
        <v>0</v>
      </c>
      <c r="F29" s="3">
        <f>เมย!F29+พค!F29+มิย!F29+กค!F29+สค!F29+กย!F29</f>
        <v>0</v>
      </c>
      <c r="G29" s="3">
        <f>เมย!G29+พค!G29+มิย!G29+กค!G29+สค!G29+กย!G29</f>
        <v>0</v>
      </c>
      <c r="H29" s="3">
        <f>เมย!H29+พค!H29+มิย!H29+กค!H29+สค!H29+กย!H29</f>
        <v>0</v>
      </c>
      <c r="I29" s="3">
        <f>เมย!I29+พค!I29+มิย!I29+กค!I29+สค!I29+กย!I29</f>
        <v>0</v>
      </c>
      <c r="J29" s="3">
        <f>เมย!J29+พค!J29+มิย!J29+กค!J29+สค!J29+กย!J29</f>
        <v>0</v>
      </c>
      <c r="K29" s="3">
        <f>เมย!K29+พค!K29+มิย!K29+กค!K29+สค!K29+กย!K29</f>
        <v>0</v>
      </c>
      <c r="L29" s="3">
        <f>เมย!L29+พค!L29+มิย!L29+กค!L29+สค!L29+กย!L29</f>
        <v>0</v>
      </c>
      <c r="M29" s="5">
        <f t="shared" si="3"/>
        <v>0</v>
      </c>
      <c r="N29" s="28" t="e">
        <f t="shared" si="4"/>
        <v>#DIV/0!</v>
      </c>
      <c r="O29" s="3">
        <f>เมย!O29+พค!O29+มิย!O29+กค!O29+สค!O29+กย!O29</f>
        <v>0</v>
      </c>
      <c r="P29" s="3">
        <f>เมย!P29+พค!P29+มิย!P29+กค!P29+สค!P29+กย!P29</f>
        <v>0</v>
      </c>
      <c r="Q29" s="3">
        <f>เมย!Q29+พค!Q29+มิย!Q29+กค!Q29+สค!Q29+กย!Q29</f>
        <v>0</v>
      </c>
      <c r="R29" s="3">
        <f>เมย!R29+พค!R29+มิย!R29+กค!R29+สค!R29+กย!R29</f>
        <v>0</v>
      </c>
      <c r="S29" s="3">
        <f>เมย!S29+พค!S29+มิย!S29+กค!S29+สค!S29+กย!S29</f>
        <v>0</v>
      </c>
      <c r="T29" s="37">
        <f t="shared" si="0"/>
        <v>0</v>
      </c>
      <c r="U29" s="28" t="e">
        <f t="shared" si="5"/>
        <v>#DIV/0!</v>
      </c>
      <c r="V29" s="59">
        <f t="shared" si="1"/>
        <v>0</v>
      </c>
    </row>
    <row r="30" spans="1:22" ht="22.5" customHeight="1">
      <c r="A30" s="87"/>
      <c r="B30" s="7" t="s">
        <v>14</v>
      </c>
      <c r="C30" s="3">
        <f>เมย!C30+พค!C30+มิย!C30+กค!C30+สค!C30+กย!C30</f>
        <v>0</v>
      </c>
      <c r="D30" s="3">
        <f>เมย!D30+พค!D30+มิย!D30+กค!D30+สค!D30+กย!D30</f>
        <v>0</v>
      </c>
      <c r="E30" s="4">
        <f t="shared" si="2"/>
        <v>0</v>
      </c>
      <c r="F30" s="3">
        <f>เมย!F30+พค!F30+มิย!F30+กค!F30+สค!F30+กย!F30</f>
        <v>0</v>
      </c>
      <c r="G30" s="3">
        <f>เมย!G30+พค!G30+มิย!G30+กค!G30+สค!G30+กย!G30</f>
        <v>0</v>
      </c>
      <c r="H30" s="3">
        <f>เมย!H30+พค!H30+มิย!H30+กค!H30+สค!H30+กย!H30</f>
        <v>0</v>
      </c>
      <c r="I30" s="3">
        <f>เมย!I30+พค!I30+มิย!I30+กค!I30+สค!I30+กย!I30</f>
        <v>0</v>
      </c>
      <c r="J30" s="3">
        <f>เมย!J30+พค!J30+มิย!J30+กค!J30+สค!J30+กย!J30</f>
        <v>0</v>
      </c>
      <c r="K30" s="3">
        <f>เมย!K30+พค!K30+มิย!K30+กค!K30+สค!K30+กย!K30</f>
        <v>0</v>
      </c>
      <c r="L30" s="3">
        <f>เมย!L30+พค!L30+มิย!L30+กค!L30+สค!L30+กย!L30</f>
        <v>0</v>
      </c>
      <c r="M30" s="5">
        <f t="shared" si="3"/>
        <v>0</v>
      </c>
      <c r="N30" s="28" t="e">
        <f t="shared" si="4"/>
        <v>#DIV/0!</v>
      </c>
      <c r="O30" s="3">
        <f>เมย!O30+พค!O30+มิย!O30+กค!O30+สค!O30+กย!O30</f>
        <v>0</v>
      </c>
      <c r="P30" s="3">
        <f>เมย!P30+พค!P30+มิย!P30+กค!P30+สค!P30+กย!P30</f>
        <v>0</v>
      </c>
      <c r="Q30" s="3">
        <f>เมย!Q30+พค!Q30+มิย!Q30+กค!Q30+สค!Q30+กย!Q30</f>
        <v>0</v>
      </c>
      <c r="R30" s="3">
        <f>เมย!R30+พค!R30+มิย!R30+กค!R30+สค!R30+กย!R30</f>
        <v>0</v>
      </c>
      <c r="S30" s="3">
        <f>เมย!S30+พค!S30+มิย!S30+กค!S30+สค!S30+กย!S30</f>
        <v>0</v>
      </c>
      <c r="T30" s="37">
        <f t="shared" si="0"/>
        <v>0</v>
      </c>
      <c r="U30" s="28" t="e">
        <f t="shared" si="5"/>
        <v>#DIV/0!</v>
      </c>
      <c r="V30" s="59">
        <f t="shared" si="1"/>
        <v>0</v>
      </c>
    </row>
    <row r="31" spans="1:22" ht="22.5" customHeight="1">
      <c r="A31" s="87">
        <v>8</v>
      </c>
      <c r="B31" s="7" t="s">
        <v>12</v>
      </c>
      <c r="C31" s="3">
        <f>เมย!C31+พค!C31+มิย!C31+กค!C31+สค!C31+กย!C31</f>
        <v>0</v>
      </c>
      <c r="D31" s="3">
        <f>เมย!D31+พค!D31+มิย!D31+กค!D31+สค!D31+กย!D31</f>
        <v>0</v>
      </c>
      <c r="E31" s="4">
        <f t="shared" si="2"/>
        <v>0</v>
      </c>
      <c r="F31" s="3">
        <f>เมย!F31+พค!F31+มิย!F31+กค!F31+สค!F31+กย!F31</f>
        <v>0</v>
      </c>
      <c r="G31" s="3">
        <f>เมย!G31+พค!G31+มิย!G31+กค!G31+สค!G31+กย!G31</f>
        <v>0</v>
      </c>
      <c r="H31" s="3">
        <f>เมย!H31+พค!H31+มิย!H31+กค!H31+สค!H31+กย!H31</f>
        <v>0</v>
      </c>
      <c r="I31" s="3">
        <f>เมย!I31+พค!I31+มิย!I31+กค!I31+สค!I31+กย!I31</f>
        <v>0</v>
      </c>
      <c r="J31" s="3">
        <f>เมย!J31+พค!J31+มิย!J31+กค!J31+สค!J31+กย!J31</f>
        <v>0</v>
      </c>
      <c r="K31" s="3">
        <f>เมย!K31+พค!K31+มิย!K31+กค!K31+สค!K31+กย!K31</f>
        <v>0</v>
      </c>
      <c r="L31" s="3">
        <f>เมย!L31+พค!L31+มิย!L31+กค!L31+สค!L31+กย!L31</f>
        <v>0</v>
      </c>
      <c r="M31" s="5">
        <f t="shared" si="3"/>
        <v>0</v>
      </c>
      <c r="N31" s="28" t="e">
        <f t="shared" si="4"/>
        <v>#DIV/0!</v>
      </c>
      <c r="O31" s="3">
        <f>เมย!O31+พค!O31+มิย!O31+กค!O31+สค!O31+กย!O31</f>
        <v>0</v>
      </c>
      <c r="P31" s="3">
        <f>เมย!P31+พค!P31+มิย!P31+กค!P31+สค!P31+กย!P31</f>
        <v>0</v>
      </c>
      <c r="Q31" s="3">
        <f>เมย!Q31+พค!Q31+มิย!Q31+กค!Q31+สค!Q31+กย!Q31</f>
        <v>0</v>
      </c>
      <c r="R31" s="3">
        <f>เมย!R31+พค!R31+มิย!R31+กค!R31+สค!R31+กย!R31</f>
        <v>0</v>
      </c>
      <c r="S31" s="3">
        <f>เมย!S31+พค!S31+มิย!S31+กค!S31+สค!S31+กย!S31</f>
        <v>0</v>
      </c>
      <c r="T31" s="37">
        <f t="shared" si="0"/>
        <v>0</v>
      </c>
      <c r="U31" s="28" t="e">
        <f t="shared" si="5"/>
        <v>#DIV/0!</v>
      </c>
      <c r="V31" s="59">
        <f t="shared" si="1"/>
        <v>0</v>
      </c>
    </row>
    <row r="32" spans="1:22" ht="22.5" customHeight="1">
      <c r="A32" s="87"/>
      <c r="B32" s="7" t="s">
        <v>13</v>
      </c>
      <c r="C32" s="3">
        <f>เมย!C32+พค!C32+มิย!C32+กค!C32+สค!C32+กย!C32</f>
        <v>0</v>
      </c>
      <c r="D32" s="3">
        <f>เมย!D32+พค!D32+มิย!D32+กค!D32+สค!D32+กย!D32</f>
        <v>0</v>
      </c>
      <c r="E32" s="4">
        <f t="shared" si="2"/>
        <v>0</v>
      </c>
      <c r="F32" s="3">
        <f>เมย!F32+พค!F32+มิย!F32+กค!F32+สค!F32+กย!F32</f>
        <v>0</v>
      </c>
      <c r="G32" s="3">
        <f>เมย!G32+พค!G32+มิย!G32+กค!G32+สค!G32+กย!G32</f>
        <v>0</v>
      </c>
      <c r="H32" s="3">
        <f>เมย!H32+พค!H32+มิย!H32+กค!H32+สค!H32+กย!H32</f>
        <v>0</v>
      </c>
      <c r="I32" s="3">
        <f>เมย!I32+พค!I32+มิย!I32+กค!I32+สค!I32+กย!I32</f>
        <v>0</v>
      </c>
      <c r="J32" s="3">
        <f>เมย!J32+พค!J32+มิย!J32+กค!J32+สค!J32+กย!J32</f>
        <v>0</v>
      </c>
      <c r="K32" s="3">
        <f>เมย!K32+พค!K32+มิย!K32+กค!K32+สค!K32+กย!K32</f>
        <v>0</v>
      </c>
      <c r="L32" s="3">
        <f>เมย!L32+พค!L32+มิย!L32+กค!L32+สค!L32+กย!L32</f>
        <v>0</v>
      </c>
      <c r="M32" s="5">
        <f t="shared" si="3"/>
        <v>0</v>
      </c>
      <c r="N32" s="28" t="e">
        <f t="shared" si="4"/>
        <v>#DIV/0!</v>
      </c>
      <c r="O32" s="3">
        <f>เมย!O32+พค!O32+มิย!O32+กค!O32+สค!O32+กย!O32</f>
        <v>0</v>
      </c>
      <c r="P32" s="3">
        <f>เมย!P32+พค!P32+มิย!P32+กค!P32+สค!P32+กย!P32</f>
        <v>0</v>
      </c>
      <c r="Q32" s="3">
        <f>เมย!Q32+พค!Q32+มิย!Q32+กค!Q32+สค!Q32+กย!Q32</f>
        <v>0</v>
      </c>
      <c r="R32" s="3">
        <f>เมย!R32+พค!R32+มิย!R32+กค!R32+สค!R32+กย!R32</f>
        <v>0</v>
      </c>
      <c r="S32" s="3">
        <f>เมย!S32+พค!S32+มิย!S32+กค!S32+สค!S32+กย!S32</f>
        <v>0</v>
      </c>
      <c r="T32" s="37">
        <f t="shared" si="0"/>
        <v>0</v>
      </c>
      <c r="U32" s="28" t="e">
        <f t="shared" si="5"/>
        <v>#DIV/0!</v>
      </c>
      <c r="V32" s="59">
        <f t="shared" si="1"/>
        <v>0</v>
      </c>
    </row>
    <row r="33" spans="1:22" ht="22.5" customHeight="1">
      <c r="A33" s="87"/>
      <c r="B33" s="7" t="s">
        <v>14</v>
      </c>
      <c r="C33" s="3">
        <f>เมย!C33+พค!C33+มิย!C33+กค!C33+สค!C33+กย!C33</f>
        <v>0</v>
      </c>
      <c r="D33" s="3">
        <f>เมย!D33+พค!D33+มิย!D33+กค!D33+สค!D33+กย!D33</f>
        <v>0</v>
      </c>
      <c r="E33" s="4">
        <f t="shared" si="2"/>
        <v>0</v>
      </c>
      <c r="F33" s="3">
        <f>เมย!F33+พค!F33+มิย!F33+กค!F33+สค!F33+กย!F33</f>
        <v>0</v>
      </c>
      <c r="G33" s="3">
        <f>เมย!G33+พค!G33+มิย!G33+กค!G33+สค!G33+กย!G33</f>
        <v>0</v>
      </c>
      <c r="H33" s="3">
        <f>เมย!H33+พค!H33+มิย!H33+กค!H33+สค!H33+กย!H33</f>
        <v>0</v>
      </c>
      <c r="I33" s="3">
        <f>เมย!I33+พค!I33+มิย!I33+กค!I33+สค!I33+กย!I33</f>
        <v>0</v>
      </c>
      <c r="J33" s="3">
        <f>เมย!J33+พค!J33+มิย!J33+กค!J33+สค!J33+กย!J33</f>
        <v>0</v>
      </c>
      <c r="K33" s="3">
        <f>เมย!K33+พค!K33+มิย!K33+กค!K33+สค!K33+กย!K33</f>
        <v>0</v>
      </c>
      <c r="L33" s="3">
        <f>เมย!L33+พค!L33+มิย!L33+กค!L33+สค!L33+กย!L33</f>
        <v>0</v>
      </c>
      <c r="M33" s="5">
        <f t="shared" si="3"/>
        <v>0</v>
      </c>
      <c r="N33" s="28" t="e">
        <f t="shared" si="4"/>
        <v>#DIV/0!</v>
      </c>
      <c r="O33" s="3">
        <f>เมย!O33+พค!O33+มิย!O33+กค!O33+สค!O33+กย!O33</f>
        <v>0</v>
      </c>
      <c r="P33" s="3">
        <f>เมย!P33+พค!P33+มิย!P33+กค!P33+สค!P33+กย!P33</f>
        <v>0</v>
      </c>
      <c r="Q33" s="3">
        <f>เมย!Q33+พค!Q33+มิย!Q33+กค!Q33+สค!Q33+กย!Q33</f>
        <v>0</v>
      </c>
      <c r="R33" s="3">
        <f>เมย!R33+พค!R33+มิย!R33+กค!R33+สค!R33+กย!R33</f>
        <v>0</v>
      </c>
      <c r="S33" s="3">
        <f>เมย!S33+พค!S33+มิย!S33+กค!S33+สค!S33+กย!S33</f>
        <v>0</v>
      </c>
      <c r="T33" s="37">
        <f t="shared" si="0"/>
        <v>0</v>
      </c>
      <c r="U33" s="28" t="e">
        <f t="shared" si="5"/>
        <v>#DIV/0!</v>
      </c>
      <c r="V33" s="59">
        <f t="shared" si="1"/>
        <v>0</v>
      </c>
    </row>
    <row r="34" spans="1:22" ht="22.5" customHeight="1">
      <c r="A34" s="87">
        <v>9</v>
      </c>
      <c r="B34" s="7" t="s">
        <v>12</v>
      </c>
      <c r="C34" s="3">
        <f>เมย!C34+พค!C34+มิย!C34+กค!C34+สค!C34+กย!C34</f>
        <v>0</v>
      </c>
      <c r="D34" s="3">
        <f>เมย!D34+พค!D34+มิย!D34+กค!D34+สค!D34+กย!D34</f>
        <v>0</v>
      </c>
      <c r="E34" s="4">
        <f t="shared" si="2"/>
        <v>0</v>
      </c>
      <c r="F34" s="3">
        <f>เมย!F34+พค!F34+มิย!F34+กค!F34+สค!F34+กย!F34</f>
        <v>0</v>
      </c>
      <c r="G34" s="3">
        <f>เมย!G34+พค!G34+มิย!G34+กค!G34+สค!G34+กย!G34</f>
        <v>0</v>
      </c>
      <c r="H34" s="3">
        <f>เมย!H34+พค!H34+มิย!H34+กค!H34+สค!H34+กย!H34</f>
        <v>0</v>
      </c>
      <c r="I34" s="3">
        <f>เมย!I34+พค!I34+มิย!I34+กค!I34+สค!I34+กย!I34</f>
        <v>0</v>
      </c>
      <c r="J34" s="3">
        <f>เมย!J34+พค!J34+มิย!J34+กค!J34+สค!J34+กย!J34</f>
        <v>0</v>
      </c>
      <c r="K34" s="3">
        <f>เมย!K34+พค!K34+มิย!K34+กค!K34+สค!K34+กย!K34</f>
        <v>0</v>
      </c>
      <c r="L34" s="3">
        <f>เมย!L34+พค!L34+มิย!L34+กค!L34+สค!L34+กย!L34</f>
        <v>0</v>
      </c>
      <c r="M34" s="5">
        <f t="shared" si="3"/>
        <v>0</v>
      </c>
      <c r="N34" s="28" t="e">
        <f t="shared" si="4"/>
        <v>#DIV/0!</v>
      </c>
      <c r="O34" s="3">
        <f>เมย!O34+พค!O34+มิย!O34+กค!O34+สค!O34+กย!O34</f>
        <v>0</v>
      </c>
      <c r="P34" s="3">
        <f>เมย!P34+พค!P34+มิย!P34+กค!P34+สค!P34+กย!P34</f>
        <v>0</v>
      </c>
      <c r="Q34" s="3">
        <f>เมย!Q34+พค!Q34+มิย!Q34+กค!Q34+สค!Q34+กย!Q34</f>
        <v>0</v>
      </c>
      <c r="R34" s="3">
        <f>เมย!R34+พค!R34+มิย!R34+กค!R34+สค!R34+กย!R34</f>
        <v>0</v>
      </c>
      <c r="S34" s="3">
        <f>เมย!S34+พค!S34+มิย!S34+กค!S34+สค!S34+กย!S34</f>
        <v>0</v>
      </c>
      <c r="T34" s="37">
        <f t="shared" si="0"/>
        <v>0</v>
      </c>
      <c r="U34" s="28" t="e">
        <f t="shared" si="5"/>
        <v>#DIV/0!</v>
      </c>
      <c r="V34" s="59">
        <f t="shared" si="1"/>
        <v>0</v>
      </c>
    </row>
    <row r="35" spans="1:22" ht="22.5" customHeight="1">
      <c r="A35" s="87"/>
      <c r="B35" s="7" t="s">
        <v>13</v>
      </c>
      <c r="C35" s="3">
        <f>เมย!C35+พค!C35+มิย!C35+กค!C35+สค!C35+กย!C35</f>
        <v>0</v>
      </c>
      <c r="D35" s="3">
        <f>เมย!D35+พค!D35+มิย!D35+กค!D35+สค!D35+กย!D35</f>
        <v>0</v>
      </c>
      <c r="E35" s="4">
        <f t="shared" si="2"/>
        <v>0</v>
      </c>
      <c r="F35" s="3">
        <f>เมย!F35+พค!F35+มิย!F35+กค!F35+สค!F35+กย!F35</f>
        <v>0</v>
      </c>
      <c r="G35" s="3">
        <f>เมย!G35+พค!G35+มิย!G35+กค!G35+สค!G35+กย!G35</f>
        <v>0</v>
      </c>
      <c r="H35" s="3">
        <f>เมย!H35+พค!H35+มิย!H35+กค!H35+สค!H35+กย!H35</f>
        <v>0</v>
      </c>
      <c r="I35" s="3">
        <f>เมย!I35+พค!I35+มิย!I35+กค!I35+สค!I35+กย!I35</f>
        <v>0</v>
      </c>
      <c r="J35" s="3">
        <f>เมย!J35+พค!J35+มิย!J35+กค!J35+สค!J35+กย!J35</f>
        <v>0</v>
      </c>
      <c r="K35" s="3">
        <f>เมย!K35+พค!K35+มิย!K35+กค!K35+สค!K35+กย!K35</f>
        <v>0</v>
      </c>
      <c r="L35" s="3">
        <f>เมย!L35+พค!L35+มิย!L35+กค!L35+สค!L35+กย!L35</f>
        <v>0</v>
      </c>
      <c r="M35" s="5">
        <f t="shared" si="3"/>
        <v>0</v>
      </c>
      <c r="N35" s="28" t="e">
        <f t="shared" si="4"/>
        <v>#DIV/0!</v>
      </c>
      <c r="O35" s="3">
        <f>เมย!O35+พค!O35+มิย!O35+กค!O35+สค!O35+กย!O35</f>
        <v>0</v>
      </c>
      <c r="P35" s="3">
        <f>เมย!P35+พค!P35+มิย!P35+กค!P35+สค!P35+กย!P35</f>
        <v>0</v>
      </c>
      <c r="Q35" s="3">
        <f>เมย!Q35+พค!Q35+มิย!Q35+กค!Q35+สค!Q35+กย!Q35</f>
        <v>0</v>
      </c>
      <c r="R35" s="3">
        <f>เมย!R35+พค!R35+มิย!R35+กค!R35+สค!R35+กย!R35</f>
        <v>0</v>
      </c>
      <c r="S35" s="3">
        <f>เมย!S35+พค!S35+มิย!S35+กค!S35+สค!S35+กย!S35</f>
        <v>0</v>
      </c>
      <c r="T35" s="37">
        <f t="shared" si="0"/>
        <v>0</v>
      </c>
      <c r="U35" s="28" t="e">
        <f t="shared" si="5"/>
        <v>#DIV/0!</v>
      </c>
      <c r="V35" s="59">
        <f t="shared" si="1"/>
        <v>0</v>
      </c>
    </row>
    <row r="36" spans="1:22" ht="22.5" customHeight="1">
      <c r="A36" s="87"/>
      <c r="B36" s="7" t="s">
        <v>14</v>
      </c>
      <c r="C36" s="3">
        <f>เมย!C36+พค!C36+มิย!C36+กค!C36+สค!C36+กย!C36</f>
        <v>0</v>
      </c>
      <c r="D36" s="3">
        <f>เมย!D36+พค!D36+มิย!D36+กค!D36+สค!D36+กย!D36</f>
        <v>0</v>
      </c>
      <c r="E36" s="4">
        <f t="shared" si="2"/>
        <v>0</v>
      </c>
      <c r="F36" s="3">
        <f>เมย!F36+พค!F36+มิย!F36+กค!F36+สค!F36+กย!F36</f>
        <v>0</v>
      </c>
      <c r="G36" s="3">
        <f>เมย!G36+พค!G36+มิย!G36+กค!G36+สค!G36+กย!G36</f>
        <v>0</v>
      </c>
      <c r="H36" s="3">
        <f>เมย!H36+พค!H36+มิย!H36+กค!H36+สค!H36+กย!H36</f>
        <v>0</v>
      </c>
      <c r="I36" s="3">
        <f>เมย!I36+พค!I36+มิย!I36+กค!I36+สค!I36+กย!I36</f>
        <v>0</v>
      </c>
      <c r="J36" s="3">
        <f>เมย!J36+พค!J36+มิย!J36+กค!J36+สค!J36+กย!J36</f>
        <v>0</v>
      </c>
      <c r="K36" s="3">
        <f>เมย!K36+พค!K36+มิย!K36+กค!K36+สค!K36+กย!K36</f>
        <v>0</v>
      </c>
      <c r="L36" s="3">
        <f>เมย!L36+พค!L36+มิย!L36+กค!L36+สค!L36+กย!L36</f>
        <v>0</v>
      </c>
      <c r="M36" s="5">
        <f t="shared" si="3"/>
        <v>0</v>
      </c>
      <c r="N36" s="28" t="e">
        <f t="shared" si="4"/>
        <v>#DIV/0!</v>
      </c>
      <c r="O36" s="3">
        <f>เมย!O36+พค!O36+มิย!O36+กค!O36+สค!O36+กย!O36</f>
        <v>0</v>
      </c>
      <c r="P36" s="3">
        <f>เมย!P36+พค!P36+มิย!P36+กค!P36+สค!P36+กย!P36</f>
        <v>0</v>
      </c>
      <c r="Q36" s="3">
        <f>เมย!Q36+พค!Q36+มิย!Q36+กค!Q36+สค!Q36+กย!Q36</f>
        <v>0</v>
      </c>
      <c r="R36" s="3">
        <f>เมย!R36+พค!R36+มิย!R36+กค!R36+สค!R36+กย!R36</f>
        <v>0</v>
      </c>
      <c r="S36" s="3">
        <f>เมย!S36+พค!S36+มิย!S36+กค!S36+สค!S36+กย!S36</f>
        <v>0</v>
      </c>
      <c r="T36" s="37">
        <f t="shared" si="0"/>
        <v>0</v>
      </c>
      <c r="U36" s="28" t="e">
        <f t="shared" si="5"/>
        <v>#DIV/0!</v>
      </c>
      <c r="V36" s="59">
        <f t="shared" si="1"/>
        <v>0</v>
      </c>
    </row>
    <row r="37" spans="1:22" ht="22.5" customHeight="1">
      <c r="A37" s="87">
        <v>10</v>
      </c>
      <c r="B37" s="7" t="s">
        <v>12</v>
      </c>
      <c r="C37" s="3">
        <f>เมย!C37+พค!C37+มิย!C37+กค!C37+สค!C37+กย!C37</f>
        <v>0</v>
      </c>
      <c r="D37" s="3">
        <f>เมย!D37+พค!D37+มิย!D37+กค!D37+สค!D37+กย!D37</f>
        <v>0</v>
      </c>
      <c r="E37" s="4">
        <f t="shared" si="2"/>
        <v>0</v>
      </c>
      <c r="F37" s="3">
        <f>เมย!F37+พค!F37+มิย!F37+กค!F37+สค!F37+กย!F37</f>
        <v>0</v>
      </c>
      <c r="G37" s="3">
        <f>เมย!G37+พค!G37+มิย!G37+กค!G37+สค!G37+กย!G37</f>
        <v>0</v>
      </c>
      <c r="H37" s="3">
        <f>เมย!H37+พค!H37+มิย!H37+กค!H37+สค!H37+กย!H37</f>
        <v>0</v>
      </c>
      <c r="I37" s="3">
        <f>เมย!I37+พค!I37+มิย!I37+กค!I37+สค!I37+กย!I37</f>
        <v>0</v>
      </c>
      <c r="J37" s="3">
        <f>เมย!J37+พค!J37+มิย!J37+กค!J37+สค!J37+กย!J37</f>
        <v>0</v>
      </c>
      <c r="K37" s="3">
        <f>เมย!K37+พค!K37+มิย!K37+กค!K37+สค!K37+กย!K37</f>
        <v>0</v>
      </c>
      <c r="L37" s="3">
        <f>เมย!L37+พค!L37+มิย!L37+กค!L37+สค!L37+กย!L37</f>
        <v>0</v>
      </c>
      <c r="M37" s="5">
        <f t="shared" si="3"/>
        <v>0</v>
      </c>
      <c r="N37" s="28" t="e">
        <f t="shared" si="4"/>
        <v>#DIV/0!</v>
      </c>
      <c r="O37" s="3">
        <f>เมย!O37+พค!O37+มิย!O37+กค!O37+สค!O37+กย!O37</f>
        <v>0</v>
      </c>
      <c r="P37" s="3">
        <f>เมย!P37+พค!P37+มิย!P37+กค!P37+สค!P37+กย!P37</f>
        <v>0</v>
      </c>
      <c r="Q37" s="3">
        <f>เมย!Q37+พค!Q37+มิย!Q37+กค!Q37+สค!Q37+กย!Q37</f>
        <v>0</v>
      </c>
      <c r="R37" s="3">
        <f>เมย!R37+พค!R37+มิย!R37+กค!R37+สค!R37+กย!R37</f>
        <v>0</v>
      </c>
      <c r="S37" s="3">
        <f>เมย!S37+พค!S37+มิย!S37+กค!S37+สค!S37+กย!S37</f>
        <v>0</v>
      </c>
      <c r="T37" s="37">
        <f t="shared" si="0"/>
        <v>0</v>
      </c>
      <c r="U37" s="28" t="e">
        <f t="shared" si="5"/>
        <v>#DIV/0!</v>
      </c>
      <c r="V37" s="59">
        <f t="shared" si="1"/>
        <v>0</v>
      </c>
    </row>
    <row r="38" spans="1:22" ht="22.5" customHeight="1">
      <c r="A38" s="87"/>
      <c r="B38" s="7" t="s">
        <v>13</v>
      </c>
      <c r="C38" s="3">
        <f>เมย!C38+พค!C38+มิย!C38+กค!C38+สค!C38+กย!C38</f>
        <v>0</v>
      </c>
      <c r="D38" s="3">
        <f>เมย!D38+พค!D38+มิย!D38+กค!D38+สค!D38+กย!D38</f>
        <v>0</v>
      </c>
      <c r="E38" s="4">
        <f t="shared" si="2"/>
        <v>0</v>
      </c>
      <c r="F38" s="3">
        <f>เมย!F38+พค!F38+มิย!F38+กค!F38+สค!F38+กย!F38</f>
        <v>0</v>
      </c>
      <c r="G38" s="3">
        <f>เมย!G38+พค!G38+มิย!G38+กค!G38+สค!G38+กย!G38</f>
        <v>0</v>
      </c>
      <c r="H38" s="3">
        <f>เมย!H38+พค!H38+มิย!H38+กค!H38+สค!H38+กย!H38</f>
        <v>0</v>
      </c>
      <c r="I38" s="3">
        <f>เมย!I38+พค!I38+มิย!I38+กค!I38+สค!I38+กย!I38</f>
        <v>0</v>
      </c>
      <c r="J38" s="3">
        <f>เมย!J38+พค!J38+มิย!J38+กค!J38+สค!J38+กย!J38</f>
        <v>0</v>
      </c>
      <c r="K38" s="3">
        <f>เมย!K38+พค!K38+มิย!K38+กค!K38+สค!K38+กย!K38</f>
        <v>0</v>
      </c>
      <c r="L38" s="3">
        <f>เมย!L38+พค!L38+มิย!L38+กค!L38+สค!L38+กย!L38</f>
        <v>0</v>
      </c>
      <c r="M38" s="5">
        <f t="shared" si="3"/>
        <v>0</v>
      </c>
      <c r="N38" s="28" t="e">
        <f t="shared" si="4"/>
        <v>#DIV/0!</v>
      </c>
      <c r="O38" s="3">
        <f>เมย!O38+พค!O38+มิย!O38+กค!O38+สค!O38+กย!O38</f>
        <v>0</v>
      </c>
      <c r="P38" s="3">
        <f>เมย!P38+พค!P38+มิย!P38+กค!P38+สค!P38+กย!P38</f>
        <v>0</v>
      </c>
      <c r="Q38" s="3">
        <f>เมย!Q38+พค!Q38+มิย!Q38+กค!Q38+สค!Q38+กย!Q38</f>
        <v>0</v>
      </c>
      <c r="R38" s="3">
        <f>เมย!R38+พค!R38+มิย!R38+กค!R38+สค!R38+กย!R38</f>
        <v>0</v>
      </c>
      <c r="S38" s="3">
        <f>เมย!S38+พค!S38+มิย!S38+กค!S38+สค!S38+กย!S38</f>
        <v>0</v>
      </c>
      <c r="T38" s="37">
        <f t="shared" si="0"/>
        <v>0</v>
      </c>
      <c r="U38" s="28" t="e">
        <f t="shared" si="5"/>
        <v>#DIV/0!</v>
      </c>
      <c r="V38" s="59">
        <f t="shared" si="1"/>
        <v>0</v>
      </c>
    </row>
    <row r="39" spans="1:22" ht="22.5" customHeight="1">
      <c r="A39" s="87"/>
      <c r="B39" s="7" t="s">
        <v>14</v>
      </c>
      <c r="C39" s="3">
        <f>เมย!C39+พค!C39+มิย!C39+กค!C39+สค!C39+กย!C39</f>
        <v>0</v>
      </c>
      <c r="D39" s="3">
        <f>เมย!D39+พค!D39+มิย!D39+กค!D39+สค!D39+กย!D39</f>
        <v>0</v>
      </c>
      <c r="E39" s="4">
        <f t="shared" si="2"/>
        <v>0</v>
      </c>
      <c r="F39" s="3">
        <f>เมย!F39+พค!F39+มิย!F39+กค!F39+สค!F39+กย!F39</f>
        <v>0</v>
      </c>
      <c r="G39" s="3">
        <f>เมย!G39+พค!G39+มิย!G39+กค!G39+สค!G39+กย!G39</f>
        <v>0</v>
      </c>
      <c r="H39" s="3">
        <f>เมย!H39+พค!H39+มิย!H39+กค!H39+สค!H39+กย!H39</f>
        <v>0</v>
      </c>
      <c r="I39" s="3">
        <f>เมย!I39+พค!I39+มิย!I39+กค!I39+สค!I39+กย!I39</f>
        <v>0</v>
      </c>
      <c r="J39" s="3">
        <f>เมย!J39+พค!J39+มิย!J39+กค!J39+สค!J39+กย!J39</f>
        <v>0</v>
      </c>
      <c r="K39" s="3">
        <f>เมย!K39+พค!K39+มิย!K39+กค!K39+สค!K39+กย!K39</f>
        <v>0</v>
      </c>
      <c r="L39" s="3">
        <f>เมย!L39+พค!L39+มิย!L39+กค!L39+สค!L39+กย!L39</f>
        <v>0</v>
      </c>
      <c r="M39" s="5">
        <f t="shared" si="3"/>
        <v>0</v>
      </c>
      <c r="N39" s="28" t="e">
        <f t="shared" si="4"/>
        <v>#DIV/0!</v>
      </c>
      <c r="O39" s="3">
        <f>เมย!O39+พค!O39+มิย!O39+กค!O39+สค!O39+กย!O39</f>
        <v>0</v>
      </c>
      <c r="P39" s="3">
        <f>เมย!P39+พค!P39+มิย!P39+กค!P39+สค!P39+กย!P39</f>
        <v>0</v>
      </c>
      <c r="Q39" s="3">
        <f>เมย!Q39+พค!Q39+มิย!Q39+กค!Q39+สค!Q39+กย!Q39</f>
        <v>0</v>
      </c>
      <c r="R39" s="3">
        <f>เมย!R39+พค!R39+มิย!R39+กค!R39+สค!R39+กย!R39</f>
        <v>0</v>
      </c>
      <c r="S39" s="3">
        <f>เมย!S39+พค!S39+มิย!S39+กค!S39+สค!S39+กย!S39</f>
        <v>0</v>
      </c>
      <c r="T39" s="37">
        <f t="shared" si="0"/>
        <v>0</v>
      </c>
      <c r="U39" s="28" t="e">
        <f t="shared" si="5"/>
        <v>#DIV/0!</v>
      </c>
      <c r="V39" s="59">
        <f t="shared" si="1"/>
        <v>0</v>
      </c>
    </row>
    <row r="40" spans="1:22" ht="22.5" customHeight="1">
      <c r="A40" s="87">
        <v>11</v>
      </c>
      <c r="B40" s="7" t="s">
        <v>12</v>
      </c>
      <c r="C40" s="3">
        <f>เมย!C40+พค!C40+มิย!C40+กค!C40+สค!C40+กย!C40</f>
        <v>0</v>
      </c>
      <c r="D40" s="3">
        <f>เมย!D40+พค!D40+มิย!D40+กค!D40+สค!D40+กย!D40</f>
        <v>0</v>
      </c>
      <c r="E40" s="4">
        <f t="shared" si="2"/>
        <v>0</v>
      </c>
      <c r="F40" s="3">
        <f>เมย!F40+พค!F40+มิย!F40+กค!F40+สค!F40+กย!F40</f>
        <v>0</v>
      </c>
      <c r="G40" s="3">
        <f>เมย!G40+พค!G40+มิย!G40+กค!G40+สค!G40+กย!G40</f>
        <v>0</v>
      </c>
      <c r="H40" s="3">
        <f>เมย!H40+พค!H40+มิย!H40+กค!H40+สค!H40+กย!H40</f>
        <v>0</v>
      </c>
      <c r="I40" s="3">
        <f>เมย!I40+พค!I40+มิย!I40+กค!I40+สค!I40+กย!I40</f>
        <v>0</v>
      </c>
      <c r="J40" s="3">
        <f>เมย!J40+พค!J40+มิย!J40+กค!J40+สค!J40+กย!J40</f>
        <v>0</v>
      </c>
      <c r="K40" s="3">
        <f>เมย!K40+พค!K40+มิย!K40+กค!K40+สค!K40+กย!K40</f>
        <v>0</v>
      </c>
      <c r="L40" s="3">
        <f>เมย!L40+พค!L40+มิย!L40+กค!L40+สค!L40+กย!L40</f>
        <v>0</v>
      </c>
      <c r="M40" s="5">
        <f t="shared" si="3"/>
        <v>0</v>
      </c>
      <c r="N40" s="28" t="e">
        <f t="shared" si="4"/>
        <v>#DIV/0!</v>
      </c>
      <c r="O40" s="3">
        <f>เมย!O40+พค!O40+มิย!O40+กค!O40+สค!O40+กย!O40</f>
        <v>0</v>
      </c>
      <c r="P40" s="3">
        <f>เมย!P40+พค!P40+มิย!P40+กค!P40+สค!P40+กย!P40</f>
        <v>0</v>
      </c>
      <c r="Q40" s="3">
        <f>เมย!Q40+พค!Q40+มิย!Q40+กค!Q40+สค!Q40+กย!Q40</f>
        <v>0</v>
      </c>
      <c r="R40" s="3">
        <f>เมย!R40+พค!R40+มิย!R40+กค!R40+สค!R40+กย!R40</f>
        <v>0</v>
      </c>
      <c r="S40" s="3">
        <f>เมย!S40+พค!S40+มิย!S40+กค!S40+สค!S40+กย!S40</f>
        <v>0</v>
      </c>
      <c r="T40" s="37">
        <f t="shared" si="0"/>
        <v>0</v>
      </c>
      <c r="U40" s="28" t="e">
        <f t="shared" si="5"/>
        <v>#DIV/0!</v>
      </c>
      <c r="V40" s="59">
        <f t="shared" si="1"/>
        <v>0</v>
      </c>
    </row>
    <row r="41" spans="1:22" ht="22.5" customHeight="1">
      <c r="A41" s="87"/>
      <c r="B41" s="7" t="s">
        <v>13</v>
      </c>
      <c r="C41" s="3">
        <f>เมย!C41+พค!C41+มิย!C41+กค!C41+สค!C41+กย!C41</f>
        <v>0</v>
      </c>
      <c r="D41" s="3">
        <f>เมย!D41+พค!D41+มิย!D41+กค!D41+สค!D41+กย!D41</f>
        <v>0</v>
      </c>
      <c r="E41" s="4">
        <f t="shared" si="2"/>
        <v>0</v>
      </c>
      <c r="F41" s="3">
        <f>เมย!F41+พค!F41+มิย!F41+กค!F41+สค!F41+กย!F41</f>
        <v>0</v>
      </c>
      <c r="G41" s="3">
        <f>เมย!G41+พค!G41+มิย!G41+กค!G41+สค!G41+กย!G41</f>
        <v>0</v>
      </c>
      <c r="H41" s="3">
        <f>เมย!H41+พค!H41+มิย!H41+กค!H41+สค!H41+กย!H41</f>
        <v>0</v>
      </c>
      <c r="I41" s="3">
        <f>เมย!I41+พค!I41+มิย!I41+กค!I41+สค!I41+กย!I41</f>
        <v>0</v>
      </c>
      <c r="J41" s="3">
        <f>เมย!J41+พค!J41+มิย!J41+กค!J41+สค!J41+กย!J41</f>
        <v>0</v>
      </c>
      <c r="K41" s="3">
        <f>เมย!K41+พค!K41+มิย!K41+กค!K41+สค!K41+กย!K41</f>
        <v>0</v>
      </c>
      <c r="L41" s="3">
        <f>เมย!L41+พค!L41+มิย!L41+กค!L41+สค!L41+กย!L41</f>
        <v>0</v>
      </c>
      <c r="M41" s="5">
        <f t="shared" si="3"/>
        <v>0</v>
      </c>
      <c r="N41" s="28" t="e">
        <f t="shared" si="4"/>
        <v>#DIV/0!</v>
      </c>
      <c r="O41" s="3">
        <f>เมย!O41+พค!O41+มิย!O41+กค!O41+สค!O41+กย!O41</f>
        <v>0</v>
      </c>
      <c r="P41" s="3">
        <f>เมย!P41+พค!P41+มิย!P41+กค!P41+สค!P41+กย!P41</f>
        <v>0</v>
      </c>
      <c r="Q41" s="3">
        <f>เมย!Q41+พค!Q41+มิย!Q41+กค!Q41+สค!Q41+กย!Q41</f>
        <v>0</v>
      </c>
      <c r="R41" s="3">
        <f>เมย!R41+พค!R41+มิย!R41+กค!R41+สค!R41+กย!R41</f>
        <v>0</v>
      </c>
      <c r="S41" s="3">
        <f>เมย!S41+พค!S41+มิย!S41+กค!S41+สค!S41+กย!S41</f>
        <v>0</v>
      </c>
      <c r="T41" s="37">
        <f t="shared" si="0"/>
        <v>0</v>
      </c>
      <c r="U41" s="28" t="e">
        <f t="shared" si="5"/>
        <v>#DIV/0!</v>
      </c>
      <c r="V41" s="59">
        <f t="shared" si="1"/>
        <v>0</v>
      </c>
    </row>
    <row r="42" spans="1:22" ht="22.5" customHeight="1">
      <c r="A42" s="87"/>
      <c r="B42" s="7" t="s">
        <v>14</v>
      </c>
      <c r="C42" s="3">
        <f>เมย!C42+พค!C42+มิย!C42+กค!C42+สค!C42+กย!C42</f>
        <v>0</v>
      </c>
      <c r="D42" s="3">
        <f>เมย!D42+พค!D42+มิย!D42+กค!D42+สค!D42+กย!D42</f>
        <v>0</v>
      </c>
      <c r="E42" s="4">
        <f t="shared" si="2"/>
        <v>0</v>
      </c>
      <c r="F42" s="3">
        <f>เมย!F42+พค!F42+มิย!F42+กค!F42+สค!F42+กย!F42</f>
        <v>0</v>
      </c>
      <c r="G42" s="3">
        <f>เมย!G42+พค!G42+มิย!G42+กค!G42+สค!G42+กย!G42</f>
        <v>0</v>
      </c>
      <c r="H42" s="3">
        <f>เมย!H42+พค!H42+มิย!H42+กค!H42+สค!H42+กย!H42</f>
        <v>0</v>
      </c>
      <c r="I42" s="3">
        <f>เมย!I42+พค!I42+มิย!I42+กค!I42+สค!I42+กย!I42</f>
        <v>0</v>
      </c>
      <c r="J42" s="3">
        <f>เมย!J42+พค!J42+มิย!J42+กค!J42+สค!J42+กย!J42</f>
        <v>0</v>
      </c>
      <c r="K42" s="3">
        <f>เมย!K42+พค!K42+มิย!K42+กค!K42+สค!K42+กย!K42</f>
        <v>0</v>
      </c>
      <c r="L42" s="3">
        <f>เมย!L42+พค!L42+มิย!L42+กค!L42+สค!L42+กย!L42</f>
        <v>0</v>
      </c>
      <c r="M42" s="5">
        <f t="shared" si="3"/>
        <v>0</v>
      </c>
      <c r="N42" s="28" t="e">
        <f t="shared" si="4"/>
        <v>#DIV/0!</v>
      </c>
      <c r="O42" s="3">
        <f>เมย!O42+พค!O42+มิย!O42+กค!O42+สค!O42+กย!O42</f>
        <v>0</v>
      </c>
      <c r="P42" s="3">
        <f>เมย!P42+พค!P42+มิย!P42+กค!P42+สค!P42+กย!P42</f>
        <v>0</v>
      </c>
      <c r="Q42" s="3">
        <f>เมย!Q42+พค!Q42+มิย!Q42+กค!Q42+สค!Q42+กย!Q42</f>
        <v>0</v>
      </c>
      <c r="R42" s="3">
        <f>เมย!R42+พค!R42+มิย!R42+กค!R42+สค!R42+กย!R42</f>
        <v>0</v>
      </c>
      <c r="S42" s="3">
        <f>เมย!S42+พค!S42+มิย!S42+กค!S42+สค!S42+กย!S42</f>
        <v>0</v>
      </c>
      <c r="T42" s="37">
        <f t="shared" si="0"/>
        <v>0</v>
      </c>
      <c r="U42" s="28" t="e">
        <f t="shared" si="5"/>
        <v>#DIV/0!</v>
      </c>
      <c r="V42" s="59">
        <f t="shared" ref="V42:V73" si="6">C42+D42-T42</f>
        <v>0</v>
      </c>
    </row>
    <row r="43" spans="1:22" ht="22.5" customHeight="1">
      <c r="A43" s="87">
        <v>12</v>
      </c>
      <c r="B43" s="7" t="s">
        <v>12</v>
      </c>
      <c r="C43" s="3">
        <f>เมย!C43+พค!C43+มิย!C43+กค!C43+สค!C43+กย!C43</f>
        <v>0</v>
      </c>
      <c r="D43" s="3">
        <f>เมย!D43+พค!D43+มิย!D43+กค!D43+สค!D43+กย!D43</f>
        <v>0</v>
      </c>
      <c r="E43" s="4">
        <f t="shared" si="2"/>
        <v>0</v>
      </c>
      <c r="F43" s="3">
        <f>เมย!F43+พค!F43+มิย!F43+กค!F43+สค!F43+กย!F43</f>
        <v>0</v>
      </c>
      <c r="G43" s="3">
        <f>เมย!G43+พค!G43+มิย!G43+กค!G43+สค!G43+กย!G43</f>
        <v>0</v>
      </c>
      <c r="H43" s="3">
        <f>เมย!H43+พค!H43+มิย!H43+กค!H43+สค!H43+กย!H43</f>
        <v>0</v>
      </c>
      <c r="I43" s="3">
        <f>เมย!I43+พค!I43+มิย!I43+กค!I43+สค!I43+กย!I43</f>
        <v>0</v>
      </c>
      <c r="J43" s="3">
        <f>เมย!J43+พค!J43+มิย!J43+กค!J43+สค!J43+กย!J43</f>
        <v>0</v>
      </c>
      <c r="K43" s="3">
        <f>เมย!K43+พค!K43+มิย!K43+กค!K43+สค!K43+กย!K43</f>
        <v>0</v>
      </c>
      <c r="L43" s="3">
        <f>เมย!L43+พค!L43+มิย!L43+กค!L43+สค!L43+กย!L43</f>
        <v>0</v>
      </c>
      <c r="M43" s="5">
        <f t="shared" si="3"/>
        <v>0</v>
      </c>
      <c r="N43" s="28" t="e">
        <f t="shared" si="4"/>
        <v>#DIV/0!</v>
      </c>
      <c r="O43" s="3">
        <f>เมย!O43+พค!O43+มิย!O43+กค!O43+สค!O43+กย!O43</f>
        <v>0</v>
      </c>
      <c r="P43" s="3">
        <f>เมย!P43+พค!P43+มิย!P43+กค!P43+สค!P43+กย!P43</f>
        <v>0</v>
      </c>
      <c r="Q43" s="3">
        <f>เมย!Q43+พค!Q43+มิย!Q43+กค!Q43+สค!Q43+กย!Q43</f>
        <v>0</v>
      </c>
      <c r="R43" s="3">
        <f>เมย!R43+พค!R43+มิย!R43+กค!R43+สค!R43+กย!R43</f>
        <v>0</v>
      </c>
      <c r="S43" s="3">
        <f>เมย!S43+พค!S43+มิย!S43+กค!S43+สค!S43+กย!S43</f>
        <v>0</v>
      </c>
      <c r="T43" s="37">
        <f t="shared" si="0"/>
        <v>0</v>
      </c>
      <c r="U43" s="28" t="e">
        <f t="shared" si="5"/>
        <v>#DIV/0!</v>
      </c>
      <c r="V43" s="59">
        <f t="shared" si="6"/>
        <v>0</v>
      </c>
    </row>
    <row r="44" spans="1:22" ht="22.5" customHeight="1">
      <c r="A44" s="87"/>
      <c r="B44" s="7" t="s">
        <v>13</v>
      </c>
      <c r="C44" s="3">
        <f>เมย!C44+พค!C44+มิย!C44+กค!C44+สค!C44+กย!C44</f>
        <v>0</v>
      </c>
      <c r="D44" s="3">
        <f>เมย!D44+พค!D44+มิย!D44+กค!D44+สค!D44+กย!D44</f>
        <v>0</v>
      </c>
      <c r="E44" s="4">
        <f t="shared" si="2"/>
        <v>0</v>
      </c>
      <c r="F44" s="3">
        <f>เมย!F44+พค!F44+มิย!F44+กค!F44+สค!F44+กย!F44</f>
        <v>0</v>
      </c>
      <c r="G44" s="3">
        <f>เมย!G44+พค!G44+มิย!G44+กค!G44+สค!G44+กย!G44</f>
        <v>0</v>
      </c>
      <c r="H44" s="3">
        <f>เมย!H44+พค!H44+มิย!H44+กค!H44+สค!H44+กย!H44</f>
        <v>0</v>
      </c>
      <c r="I44" s="3">
        <f>เมย!I44+พค!I44+มิย!I44+กค!I44+สค!I44+กย!I44</f>
        <v>0</v>
      </c>
      <c r="J44" s="3">
        <f>เมย!J44+พค!J44+มิย!J44+กค!J44+สค!J44+กย!J44</f>
        <v>0</v>
      </c>
      <c r="K44" s="3">
        <f>เมย!K44+พค!K44+มิย!K44+กค!K44+สค!K44+กย!K44</f>
        <v>0</v>
      </c>
      <c r="L44" s="3">
        <f>เมย!L44+พค!L44+มิย!L44+กค!L44+สค!L44+กย!L44</f>
        <v>0</v>
      </c>
      <c r="M44" s="5">
        <f t="shared" si="3"/>
        <v>0</v>
      </c>
      <c r="N44" s="28" t="e">
        <f t="shared" si="4"/>
        <v>#DIV/0!</v>
      </c>
      <c r="O44" s="3">
        <f>เมย!O44+พค!O44+มิย!O44+กค!O44+สค!O44+กย!O44</f>
        <v>0</v>
      </c>
      <c r="P44" s="3">
        <f>เมย!P44+พค!P44+มิย!P44+กค!P44+สค!P44+กย!P44</f>
        <v>0</v>
      </c>
      <c r="Q44" s="3">
        <f>เมย!Q44+พค!Q44+มิย!Q44+กค!Q44+สค!Q44+กย!Q44</f>
        <v>0</v>
      </c>
      <c r="R44" s="3">
        <f>เมย!R44+พค!R44+มิย!R44+กค!R44+สค!R44+กย!R44</f>
        <v>0</v>
      </c>
      <c r="S44" s="3">
        <f>เมย!S44+พค!S44+มิย!S44+กค!S44+สค!S44+กย!S44</f>
        <v>0</v>
      </c>
      <c r="T44" s="37">
        <f t="shared" si="0"/>
        <v>0</v>
      </c>
      <c r="U44" s="28" t="e">
        <f t="shared" si="5"/>
        <v>#DIV/0!</v>
      </c>
      <c r="V44" s="59">
        <f t="shared" si="6"/>
        <v>0</v>
      </c>
    </row>
    <row r="45" spans="1:22" ht="22.5" customHeight="1">
      <c r="A45" s="87"/>
      <c r="B45" s="7" t="s">
        <v>14</v>
      </c>
      <c r="C45" s="3">
        <f>เมย!C45+พค!C45+มิย!C45+กค!C45+สค!C45+กย!C45</f>
        <v>0</v>
      </c>
      <c r="D45" s="3">
        <f>เมย!D45+พค!D45+มิย!D45+กค!D45+สค!D45+กย!D45</f>
        <v>0</v>
      </c>
      <c r="E45" s="4">
        <f t="shared" si="2"/>
        <v>0</v>
      </c>
      <c r="F45" s="3">
        <f>เมย!F45+พค!F45+มิย!F45+กค!F45+สค!F45+กย!F45</f>
        <v>0</v>
      </c>
      <c r="G45" s="3">
        <f>เมย!G45+พค!G45+มิย!G45+กค!G45+สค!G45+กย!G45</f>
        <v>0</v>
      </c>
      <c r="H45" s="3">
        <f>เมย!H45+พค!H45+มิย!H45+กค!H45+สค!H45+กย!H45</f>
        <v>0</v>
      </c>
      <c r="I45" s="3">
        <f>เมย!I45+พค!I45+มิย!I45+กค!I45+สค!I45+กย!I45</f>
        <v>0</v>
      </c>
      <c r="J45" s="3">
        <f>เมย!J45+พค!J45+มิย!J45+กค!J45+สค!J45+กย!J45</f>
        <v>0</v>
      </c>
      <c r="K45" s="3">
        <f>เมย!K45+พค!K45+มิย!K45+กค!K45+สค!K45+กย!K45</f>
        <v>0</v>
      </c>
      <c r="L45" s="3">
        <f>เมย!L45+พค!L45+มิย!L45+กค!L45+สค!L45+กย!L45</f>
        <v>0</v>
      </c>
      <c r="M45" s="5">
        <f t="shared" si="3"/>
        <v>0</v>
      </c>
      <c r="N45" s="28" t="e">
        <f t="shared" si="4"/>
        <v>#DIV/0!</v>
      </c>
      <c r="O45" s="3">
        <f>เมย!O45+พค!O45+มิย!O45+กค!O45+สค!O45+กย!O45</f>
        <v>0</v>
      </c>
      <c r="P45" s="3">
        <f>เมย!P45+พค!P45+มิย!P45+กค!P45+สค!P45+กย!P45</f>
        <v>0</v>
      </c>
      <c r="Q45" s="3">
        <f>เมย!Q45+พค!Q45+มิย!Q45+กค!Q45+สค!Q45+กย!Q45</f>
        <v>0</v>
      </c>
      <c r="R45" s="3">
        <f>เมย!R45+พค!R45+มิย!R45+กค!R45+สค!R45+กย!R45</f>
        <v>0</v>
      </c>
      <c r="S45" s="3">
        <f>เมย!S45+พค!S45+มิย!S45+กค!S45+สค!S45+กย!S45</f>
        <v>0</v>
      </c>
      <c r="T45" s="37">
        <f t="shared" si="0"/>
        <v>0</v>
      </c>
      <c r="U45" s="28" t="e">
        <f t="shared" si="5"/>
        <v>#DIV/0!</v>
      </c>
      <c r="V45" s="59">
        <f t="shared" si="6"/>
        <v>0</v>
      </c>
    </row>
    <row r="46" spans="1:22" ht="22.5" customHeight="1">
      <c r="A46" s="87">
        <v>13</v>
      </c>
      <c r="B46" s="7" t="s">
        <v>12</v>
      </c>
      <c r="C46" s="3">
        <f>เมย!C46+พค!C46+มิย!C46+กค!C46+สค!C46+กย!C46</f>
        <v>0</v>
      </c>
      <c r="D46" s="3">
        <f>เมย!D46+พค!D46+มิย!D46+กค!D46+สค!D46+กย!D46</f>
        <v>0</v>
      </c>
      <c r="E46" s="4">
        <f t="shared" si="2"/>
        <v>0</v>
      </c>
      <c r="F46" s="3">
        <f>เมย!F46+พค!F46+มิย!F46+กค!F46+สค!F46+กย!F46</f>
        <v>0</v>
      </c>
      <c r="G46" s="3">
        <f>เมย!G46+พค!G46+มิย!G46+กค!G46+สค!G46+กย!G46</f>
        <v>0</v>
      </c>
      <c r="H46" s="3">
        <f>เมย!H46+พค!H46+มิย!H46+กค!H46+สค!H46+กย!H46</f>
        <v>0</v>
      </c>
      <c r="I46" s="3">
        <f>เมย!I46+พค!I46+มิย!I46+กค!I46+สค!I46+กย!I46</f>
        <v>0</v>
      </c>
      <c r="J46" s="3">
        <f>เมย!J46+พค!J46+มิย!J46+กค!J46+สค!J46+กย!J46</f>
        <v>0</v>
      </c>
      <c r="K46" s="3">
        <f>เมย!K46+พค!K46+มิย!K46+กค!K46+สค!K46+กย!K46</f>
        <v>0</v>
      </c>
      <c r="L46" s="3">
        <f>เมย!L46+พค!L46+มิย!L46+กค!L46+สค!L46+กย!L46</f>
        <v>0</v>
      </c>
      <c r="M46" s="5">
        <f t="shared" si="3"/>
        <v>0</v>
      </c>
      <c r="N46" s="28" t="e">
        <f t="shared" si="4"/>
        <v>#DIV/0!</v>
      </c>
      <c r="O46" s="3">
        <f>เมย!O46+พค!O46+มิย!O46+กค!O46+สค!O46+กย!O46</f>
        <v>0</v>
      </c>
      <c r="P46" s="3">
        <f>เมย!P46+พค!P46+มิย!P46+กค!P46+สค!P46+กย!P46</f>
        <v>0</v>
      </c>
      <c r="Q46" s="3">
        <f>เมย!Q46+พค!Q46+มิย!Q46+กค!Q46+สค!Q46+กย!Q46</f>
        <v>0</v>
      </c>
      <c r="R46" s="3">
        <f>เมย!R46+พค!R46+มิย!R46+กค!R46+สค!R46+กย!R46</f>
        <v>0</v>
      </c>
      <c r="S46" s="3">
        <f>เมย!S46+พค!S46+มิย!S46+กค!S46+สค!S46+กย!S46</f>
        <v>0</v>
      </c>
      <c r="T46" s="37">
        <f t="shared" si="0"/>
        <v>0</v>
      </c>
      <c r="U46" s="28" t="e">
        <f t="shared" si="5"/>
        <v>#DIV/0!</v>
      </c>
      <c r="V46" s="59">
        <f t="shared" si="6"/>
        <v>0</v>
      </c>
    </row>
    <row r="47" spans="1:22" ht="22.5" customHeight="1">
      <c r="A47" s="87"/>
      <c r="B47" s="7" t="s">
        <v>13</v>
      </c>
      <c r="C47" s="3">
        <f>เมย!C47+พค!C47+มิย!C47+กค!C47+สค!C47+กย!C47</f>
        <v>0</v>
      </c>
      <c r="D47" s="3">
        <f>เมย!D47+พค!D47+มิย!D47+กค!D47+สค!D47+กย!D47</f>
        <v>0</v>
      </c>
      <c r="E47" s="4">
        <f t="shared" si="2"/>
        <v>0</v>
      </c>
      <c r="F47" s="3">
        <f>เมย!F47+พค!F47+มิย!F47+กค!F47+สค!F47+กย!F47</f>
        <v>0</v>
      </c>
      <c r="G47" s="3">
        <f>เมย!G47+พค!G47+มิย!G47+กค!G47+สค!G47+กย!G47</f>
        <v>0</v>
      </c>
      <c r="H47" s="3">
        <f>เมย!H47+พค!H47+มิย!H47+กค!H47+สค!H47+กย!H47</f>
        <v>0</v>
      </c>
      <c r="I47" s="3">
        <f>เมย!I47+พค!I47+มิย!I47+กค!I47+สค!I47+กย!I47</f>
        <v>0</v>
      </c>
      <c r="J47" s="3">
        <f>เมย!J47+พค!J47+มิย!J47+กค!J47+สค!J47+กย!J47</f>
        <v>0</v>
      </c>
      <c r="K47" s="3">
        <f>เมย!K47+พค!K47+มิย!K47+กค!K47+สค!K47+กย!K47</f>
        <v>0</v>
      </c>
      <c r="L47" s="3">
        <f>เมย!L47+พค!L47+มิย!L47+กค!L47+สค!L47+กย!L47</f>
        <v>0</v>
      </c>
      <c r="M47" s="5">
        <f t="shared" si="3"/>
        <v>0</v>
      </c>
      <c r="N47" s="28" t="e">
        <f t="shared" si="4"/>
        <v>#DIV/0!</v>
      </c>
      <c r="O47" s="3">
        <f>เมย!O47+พค!O47+มิย!O47+กค!O47+สค!O47+กย!O47</f>
        <v>0</v>
      </c>
      <c r="P47" s="3">
        <f>เมย!P47+พค!P47+มิย!P47+กค!P47+สค!P47+กย!P47</f>
        <v>0</v>
      </c>
      <c r="Q47" s="3">
        <f>เมย!Q47+พค!Q47+มิย!Q47+กค!Q47+สค!Q47+กย!Q47</f>
        <v>0</v>
      </c>
      <c r="R47" s="3">
        <f>เมย!R47+พค!R47+มิย!R47+กค!R47+สค!R47+กย!R47</f>
        <v>0</v>
      </c>
      <c r="S47" s="3">
        <f>เมย!S47+พค!S47+มิย!S47+กค!S47+สค!S47+กย!S47</f>
        <v>0</v>
      </c>
      <c r="T47" s="37">
        <f t="shared" si="0"/>
        <v>0</v>
      </c>
      <c r="U47" s="28" t="e">
        <f t="shared" si="5"/>
        <v>#DIV/0!</v>
      </c>
      <c r="V47" s="59">
        <f t="shared" si="6"/>
        <v>0</v>
      </c>
    </row>
    <row r="48" spans="1:22" ht="22.5" customHeight="1">
      <c r="A48" s="87"/>
      <c r="B48" s="7" t="s">
        <v>14</v>
      </c>
      <c r="C48" s="3">
        <f>เมย!C48+พค!C48+มิย!C48+กค!C48+สค!C48+กย!C48</f>
        <v>0</v>
      </c>
      <c r="D48" s="3">
        <f>เมย!D48+พค!D48+มิย!D48+กค!D48+สค!D48+กย!D48</f>
        <v>0</v>
      </c>
      <c r="E48" s="4">
        <f t="shared" si="2"/>
        <v>0</v>
      </c>
      <c r="F48" s="3">
        <f>เมย!F48+พค!F48+มิย!F48+กค!F48+สค!F48+กย!F48</f>
        <v>0</v>
      </c>
      <c r="G48" s="3">
        <f>เมย!G48+พค!G48+มิย!G48+กค!G48+สค!G48+กย!G48</f>
        <v>0</v>
      </c>
      <c r="H48" s="3">
        <f>เมย!H48+พค!H48+มิย!H48+กค!H48+สค!H48+กย!H48</f>
        <v>0</v>
      </c>
      <c r="I48" s="3">
        <f>เมย!I48+พค!I48+มิย!I48+กค!I48+สค!I48+กย!I48</f>
        <v>0</v>
      </c>
      <c r="J48" s="3">
        <f>เมย!J48+พค!J48+มิย!J48+กค!J48+สค!J48+กย!J48</f>
        <v>0</v>
      </c>
      <c r="K48" s="3">
        <f>เมย!K48+พค!K48+มิย!K48+กค!K48+สค!K48+กย!K48</f>
        <v>0</v>
      </c>
      <c r="L48" s="3">
        <f>เมย!L48+พค!L48+มิย!L48+กค!L48+สค!L48+กย!L48</f>
        <v>0</v>
      </c>
      <c r="M48" s="5">
        <f t="shared" si="3"/>
        <v>0</v>
      </c>
      <c r="N48" s="28" t="e">
        <f t="shared" si="4"/>
        <v>#DIV/0!</v>
      </c>
      <c r="O48" s="3">
        <f>เมย!O48+พค!O48+มิย!O48+กค!O48+สค!O48+กย!O48</f>
        <v>0</v>
      </c>
      <c r="P48" s="3">
        <f>เมย!P48+พค!P48+มิย!P48+กค!P48+สค!P48+กย!P48</f>
        <v>0</v>
      </c>
      <c r="Q48" s="3">
        <f>เมย!Q48+พค!Q48+มิย!Q48+กค!Q48+สค!Q48+กย!Q48</f>
        <v>0</v>
      </c>
      <c r="R48" s="3">
        <f>เมย!R48+พค!R48+มิย!R48+กค!R48+สค!R48+กย!R48</f>
        <v>0</v>
      </c>
      <c r="S48" s="3">
        <f>เมย!S48+พค!S48+มิย!S48+กค!S48+สค!S48+กย!S48</f>
        <v>0</v>
      </c>
      <c r="T48" s="37">
        <f t="shared" si="0"/>
        <v>0</v>
      </c>
      <c r="U48" s="28" t="e">
        <f t="shared" si="5"/>
        <v>#DIV/0!</v>
      </c>
      <c r="V48" s="59">
        <f t="shared" si="6"/>
        <v>0</v>
      </c>
    </row>
    <row r="49" spans="1:22" ht="22.5" customHeight="1">
      <c r="A49" s="87">
        <v>14</v>
      </c>
      <c r="B49" s="7" t="s">
        <v>12</v>
      </c>
      <c r="C49" s="3">
        <f>เมย!C49+พค!C49+มิย!C49+กค!C49+สค!C49+กย!C49</f>
        <v>0</v>
      </c>
      <c r="D49" s="3">
        <f>เมย!D49+พค!D49+มิย!D49+กค!D49+สค!D49+กย!D49</f>
        <v>0</v>
      </c>
      <c r="E49" s="4">
        <f t="shared" si="2"/>
        <v>0</v>
      </c>
      <c r="F49" s="3">
        <f>เมย!F49+พค!F49+มิย!F49+กค!F49+สค!F49+กย!F49</f>
        <v>0</v>
      </c>
      <c r="G49" s="3">
        <f>เมย!G49+พค!G49+มิย!G49+กค!G49+สค!G49+กย!G49</f>
        <v>0</v>
      </c>
      <c r="H49" s="3">
        <f>เมย!H49+พค!H49+มิย!H49+กค!H49+สค!H49+กย!H49</f>
        <v>0</v>
      </c>
      <c r="I49" s="3">
        <f>เมย!I49+พค!I49+มิย!I49+กค!I49+สค!I49+กย!I49</f>
        <v>0</v>
      </c>
      <c r="J49" s="3">
        <f>เมย!J49+พค!J49+มิย!J49+กค!J49+สค!J49+กย!J49</f>
        <v>0</v>
      </c>
      <c r="K49" s="3">
        <f>เมย!K49+พค!K49+มิย!K49+กค!K49+สค!K49+กย!K49</f>
        <v>0</v>
      </c>
      <c r="L49" s="3">
        <f>เมย!L49+พค!L49+มิย!L49+กค!L49+สค!L49+กย!L49</f>
        <v>0</v>
      </c>
      <c r="M49" s="5">
        <f t="shared" si="3"/>
        <v>0</v>
      </c>
      <c r="N49" s="28" t="e">
        <f t="shared" si="4"/>
        <v>#DIV/0!</v>
      </c>
      <c r="O49" s="3">
        <f>เมย!O49+พค!O49+มิย!O49+กค!O49+สค!O49+กย!O49</f>
        <v>0</v>
      </c>
      <c r="P49" s="3">
        <f>เมย!P49+พค!P49+มิย!P49+กค!P49+สค!P49+กย!P49</f>
        <v>0</v>
      </c>
      <c r="Q49" s="3">
        <f>เมย!Q49+พค!Q49+มิย!Q49+กค!Q49+สค!Q49+กย!Q49</f>
        <v>0</v>
      </c>
      <c r="R49" s="3">
        <f>เมย!R49+พค!R49+มิย!R49+กค!R49+สค!R49+กย!R49</f>
        <v>0</v>
      </c>
      <c r="S49" s="3">
        <f>เมย!S49+พค!S49+มิย!S49+กค!S49+สค!S49+กย!S49</f>
        <v>0</v>
      </c>
      <c r="T49" s="37">
        <f t="shared" si="0"/>
        <v>0</v>
      </c>
      <c r="U49" s="28" t="e">
        <f t="shared" si="5"/>
        <v>#DIV/0!</v>
      </c>
      <c r="V49" s="59">
        <f t="shared" si="6"/>
        <v>0</v>
      </c>
    </row>
    <row r="50" spans="1:22" ht="22.5" customHeight="1">
      <c r="A50" s="87"/>
      <c r="B50" s="7" t="s">
        <v>13</v>
      </c>
      <c r="C50" s="3">
        <f>เมย!C50+พค!C50+มิย!C50+กค!C50+สค!C50+กย!C50</f>
        <v>0</v>
      </c>
      <c r="D50" s="3">
        <f>เมย!D50+พค!D50+มิย!D50+กค!D50+สค!D50+กย!D50</f>
        <v>0</v>
      </c>
      <c r="E50" s="4">
        <f t="shared" si="2"/>
        <v>0</v>
      </c>
      <c r="F50" s="3">
        <f>เมย!F50+พค!F50+มิย!F50+กค!F50+สค!F50+กย!F50</f>
        <v>0</v>
      </c>
      <c r="G50" s="3">
        <f>เมย!G50+พค!G50+มิย!G50+กค!G50+สค!G50+กย!G50</f>
        <v>0</v>
      </c>
      <c r="H50" s="3">
        <f>เมย!H50+พค!H50+มิย!H50+กค!H50+สค!H50+กย!H50</f>
        <v>0</v>
      </c>
      <c r="I50" s="3">
        <f>เมย!I50+พค!I50+มิย!I50+กค!I50+สค!I50+กย!I50</f>
        <v>0</v>
      </c>
      <c r="J50" s="3">
        <f>เมย!J50+พค!J50+มิย!J50+กค!J50+สค!J50+กย!J50</f>
        <v>0</v>
      </c>
      <c r="K50" s="3">
        <f>เมย!K50+พค!K50+มิย!K50+กค!K50+สค!K50+กย!K50</f>
        <v>0</v>
      </c>
      <c r="L50" s="3">
        <f>เมย!L50+พค!L50+มิย!L50+กค!L50+สค!L50+กย!L50</f>
        <v>0</v>
      </c>
      <c r="M50" s="5">
        <f t="shared" si="3"/>
        <v>0</v>
      </c>
      <c r="N50" s="28" t="e">
        <f t="shared" si="4"/>
        <v>#DIV/0!</v>
      </c>
      <c r="O50" s="3">
        <f>เมย!O50+พค!O50+มิย!O50+กค!O50+สค!O50+กย!O50</f>
        <v>0</v>
      </c>
      <c r="P50" s="3">
        <f>เมย!P50+พค!P50+มิย!P50+กค!P50+สค!P50+กย!P50</f>
        <v>0</v>
      </c>
      <c r="Q50" s="3">
        <f>เมย!Q50+พค!Q50+มิย!Q50+กค!Q50+สค!Q50+กย!Q50</f>
        <v>0</v>
      </c>
      <c r="R50" s="3">
        <f>เมย!R50+พค!R50+มิย!R50+กค!R50+สค!R50+กย!R50</f>
        <v>0</v>
      </c>
      <c r="S50" s="3">
        <f>เมย!S50+พค!S50+มิย!S50+กค!S50+สค!S50+กย!S50</f>
        <v>0</v>
      </c>
      <c r="T50" s="37">
        <f t="shared" si="0"/>
        <v>0</v>
      </c>
      <c r="U50" s="28" t="e">
        <f t="shared" si="5"/>
        <v>#DIV/0!</v>
      </c>
      <c r="V50" s="59">
        <f t="shared" si="6"/>
        <v>0</v>
      </c>
    </row>
    <row r="51" spans="1:22" ht="22.5" customHeight="1">
      <c r="A51" s="87"/>
      <c r="B51" s="7" t="s">
        <v>14</v>
      </c>
      <c r="C51" s="3">
        <f>เมย!C51+พค!C51+มิย!C51+กค!C51+สค!C51+กย!C51</f>
        <v>0</v>
      </c>
      <c r="D51" s="3">
        <f>เมย!D51+พค!D51+มิย!D51+กค!D51+สค!D51+กย!D51</f>
        <v>0</v>
      </c>
      <c r="E51" s="4">
        <f t="shared" si="2"/>
        <v>0</v>
      </c>
      <c r="F51" s="3">
        <f>เมย!F51+พค!F51+มิย!F51+กค!F51+สค!F51+กย!F51</f>
        <v>0</v>
      </c>
      <c r="G51" s="3">
        <f>เมย!G51+พค!G51+มิย!G51+กค!G51+สค!G51+กย!G51</f>
        <v>0</v>
      </c>
      <c r="H51" s="3">
        <f>เมย!H51+พค!H51+มิย!H51+กค!H51+สค!H51+กย!H51</f>
        <v>0</v>
      </c>
      <c r="I51" s="3">
        <f>เมย!I51+พค!I51+มิย!I51+กค!I51+สค!I51+กย!I51</f>
        <v>0</v>
      </c>
      <c r="J51" s="3">
        <f>เมย!J51+พค!J51+มิย!J51+กค!J51+สค!J51+กย!J51</f>
        <v>0</v>
      </c>
      <c r="K51" s="3">
        <f>เมย!K51+พค!K51+มิย!K51+กค!K51+สค!K51+กย!K51</f>
        <v>0</v>
      </c>
      <c r="L51" s="3">
        <f>เมย!L51+พค!L51+มิย!L51+กค!L51+สค!L51+กย!L51</f>
        <v>0</v>
      </c>
      <c r="M51" s="5">
        <f t="shared" si="3"/>
        <v>0</v>
      </c>
      <c r="N51" s="28" t="e">
        <f t="shared" si="4"/>
        <v>#DIV/0!</v>
      </c>
      <c r="O51" s="3">
        <f>เมย!O51+พค!O51+มิย!O51+กค!O51+สค!O51+กย!O51</f>
        <v>0</v>
      </c>
      <c r="P51" s="3">
        <f>เมย!P51+พค!P51+มิย!P51+กค!P51+สค!P51+กย!P51</f>
        <v>0</v>
      </c>
      <c r="Q51" s="3">
        <f>เมย!Q51+พค!Q51+มิย!Q51+กค!Q51+สค!Q51+กย!Q51</f>
        <v>0</v>
      </c>
      <c r="R51" s="3">
        <f>เมย!R51+พค!R51+มิย!R51+กค!R51+สค!R51+กย!R51</f>
        <v>0</v>
      </c>
      <c r="S51" s="3">
        <f>เมย!S51+พค!S51+มิย!S51+กค!S51+สค!S51+กย!S51</f>
        <v>0</v>
      </c>
      <c r="T51" s="37">
        <f t="shared" si="0"/>
        <v>0</v>
      </c>
      <c r="U51" s="28" t="e">
        <f t="shared" si="5"/>
        <v>#DIV/0!</v>
      </c>
      <c r="V51" s="59">
        <f t="shared" si="6"/>
        <v>0</v>
      </c>
    </row>
    <row r="52" spans="1:22" ht="22.5" customHeight="1">
      <c r="A52" s="87">
        <v>15</v>
      </c>
      <c r="B52" s="7" t="s">
        <v>12</v>
      </c>
      <c r="C52" s="3">
        <f>เมย!C52+พค!C52+มิย!C52+กค!C52+สค!C52+กย!C52</f>
        <v>0</v>
      </c>
      <c r="D52" s="3">
        <f>เมย!D52+พค!D52+มิย!D52+กค!D52+สค!D52+กย!D52</f>
        <v>0</v>
      </c>
      <c r="E52" s="4">
        <f t="shared" si="2"/>
        <v>0</v>
      </c>
      <c r="F52" s="3">
        <f>เมย!F52+พค!F52+มิย!F52+กค!F52+สค!F52+กย!F52</f>
        <v>0</v>
      </c>
      <c r="G52" s="3">
        <f>เมย!G52+พค!G52+มิย!G52+กค!G52+สค!G52+กย!G52</f>
        <v>0</v>
      </c>
      <c r="H52" s="3">
        <f>เมย!H52+พค!H52+มิย!H52+กค!H52+สค!H52+กย!H52</f>
        <v>0</v>
      </c>
      <c r="I52" s="3">
        <f>เมย!I52+พค!I52+มิย!I52+กค!I52+สค!I52+กย!I52</f>
        <v>0</v>
      </c>
      <c r="J52" s="3">
        <f>เมย!J52+พค!J52+มิย!J52+กค!J52+สค!J52+กย!J52</f>
        <v>0</v>
      </c>
      <c r="K52" s="3">
        <f>เมย!K52+พค!K52+มิย!K52+กค!K52+สค!K52+กย!K52</f>
        <v>0</v>
      </c>
      <c r="L52" s="3">
        <f>เมย!L52+พค!L52+มิย!L52+กค!L52+สค!L52+กย!L52</f>
        <v>0</v>
      </c>
      <c r="M52" s="5">
        <f t="shared" si="3"/>
        <v>0</v>
      </c>
      <c r="N52" s="28" t="e">
        <f t="shared" si="4"/>
        <v>#DIV/0!</v>
      </c>
      <c r="O52" s="3">
        <f>เมย!O52+พค!O52+มิย!O52+กค!O52+สค!O52+กย!O52</f>
        <v>0</v>
      </c>
      <c r="P52" s="3">
        <f>เมย!P52+พค!P52+มิย!P52+กค!P52+สค!P52+กย!P52</f>
        <v>0</v>
      </c>
      <c r="Q52" s="3">
        <f>เมย!Q52+พค!Q52+มิย!Q52+กค!Q52+สค!Q52+กย!Q52</f>
        <v>0</v>
      </c>
      <c r="R52" s="3">
        <f>เมย!R52+พค!R52+มิย!R52+กค!R52+สค!R52+กย!R52</f>
        <v>0</v>
      </c>
      <c r="S52" s="3">
        <f>เมย!S52+พค!S52+มิย!S52+กค!S52+สค!S52+กย!S52</f>
        <v>0</v>
      </c>
      <c r="T52" s="37">
        <f t="shared" si="0"/>
        <v>0</v>
      </c>
      <c r="U52" s="28" t="e">
        <f t="shared" si="5"/>
        <v>#DIV/0!</v>
      </c>
      <c r="V52" s="59">
        <f t="shared" si="6"/>
        <v>0</v>
      </c>
    </row>
    <row r="53" spans="1:22" ht="22.5" customHeight="1">
      <c r="A53" s="87"/>
      <c r="B53" s="7" t="s">
        <v>13</v>
      </c>
      <c r="C53" s="3">
        <f>เมย!C53+พค!C53+มิย!C53+กค!C53+สค!C53+กย!C53</f>
        <v>0</v>
      </c>
      <c r="D53" s="3">
        <f>เมย!D53+พค!D53+มิย!D53+กค!D53+สค!D53+กย!D53</f>
        <v>0</v>
      </c>
      <c r="E53" s="4">
        <f t="shared" si="2"/>
        <v>0</v>
      </c>
      <c r="F53" s="3">
        <f>เมย!F53+พค!F53+มิย!F53+กค!F53+สค!F53+กย!F53</f>
        <v>0</v>
      </c>
      <c r="G53" s="3">
        <f>เมย!G53+พค!G53+มิย!G53+กค!G53+สค!G53+กย!G53</f>
        <v>0</v>
      </c>
      <c r="H53" s="3">
        <f>เมย!H53+พค!H53+มิย!H53+กค!H53+สค!H53+กย!H53</f>
        <v>0</v>
      </c>
      <c r="I53" s="3">
        <f>เมย!I53+พค!I53+มิย!I53+กค!I53+สค!I53+กย!I53</f>
        <v>0</v>
      </c>
      <c r="J53" s="3">
        <f>เมย!J53+พค!J53+มิย!J53+กค!J53+สค!J53+กย!J53</f>
        <v>0</v>
      </c>
      <c r="K53" s="3">
        <f>เมย!K53+พค!K53+มิย!K53+กค!K53+สค!K53+กย!K53</f>
        <v>0</v>
      </c>
      <c r="L53" s="3">
        <f>เมย!L53+พค!L53+มิย!L53+กค!L53+สค!L53+กย!L53</f>
        <v>0</v>
      </c>
      <c r="M53" s="5">
        <f t="shared" si="3"/>
        <v>0</v>
      </c>
      <c r="N53" s="28" t="e">
        <f t="shared" si="4"/>
        <v>#DIV/0!</v>
      </c>
      <c r="O53" s="3">
        <f>เมย!O53+พค!O53+มิย!O53+กค!O53+สค!O53+กย!O53</f>
        <v>0</v>
      </c>
      <c r="P53" s="3">
        <f>เมย!P53+พค!P53+มิย!P53+กค!P53+สค!P53+กย!P53</f>
        <v>0</v>
      </c>
      <c r="Q53" s="3">
        <f>เมย!Q53+พค!Q53+มิย!Q53+กค!Q53+สค!Q53+กย!Q53</f>
        <v>0</v>
      </c>
      <c r="R53" s="3">
        <f>เมย!R53+พค!R53+มิย!R53+กค!R53+สค!R53+กย!R53</f>
        <v>0</v>
      </c>
      <c r="S53" s="3">
        <f>เมย!S53+พค!S53+มิย!S53+กค!S53+สค!S53+กย!S53</f>
        <v>0</v>
      </c>
      <c r="T53" s="37">
        <f t="shared" si="0"/>
        <v>0</v>
      </c>
      <c r="U53" s="28" t="e">
        <f t="shared" si="5"/>
        <v>#DIV/0!</v>
      </c>
      <c r="V53" s="59">
        <f t="shared" si="6"/>
        <v>0</v>
      </c>
    </row>
    <row r="54" spans="1:22" ht="22.5" customHeight="1">
      <c r="A54" s="87"/>
      <c r="B54" s="7" t="s">
        <v>14</v>
      </c>
      <c r="C54" s="3">
        <f>เมย!C54+พค!C54+มิย!C54+กค!C54+สค!C54+กย!C54</f>
        <v>0</v>
      </c>
      <c r="D54" s="3">
        <f>เมย!D54+พค!D54+มิย!D54+กค!D54+สค!D54+กย!D54</f>
        <v>0</v>
      </c>
      <c r="E54" s="4">
        <f t="shared" si="2"/>
        <v>0</v>
      </c>
      <c r="F54" s="3">
        <f>เมย!F54+พค!F54+มิย!F54+กค!F54+สค!F54+กย!F54</f>
        <v>0</v>
      </c>
      <c r="G54" s="3">
        <f>เมย!G54+พค!G54+มิย!G54+กค!G54+สค!G54+กย!G54</f>
        <v>0</v>
      </c>
      <c r="H54" s="3">
        <f>เมย!H54+พค!H54+มิย!H54+กค!H54+สค!H54+กย!H54</f>
        <v>0</v>
      </c>
      <c r="I54" s="3">
        <f>เมย!I54+พค!I54+มิย!I54+กค!I54+สค!I54+กย!I54</f>
        <v>0</v>
      </c>
      <c r="J54" s="3">
        <f>เมย!J54+พค!J54+มิย!J54+กค!J54+สค!J54+กย!J54</f>
        <v>0</v>
      </c>
      <c r="K54" s="3">
        <f>เมย!K54+พค!K54+มิย!K54+กค!K54+สค!K54+กย!K54</f>
        <v>0</v>
      </c>
      <c r="L54" s="3">
        <f>เมย!L54+พค!L54+มิย!L54+กค!L54+สค!L54+กย!L54</f>
        <v>0</v>
      </c>
      <c r="M54" s="5">
        <f t="shared" si="3"/>
        <v>0</v>
      </c>
      <c r="N54" s="28" t="e">
        <f t="shared" si="4"/>
        <v>#DIV/0!</v>
      </c>
      <c r="O54" s="3">
        <f>เมย!O54+พค!O54+มิย!O54+กค!O54+สค!O54+กย!O54</f>
        <v>0</v>
      </c>
      <c r="P54" s="3">
        <f>เมย!P54+พค!P54+มิย!P54+กค!P54+สค!P54+กย!P54</f>
        <v>0</v>
      </c>
      <c r="Q54" s="3">
        <f>เมย!Q54+พค!Q54+มิย!Q54+กค!Q54+สค!Q54+กย!Q54</f>
        <v>0</v>
      </c>
      <c r="R54" s="3">
        <f>เมย!R54+พค!R54+มิย!R54+กค!R54+สค!R54+กย!R54</f>
        <v>0</v>
      </c>
      <c r="S54" s="3">
        <f>เมย!S54+พค!S54+มิย!S54+กค!S54+สค!S54+กย!S54</f>
        <v>0</v>
      </c>
      <c r="T54" s="37">
        <f t="shared" si="0"/>
        <v>0</v>
      </c>
      <c r="U54" s="28" t="e">
        <f t="shared" si="5"/>
        <v>#DIV/0!</v>
      </c>
      <c r="V54" s="59">
        <f t="shared" si="6"/>
        <v>0</v>
      </c>
    </row>
    <row r="55" spans="1:22" ht="22.5" customHeight="1">
      <c r="A55" s="87">
        <v>16</v>
      </c>
      <c r="B55" s="7" t="s">
        <v>12</v>
      </c>
      <c r="C55" s="3">
        <f>เมย!C55+พค!C55+มิย!C55+กค!C55+สค!C55+กย!C55</f>
        <v>0</v>
      </c>
      <c r="D55" s="3">
        <f>เมย!D55+พค!D55+มิย!D55+กค!D55+สค!D55+กย!D55</f>
        <v>0</v>
      </c>
      <c r="E55" s="4">
        <f t="shared" si="2"/>
        <v>0</v>
      </c>
      <c r="F55" s="3">
        <f>เมย!F55+พค!F55+มิย!F55+กค!F55+สค!F55+กย!F55</f>
        <v>0</v>
      </c>
      <c r="G55" s="3">
        <f>เมย!G55+พค!G55+มิย!G55+กค!G55+สค!G55+กย!G55</f>
        <v>0</v>
      </c>
      <c r="H55" s="3">
        <f>เมย!H55+พค!H55+มิย!H55+กค!H55+สค!H55+กย!H55</f>
        <v>0</v>
      </c>
      <c r="I55" s="3">
        <f>เมย!I55+พค!I55+มิย!I55+กค!I55+สค!I55+กย!I55</f>
        <v>0</v>
      </c>
      <c r="J55" s="3">
        <f>เมย!J55+พค!J55+มิย!J55+กค!J55+สค!J55+กย!J55</f>
        <v>0</v>
      </c>
      <c r="K55" s="3">
        <f>เมย!K55+พค!K55+มิย!K55+กค!K55+สค!K55+กย!K55</f>
        <v>0</v>
      </c>
      <c r="L55" s="3">
        <f>เมย!L55+พค!L55+มิย!L55+กค!L55+สค!L55+กย!L55</f>
        <v>0</v>
      </c>
      <c r="M55" s="5">
        <f t="shared" si="3"/>
        <v>0</v>
      </c>
      <c r="N55" s="28" t="e">
        <f t="shared" si="4"/>
        <v>#DIV/0!</v>
      </c>
      <c r="O55" s="3">
        <f>เมย!O55+พค!O55+มิย!O55+กค!O55+สค!O55+กย!O55</f>
        <v>0</v>
      </c>
      <c r="P55" s="3">
        <f>เมย!P55+พค!P55+มิย!P55+กค!P55+สค!P55+กย!P55</f>
        <v>0</v>
      </c>
      <c r="Q55" s="3">
        <f>เมย!Q55+พค!Q55+มิย!Q55+กค!Q55+สค!Q55+กย!Q55</f>
        <v>0</v>
      </c>
      <c r="R55" s="3">
        <f>เมย!R55+พค!R55+มิย!R55+กค!R55+สค!R55+กย!R55</f>
        <v>0</v>
      </c>
      <c r="S55" s="3">
        <f>เมย!S55+พค!S55+มิย!S55+กค!S55+สค!S55+กย!S55</f>
        <v>0</v>
      </c>
      <c r="T55" s="37">
        <f t="shared" si="0"/>
        <v>0</v>
      </c>
      <c r="U55" s="28" t="e">
        <f t="shared" si="5"/>
        <v>#DIV/0!</v>
      </c>
      <c r="V55" s="59">
        <f t="shared" si="6"/>
        <v>0</v>
      </c>
    </row>
    <row r="56" spans="1:22" ht="22.5" customHeight="1">
      <c r="A56" s="87"/>
      <c r="B56" s="7" t="s">
        <v>13</v>
      </c>
      <c r="C56" s="3">
        <f>เมย!C56+พค!C56+มิย!C56+กค!C56+สค!C56+กย!C56</f>
        <v>0</v>
      </c>
      <c r="D56" s="3">
        <f>เมย!D56+พค!D56+มิย!D56+กค!D56+สค!D56+กย!D56</f>
        <v>0</v>
      </c>
      <c r="E56" s="4">
        <f t="shared" si="2"/>
        <v>0</v>
      </c>
      <c r="F56" s="3">
        <f>เมย!F56+พค!F56+มิย!F56+กค!F56+สค!F56+กย!F56</f>
        <v>0</v>
      </c>
      <c r="G56" s="3">
        <f>เมย!G56+พค!G56+มิย!G56+กค!G56+สค!G56+กย!G56</f>
        <v>0</v>
      </c>
      <c r="H56" s="3">
        <f>เมย!H56+พค!H56+มิย!H56+กค!H56+สค!H56+กย!H56</f>
        <v>0</v>
      </c>
      <c r="I56" s="3">
        <f>เมย!I56+พค!I56+มิย!I56+กค!I56+สค!I56+กย!I56</f>
        <v>0</v>
      </c>
      <c r="J56" s="3">
        <f>เมย!J56+พค!J56+มิย!J56+กค!J56+สค!J56+กย!J56</f>
        <v>0</v>
      </c>
      <c r="K56" s="3">
        <f>เมย!K56+พค!K56+มิย!K56+กค!K56+สค!K56+กย!K56</f>
        <v>0</v>
      </c>
      <c r="L56" s="3">
        <f>เมย!L56+พค!L56+มิย!L56+กค!L56+สค!L56+กย!L56</f>
        <v>0</v>
      </c>
      <c r="M56" s="5">
        <f t="shared" si="3"/>
        <v>0</v>
      </c>
      <c r="N56" s="28" t="e">
        <f t="shared" si="4"/>
        <v>#DIV/0!</v>
      </c>
      <c r="O56" s="3">
        <f>เมย!O56+พค!O56+มิย!O56+กค!O56+สค!O56+กย!O56</f>
        <v>0</v>
      </c>
      <c r="P56" s="3">
        <f>เมย!P56+พค!P56+มิย!P56+กค!P56+สค!P56+กย!P56</f>
        <v>0</v>
      </c>
      <c r="Q56" s="3">
        <f>เมย!Q56+พค!Q56+มิย!Q56+กค!Q56+สค!Q56+กย!Q56</f>
        <v>0</v>
      </c>
      <c r="R56" s="3">
        <f>เมย!R56+พค!R56+มิย!R56+กค!R56+สค!R56+กย!R56</f>
        <v>0</v>
      </c>
      <c r="S56" s="3">
        <f>เมย!S56+พค!S56+มิย!S56+กค!S56+สค!S56+กย!S56</f>
        <v>0</v>
      </c>
      <c r="T56" s="37">
        <f t="shared" si="0"/>
        <v>0</v>
      </c>
      <c r="U56" s="28" t="e">
        <f t="shared" si="5"/>
        <v>#DIV/0!</v>
      </c>
      <c r="V56" s="59">
        <f t="shared" si="6"/>
        <v>0</v>
      </c>
    </row>
    <row r="57" spans="1:22" ht="22.5" customHeight="1">
      <c r="A57" s="87"/>
      <c r="B57" s="7" t="s">
        <v>14</v>
      </c>
      <c r="C57" s="3">
        <f>เมย!C57+พค!C57+มิย!C57+กค!C57+สค!C57+กย!C57</f>
        <v>0</v>
      </c>
      <c r="D57" s="3">
        <f>เมย!D57+พค!D57+มิย!D57+กค!D57+สค!D57+กย!D57</f>
        <v>0</v>
      </c>
      <c r="E57" s="4">
        <f t="shared" si="2"/>
        <v>0</v>
      </c>
      <c r="F57" s="3">
        <f>เมย!F57+พค!F57+มิย!F57+กค!F57+สค!F57+กย!F57</f>
        <v>0</v>
      </c>
      <c r="G57" s="3">
        <f>เมย!G57+พค!G57+มิย!G57+กค!G57+สค!G57+กย!G57</f>
        <v>0</v>
      </c>
      <c r="H57" s="3">
        <f>เมย!H57+พค!H57+มิย!H57+กค!H57+สค!H57+กย!H57</f>
        <v>0</v>
      </c>
      <c r="I57" s="3">
        <f>เมย!I57+พค!I57+มิย!I57+กค!I57+สค!I57+กย!I57</f>
        <v>0</v>
      </c>
      <c r="J57" s="3">
        <f>เมย!J57+พค!J57+มิย!J57+กค!J57+สค!J57+กย!J57</f>
        <v>0</v>
      </c>
      <c r="K57" s="3">
        <f>เมย!K57+พค!K57+มิย!K57+กค!K57+สค!K57+กย!K57</f>
        <v>0</v>
      </c>
      <c r="L57" s="3">
        <f>เมย!L57+พค!L57+มิย!L57+กค!L57+สค!L57+กย!L57</f>
        <v>0</v>
      </c>
      <c r="M57" s="5">
        <f t="shared" si="3"/>
        <v>0</v>
      </c>
      <c r="N57" s="28" t="e">
        <f t="shared" si="4"/>
        <v>#DIV/0!</v>
      </c>
      <c r="O57" s="3">
        <f>เมย!O57+พค!O57+มิย!O57+กค!O57+สค!O57+กย!O57</f>
        <v>0</v>
      </c>
      <c r="P57" s="3">
        <f>เมย!P57+พค!P57+มิย!P57+กค!P57+สค!P57+กย!P57</f>
        <v>0</v>
      </c>
      <c r="Q57" s="3">
        <f>เมย!Q57+พค!Q57+มิย!Q57+กค!Q57+สค!Q57+กย!Q57</f>
        <v>0</v>
      </c>
      <c r="R57" s="3">
        <f>เมย!R57+พค!R57+มิย!R57+กค!R57+สค!R57+กย!R57</f>
        <v>0</v>
      </c>
      <c r="S57" s="3">
        <f>เมย!S57+พค!S57+มิย!S57+กค!S57+สค!S57+กย!S57</f>
        <v>0</v>
      </c>
      <c r="T57" s="37">
        <f t="shared" si="0"/>
        <v>0</v>
      </c>
      <c r="U57" s="28" t="e">
        <f t="shared" si="5"/>
        <v>#DIV/0!</v>
      </c>
      <c r="V57" s="59">
        <f t="shared" si="6"/>
        <v>0</v>
      </c>
    </row>
    <row r="58" spans="1:22" ht="22.5" customHeight="1">
      <c r="A58" s="87">
        <v>17</v>
      </c>
      <c r="B58" s="7" t="s">
        <v>12</v>
      </c>
      <c r="C58" s="3">
        <f>เมย!C58+พค!C58+มิย!C58+กค!C58+สค!C58+กย!C58</f>
        <v>0</v>
      </c>
      <c r="D58" s="3">
        <f>เมย!D58+พค!D58+มิย!D58+กค!D58+สค!D58+กย!D58</f>
        <v>0</v>
      </c>
      <c r="E58" s="4">
        <f t="shared" si="2"/>
        <v>0</v>
      </c>
      <c r="F58" s="3">
        <f>เมย!F58+พค!F58+มิย!F58+กค!F58+สค!F58+กย!F58</f>
        <v>0</v>
      </c>
      <c r="G58" s="3">
        <f>เมย!G58+พค!G58+มิย!G58+กค!G58+สค!G58+กย!G58</f>
        <v>0</v>
      </c>
      <c r="H58" s="3">
        <f>เมย!H58+พค!H58+มิย!H58+กค!H58+สค!H58+กย!H58</f>
        <v>0</v>
      </c>
      <c r="I58" s="3">
        <f>เมย!I58+พค!I58+มิย!I58+กค!I58+สค!I58+กย!I58</f>
        <v>0</v>
      </c>
      <c r="J58" s="3">
        <f>เมย!J58+พค!J58+มิย!J58+กค!J58+สค!J58+กย!J58</f>
        <v>0</v>
      </c>
      <c r="K58" s="3">
        <f>เมย!K58+พค!K58+มิย!K58+กค!K58+สค!K58+กย!K58</f>
        <v>0</v>
      </c>
      <c r="L58" s="3">
        <f>เมย!L58+พค!L58+มิย!L58+กค!L58+สค!L58+กย!L58</f>
        <v>0</v>
      </c>
      <c r="M58" s="5">
        <f t="shared" si="3"/>
        <v>0</v>
      </c>
      <c r="N58" s="28" t="e">
        <f t="shared" si="4"/>
        <v>#DIV/0!</v>
      </c>
      <c r="O58" s="3">
        <f>เมย!O58+พค!O58+มิย!O58+กค!O58+สค!O58+กย!O58</f>
        <v>0</v>
      </c>
      <c r="P58" s="3">
        <f>เมย!P58+พค!P58+มิย!P58+กค!P58+สค!P58+กย!P58</f>
        <v>0</v>
      </c>
      <c r="Q58" s="3">
        <f>เมย!Q58+พค!Q58+มิย!Q58+กค!Q58+สค!Q58+กย!Q58</f>
        <v>0</v>
      </c>
      <c r="R58" s="3">
        <f>เมย!R58+พค!R58+มิย!R58+กค!R58+สค!R58+กย!R58</f>
        <v>0</v>
      </c>
      <c r="S58" s="3">
        <f>เมย!S58+พค!S58+มิย!S58+กค!S58+สค!S58+กย!S58</f>
        <v>0</v>
      </c>
      <c r="T58" s="37">
        <f t="shared" si="0"/>
        <v>0</v>
      </c>
      <c r="U58" s="28" t="e">
        <f t="shared" si="5"/>
        <v>#DIV/0!</v>
      </c>
      <c r="V58" s="59">
        <f t="shared" si="6"/>
        <v>0</v>
      </c>
    </row>
    <row r="59" spans="1:22" ht="22.5" customHeight="1">
      <c r="A59" s="87"/>
      <c r="B59" s="7" t="s">
        <v>13</v>
      </c>
      <c r="C59" s="3">
        <f>เมย!C59+พค!C59+มิย!C59+กค!C59+สค!C59+กย!C59</f>
        <v>0</v>
      </c>
      <c r="D59" s="3">
        <f>เมย!D59+พค!D59+มิย!D59+กค!D59+สค!D59+กย!D59</f>
        <v>0</v>
      </c>
      <c r="E59" s="4">
        <f t="shared" si="2"/>
        <v>0</v>
      </c>
      <c r="F59" s="3">
        <f>เมย!F59+พค!F59+มิย!F59+กค!F59+สค!F59+กย!F59</f>
        <v>0</v>
      </c>
      <c r="G59" s="3">
        <f>เมย!G59+พค!G59+มิย!G59+กค!G59+สค!G59+กย!G59</f>
        <v>0</v>
      </c>
      <c r="H59" s="3">
        <f>เมย!H59+พค!H59+มิย!H59+กค!H59+สค!H59+กย!H59</f>
        <v>0</v>
      </c>
      <c r="I59" s="3">
        <f>เมย!I59+พค!I59+มิย!I59+กค!I59+สค!I59+กย!I59</f>
        <v>0</v>
      </c>
      <c r="J59" s="3">
        <f>เมย!J59+พค!J59+มิย!J59+กค!J59+สค!J59+กย!J59</f>
        <v>0</v>
      </c>
      <c r="K59" s="3">
        <f>เมย!K59+พค!K59+มิย!K59+กค!K59+สค!K59+กย!K59</f>
        <v>0</v>
      </c>
      <c r="L59" s="3">
        <f>เมย!L59+พค!L59+มิย!L59+กค!L59+สค!L59+กย!L59</f>
        <v>0</v>
      </c>
      <c r="M59" s="5">
        <f t="shared" si="3"/>
        <v>0</v>
      </c>
      <c r="N59" s="28" t="e">
        <f t="shared" si="4"/>
        <v>#DIV/0!</v>
      </c>
      <c r="O59" s="3">
        <f>เมย!O59+พค!O59+มิย!O59+กค!O59+สค!O59+กย!O59</f>
        <v>0</v>
      </c>
      <c r="P59" s="3">
        <f>เมย!P59+พค!P59+มิย!P59+กค!P59+สค!P59+กย!P59</f>
        <v>0</v>
      </c>
      <c r="Q59" s="3">
        <f>เมย!Q59+พค!Q59+มิย!Q59+กค!Q59+สค!Q59+กย!Q59</f>
        <v>0</v>
      </c>
      <c r="R59" s="3">
        <f>เมย!R59+พค!R59+มิย!R59+กค!R59+สค!R59+กย!R59</f>
        <v>0</v>
      </c>
      <c r="S59" s="3">
        <f>เมย!S59+พค!S59+มิย!S59+กค!S59+สค!S59+กย!S59</f>
        <v>0</v>
      </c>
      <c r="T59" s="37">
        <f t="shared" si="0"/>
        <v>0</v>
      </c>
      <c r="U59" s="28" t="e">
        <f t="shared" si="5"/>
        <v>#DIV/0!</v>
      </c>
      <c r="V59" s="59">
        <f t="shared" si="6"/>
        <v>0</v>
      </c>
    </row>
    <row r="60" spans="1:22" ht="22.5" customHeight="1">
      <c r="A60" s="87"/>
      <c r="B60" s="7" t="s">
        <v>14</v>
      </c>
      <c r="C60" s="3">
        <f>เมย!C60+พค!C60+มิย!C60+กค!C60+สค!C60+กย!C60</f>
        <v>0</v>
      </c>
      <c r="D60" s="3">
        <f>เมย!D60+พค!D60+มิย!D60+กค!D60+สค!D60+กย!D60</f>
        <v>0</v>
      </c>
      <c r="E60" s="4">
        <f t="shared" si="2"/>
        <v>0</v>
      </c>
      <c r="F60" s="3">
        <f>เมย!F60+พค!F60+มิย!F60+กค!F60+สค!F60+กย!F60</f>
        <v>0</v>
      </c>
      <c r="G60" s="3">
        <f>เมย!G60+พค!G60+มิย!G60+กค!G60+สค!G60+กย!G60</f>
        <v>0</v>
      </c>
      <c r="H60" s="3">
        <f>เมย!H60+พค!H60+มิย!H60+กค!H60+สค!H60+กย!H60</f>
        <v>0</v>
      </c>
      <c r="I60" s="3">
        <f>เมย!I60+พค!I60+มิย!I60+กค!I60+สค!I60+กย!I60</f>
        <v>0</v>
      </c>
      <c r="J60" s="3">
        <f>เมย!J60+พค!J60+มิย!J60+กค!J60+สค!J60+กย!J60</f>
        <v>0</v>
      </c>
      <c r="K60" s="3">
        <f>เมย!K60+พค!K60+มิย!K60+กค!K60+สค!K60+กย!K60</f>
        <v>0</v>
      </c>
      <c r="L60" s="3">
        <f>เมย!L60+พค!L60+มิย!L60+กค!L60+สค!L60+กย!L60</f>
        <v>0</v>
      </c>
      <c r="M60" s="5">
        <f t="shared" si="3"/>
        <v>0</v>
      </c>
      <c r="N60" s="28" t="e">
        <f t="shared" si="4"/>
        <v>#DIV/0!</v>
      </c>
      <c r="O60" s="3">
        <f>เมย!O60+พค!O60+มิย!O60+กค!O60+สค!O60+กย!O60</f>
        <v>0</v>
      </c>
      <c r="P60" s="3">
        <f>เมย!P60+พค!P60+มิย!P60+กค!P60+สค!P60+กย!P60</f>
        <v>0</v>
      </c>
      <c r="Q60" s="3">
        <f>เมย!Q60+พค!Q60+มิย!Q60+กค!Q60+สค!Q60+กย!Q60</f>
        <v>0</v>
      </c>
      <c r="R60" s="3">
        <f>เมย!R60+พค!R60+มิย!R60+กค!R60+สค!R60+กย!R60</f>
        <v>0</v>
      </c>
      <c r="S60" s="3">
        <f>เมย!S60+พค!S60+มิย!S60+กค!S60+สค!S60+กย!S60</f>
        <v>0</v>
      </c>
      <c r="T60" s="37">
        <f t="shared" si="0"/>
        <v>0</v>
      </c>
      <c r="U60" s="28" t="e">
        <f t="shared" si="5"/>
        <v>#DIV/0!</v>
      </c>
      <c r="V60" s="59">
        <f t="shared" si="6"/>
        <v>0</v>
      </c>
    </row>
    <row r="61" spans="1:22" ht="22.5" customHeight="1">
      <c r="A61" s="87">
        <v>18</v>
      </c>
      <c r="B61" s="7" t="s">
        <v>12</v>
      </c>
      <c r="C61" s="3">
        <f>เมย!C61+พค!C61+มิย!C61+กค!C61+สค!C61+กย!C61</f>
        <v>0</v>
      </c>
      <c r="D61" s="3">
        <f>เมย!D61+พค!D61+มิย!D61+กค!D61+สค!D61+กย!D61</f>
        <v>0</v>
      </c>
      <c r="E61" s="4">
        <f t="shared" si="2"/>
        <v>0</v>
      </c>
      <c r="F61" s="3">
        <f>เมย!F61+พค!F61+มิย!F61+กค!F61+สค!F61+กย!F61</f>
        <v>0</v>
      </c>
      <c r="G61" s="3">
        <f>เมย!G61+พค!G61+มิย!G61+กค!G61+สค!G61+กย!G61</f>
        <v>0</v>
      </c>
      <c r="H61" s="3">
        <f>เมย!H61+พค!H61+มิย!H61+กค!H61+สค!H61+กย!H61</f>
        <v>0</v>
      </c>
      <c r="I61" s="3">
        <f>เมย!I61+พค!I61+มิย!I61+กค!I61+สค!I61+กย!I61</f>
        <v>0</v>
      </c>
      <c r="J61" s="3">
        <f>เมย!J61+พค!J61+มิย!J61+กค!J61+สค!J61+กย!J61</f>
        <v>0</v>
      </c>
      <c r="K61" s="3">
        <f>เมย!K61+พค!K61+มิย!K61+กค!K61+สค!K61+กย!K61</f>
        <v>0</v>
      </c>
      <c r="L61" s="3">
        <f>เมย!L61+พค!L61+มิย!L61+กค!L61+สค!L61+กย!L61</f>
        <v>0</v>
      </c>
      <c r="M61" s="5">
        <f t="shared" si="3"/>
        <v>0</v>
      </c>
      <c r="N61" s="28" t="e">
        <f t="shared" si="4"/>
        <v>#DIV/0!</v>
      </c>
      <c r="O61" s="3">
        <f>เมย!O61+พค!O61+มิย!O61+กค!O61+สค!O61+กย!O61</f>
        <v>0</v>
      </c>
      <c r="P61" s="3">
        <f>เมย!P61+พค!P61+มิย!P61+กค!P61+สค!P61+กย!P61</f>
        <v>0</v>
      </c>
      <c r="Q61" s="3">
        <f>เมย!Q61+พค!Q61+มิย!Q61+กค!Q61+สค!Q61+กย!Q61</f>
        <v>0</v>
      </c>
      <c r="R61" s="3">
        <f>เมย!R61+พค!R61+มิย!R61+กค!R61+สค!R61+กย!R61</f>
        <v>0</v>
      </c>
      <c r="S61" s="3">
        <f>เมย!S61+พค!S61+มิย!S61+กค!S61+สค!S61+กย!S61</f>
        <v>0</v>
      </c>
      <c r="T61" s="37">
        <f t="shared" si="0"/>
        <v>0</v>
      </c>
      <c r="U61" s="28" t="e">
        <f t="shared" si="5"/>
        <v>#DIV/0!</v>
      </c>
      <c r="V61" s="59">
        <f t="shared" si="6"/>
        <v>0</v>
      </c>
    </row>
    <row r="62" spans="1:22" ht="22.5" customHeight="1">
      <c r="A62" s="87"/>
      <c r="B62" s="7" t="s">
        <v>13</v>
      </c>
      <c r="C62" s="3">
        <f>เมย!C62+พค!C62+มิย!C62+กค!C62+สค!C62+กย!C62</f>
        <v>0</v>
      </c>
      <c r="D62" s="3">
        <f>เมย!D62+พค!D62+มิย!D62+กค!D62+สค!D62+กย!D62</f>
        <v>0</v>
      </c>
      <c r="E62" s="4">
        <f t="shared" si="2"/>
        <v>0</v>
      </c>
      <c r="F62" s="3">
        <f>เมย!F62+พค!F62+มิย!F62+กค!F62+สค!F62+กย!F62</f>
        <v>0</v>
      </c>
      <c r="G62" s="3">
        <f>เมย!G62+พค!G62+มิย!G62+กค!G62+สค!G62+กย!G62</f>
        <v>0</v>
      </c>
      <c r="H62" s="3">
        <f>เมย!H62+พค!H62+มิย!H62+กค!H62+สค!H62+กย!H62</f>
        <v>0</v>
      </c>
      <c r="I62" s="3">
        <f>เมย!I62+พค!I62+มิย!I62+กค!I62+สค!I62+กย!I62</f>
        <v>0</v>
      </c>
      <c r="J62" s="3">
        <f>เมย!J62+พค!J62+มิย!J62+กค!J62+สค!J62+กย!J62</f>
        <v>0</v>
      </c>
      <c r="K62" s="3">
        <f>เมย!K62+พค!K62+มิย!K62+กค!K62+สค!K62+กย!K62</f>
        <v>0</v>
      </c>
      <c r="L62" s="3">
        <f>เมย!L62+พค!L62+มิย!L62+กค!L62+สค!L62+กย!L62</f>
        <v>0</v>
      </c>
      <c r="M62" s="5">
        <f t="shared" si="3"/>
        <v>0</v>
      </c>
      <c r="N62" s="28" t="e">
        <f t="shared" si="4"/>
        <v>#DIV/0!</v>
      </c>
      <c r="O62" s="3">
        <f>เมย!O62+พค!O62+มิย!O62+กค!O62+สค!O62+กย!O62</f>
        <v>0</v>
      </c>
      <c r="P62" s="3">
        <f>เมย!P62+พค!P62+มิย!P62+กค!P62+สค!P62+กย!P62</f>
        <v>0</v>
      </c>
      <c r="Q62" s="3">
        <f>เมย!Q62+พค!Q62+มิย!Q62+กค!Q62+สค!Q62+กย!Q62</f>
        <v>0</v>
      </c>
      <c r="R62" s="3">
        <f>เมย!R62+พค!R62+มิย!R62+กค!R62+สค!R62+กย!R62</f>
        <v>0</v>
      </c>
      <c r="S62" s="3">
        <f>เมย!S62+พค!S62+มิย!S62+กค!S62+สค!S62+กย!S62</f>
        <v>0</v>
      </c>
      <c r="T62" s="37">
        <f t="shared" si="0"/>
        <v>0</v>
      </c>
      <c r="U62" s="28" t="e">
        <f t="shared" si="5"/>
        <v>#DIV/0!</v>
      </c>
      <c r="V62" s="59">
        <f t="shared" si="6"/>
        <v>0</v>
      </c>
    </row>
    <row r="63" spans="1:22" ht="22.5" customHeight="1">
      <c r="A63" s="87"/>
      <c r="B63" s="7" t="s">
        <v>14</v>
      </c>
      <c r="C63" s="3">
        <f>เมย!C63+พค!C63+มิย!C63+กค!C63+สค!C63+กย!C63</f>
        <v>0</v>
      </c>
      <c r="D63" s="3">
        <f>เมย!D63+พค!D63+มิย!D63+กค!D63+สค!D63+กย!D63</f>
        <v>0</v>
      </c>
      <c r="E63" s="4">
        <f t="shared" si="2"/>
        <v>0</v>
      </c>
      <c r="F63" s="3">
        <f>เมย!F63+พค!F63+มิย!F63+กค!F63+สค!F63+กย!F63</f>
        <v>0</v>
      </c>
      <c r="G63" s="3">
        <f>เมย!G63+พค!G63+มิย!G63+กค!G63+สค!G63+กย!G63</f>
        <v>0</v>
      </c>
      <c r="H63" s="3">
        <f>เมย!H63+พค!H63+มิย!H63+กค!H63+สค!H63+กย!H63</f>
        <v>0</v>
      </c>
      <c r="I63" s="3">
        <f>เมย!I63+พค!I63+มิย!I63+กค!I63+สค!I63+กย!I63</f>
        <v>0</v>
      </c>
      <c r="J63" s="3">
        <f>เมย!J63+พค!J63+มิย!J63+กค!J63+สค!J63+กย!J63</f>
        <v>0</v>
      </c>
      <c r="K63" s="3">
        <f>เมย!K63+พค!K63+มิย!K63+กค!K63+สค!K63+กย!K63</f>
        <v>0</v>
      </c>
      <c r="L63" s="3">
        <f>เมย!L63+พค!L63+มิย!L63+กค!L63+สค!L63+กย!L63</f>
        <v>0</v>
      </c>
      <c r="M63" s="5">
        <f t="shared" si="3"/>
        <v>0</v>
      </c>
      <c r="N63" s="28" t="e">
        <f t="shared" si="4"/>
        <v>#DIV/0!</v>
      </c>
      <c r="O63" s="3">
        <f>เมย!O63+พค!O63+มิย!O63+กค!O63+สค!O63+กย!O63</f>
        <v>0</v>
      </c>
      <c r="P63" s="3">
        <f>เมย!P63+พค!P63+มิย!P63+กค!P63+สค!P63+กย!P63</f>
        <v>0</v>
      </c>
      <c r="Q63" s="3">
        <f>เมย!Q63+พค!Q63+มิย!Q63+กค!Q63+สค!Q63+กย!Q63</f>
        <v>0</v>
      </c>
      <c r="R63" s="3">
        <f>เมย!R63+พค!R63+มิย!R63+กค!R63+สค!R63+กย!R63</f>
        <v>0</v>
      </c>
      <c r="S63" s="3">
        <f>เมย!S63+พค!S63+มิย!S63+กค!S63+สค!S63+กย!S63</f>
        <v>0</v>
      </c>
      <c r="T63" s="37">
        <f t="shared" si="0"/>
        <v>0</v>
      </c>
      <c r="U63" s="28" t="e">
        <f t="shared" si="5"/>
        <v>#DIV/0!</v>
      </c>
      <c r="V63" s="59">
        <f t="shared" si="6"/>
        <v>0</v>
      </c>
    </row>
    <row r="64" spans="1:22" ht="22.5" customHeight="1">
      <c r="A64" s="87">
        <v>19</v>
      </c>
      <c r="B64" s="7" t="s">
        <v>12</v>
      </c>
      <c r="C64" s="3">
        <f>เมย!C64+พค!C64+มิย!C64+กค!C64+สค!C64+กย!C64</f>
        <v>0</v>
      </c>
      <c r="D64" s="3">
        <f>เมย!D64+พค!D64+มิย!D64+กค!D64+สค!D64+กย!D64</f>
        <v>0</v>
      </c>
      <c r="E64" s="4">
        <f t="shared" si="2"/>
        <v>0</v>
      </c>
      <c r="F64" s="3">
        <f>เมย!F64+พค!F64+มิย!F64+กค!F64+สค!F64+กย!F64</f>
        <v>0</v>
      </c>
      <c r="G64" s="3">
        <f>เมย!G64+พค!G64+มิย!G64+กค!G64+สค!G64+กย!G64</f>
        <v>0</v>
      </c>
      <c r="H64" s="3">
        <f>เมย!H64+พค!H64+มิย!H64+กค!H64+สค!H64+กย!H64</f>
        <v>0</v>
      </c>
      <c r="I64" s="3">
        <f>เมย!I64+พค!I64+มิย!I64+กค!I64+สค!I64+กย!I64</f>
        <v>0</v>
      </c>
      <c r="J64" s="3">
        <f>เมย!J64+พค!J64+มิย!J64+กค!J64+สค!J64+กย!J64</f>
        <v>0</v>
      </c>
      <c r="K64" s="3">
        <f>เมย!K64+พค!K64+มิย!K64+กค!K64+สค!K64+กย!K64</f>
        <v>0</v>
      </c>
      <c r="L64" s="3">
        <f>เมย!L64+พค!L64+มิย!L64+กค!L64+สค!L64+กย!L64</f>
        <v>0</v>
      </c>
      <c r="M64" s="5">
        <f t="shared" si="3"/>
        <v>0</v>
      </c>
      <c r="N64" s="28" t="e">
        <f t="shared" si="4"/>
        <v>#DIV/0!</v>
      </c>
      <c r="O64" s="3">
        <f>เมย!O64+พค!O64+มิย!O64+กค!O64+สค!O64+กย!O64</f>
        <v>0</v>
      </c>
      <c r="P64" s="3">
        <f>เมย!P64+พค!P64+มิย!P64+กค!P64+สค!P64+กย!P64</f>
        <v>0</v>
      </c>
      <c r="Q64" s="3">
        <f>เมย!Q64+พค!Q64+มิย!Q64+กค!Q64+สค!Q64+กย!Q64</f>
        <v>0</v>
      </c>
      <c r="R64" s="3">
        <f>เมย!R64+พค!R64+มิย!R64+กค!R64+สค!R64+กย!R64</f>
        <v>0</v>
      </c>
      <c r="S64" s="3">
        <f>เมย!S64+พค!S64+มิย!S64+กค!S64+สค!S64+กย!S64</f>
        <v>0</v>
      </c>
      <c r="T64" s="37">
        <f t="shared" si="0"/>
        <v>0</v>
      </c>
      <c r="U64" s="28" t="e">
        <f t="shared" si="5"/>
        <v>#DIV/0!</v>
      </c>
      <c r="V64" s="59">
        <f t="shared" si="6"/>
        <v>0</v>
      </c>
    </row>
    <row r="65" spans="1:22" ht="22.5" customHeight="1">
      <c r="A65" s="87"/>
      <c r="B65" s="7" t="s">
        <v>13</v>
      </c>
      <c r="C65" s="3">
        <f>เมย!C65+พค!C65+มิย!C65+กค!C65+สค!C65+กย!C65</f>
        <v>0</v>
      </c>
      <c r="D65" s="3">
        <f>เมย!D65+พค!D65+มิย!D65+กค!D65+สค!D65+กย!D65</f>
        <v>0</v>
      </c>
      <c r="E65" s="4">
        <f t="shared" si="2"/>
        <v>0</v>
      </c>
      <c r="F65" s="3">
        <f>เมย!F65+พค!F65+มิย!F65+กค!F65+สค!F65+กย!F65</f>
        <v>0</v>
      </c>
      <c r="G65" s="3">
        <f>เมย!G65+พค!G65+มิย!G65+กค!G65+สค!G65+กย!G65</f>
        <v>0</v>
      </c>
      <c r="H65" s="3">
        <f>เมย!H65+พค!H65+มิย!H65+กค!H65+สค!H65+กย!H65</f>
        <v>0</v>
      </c>
      <c r="I65" s="3">
        <f>เมย!I65+พค!I65+มิย!I65+กค!I65+สค!I65+กย!I65</f>
        <v>0</v>
      </c>
      <c r="J65" s="3">
        <f>เมย!J65+พค!J65+มิย!J65+กค!J65+สค!J65+กย!J65</f>
        <v>0</v>
      </c>
      <c r="K65" s="3">
        <f>เมย!K65+พค!K65+มิย!K65+กค!K65+สค!K65+กย!K65</f>
        <v>0</v>
      </c>
      <c r="L65" s="3">
        <f>เมย!L65+พค!L65+มิย!L65+กค!L65+สค!L65+กย!L65</f>
        <v>0</v>
      </c>
      <c r="M65" s="5">
        <f t="shared" si="3"/>
        <v>0</v>
      </c>
      <c r="N65" s="28" t="e">
        <f t="shared" si="4"/>
        <v>#DIV/0!</v>
      </c>
      <c r="O65" s="3">
        <f>เมย!O65+พค!O65+มิย!O65+กค!O65+สค!O65+กย!O65</f>
        <v>0</v>
      </c>
      <c r="P65" s="3">
        <f>เมย!P65+พค!P65+มิย!P65+กค!P65+สค!P65+กย!P65</f>
        <v>0</v>
      </c>
      <c r="Q65" s="3">
        <f>เมย!Q65+พค!Q65+มิย!Q65+กค!Q65+สค!Q65+กย!Q65</f>
        <v>0</v>
      </c>
      <c r="R65" s="3">
        <f>เมย!R65+พค!R65+มิย!R65+กค!R65+สค!R65+กย!R65</f>
        <v>0</v>
      </c>
      <c r="S65" s="3">
        <f>เมย!S65+พค!S65+มิย!S65+กค!S65+สค!S65+กย!S65</f>
        <v>0</v>
      </c>
      <c r="T65" s="37">
        <f t="shared" si="0"/>
        <v>0</v>
      </c>
      <c r="U65" s="28" t="e">
        <f t="shared" si="5"/>
        <v>#DIV/0!</v>
      </c>
      <c r="V65" s="59">
        <f t="shared" si="6"/>
        <v>0</v>
      </c>
    </row>
    <row r="66" spans="1:22" ht="22.5" customHeight="1">
      <c r="A66" s="87"/>
      <c r="B66" s="7" t="s">
        <v>14</v>
      </c>
      <c r="C66" s="3">
        <f>เมย!C66+พค!C66+มิย!C66+กค!C66+สค!C66+กย!C66</f>
        <v>0</v>
      </c>
      <c r="D66" s="3">
        <f>เมย!D66+พค!D66+มิย!D66+กค!D66+สค!D66+กย!D66</f>
        <v>0</v>
      </c>
      <c r="E66" s="4">
        <f t="shared" si="2"/>
        <v>0</v>
      </c>
      <c r="F66" s="3">
        <f>เมย!F66+พค!F66+มิย!F66+กค!F66+สค!F66+กย!F66</f>
        <v>0</v>
      </c>
      <c r="G66" s="3">
        <f>เมย!G66+พค!G66+มิย!G66+กค!G66+สค!G66+กย!G66</f>
        <v>0</v>
      </c>
      <c r="H66" s="3">
        <f>เมย!H66+พค!H66+มิย!H66+กค!H66+สค!H66+กย!H66</f>
        <v>0</v>
      </c>
      <c r="I66" s="3">
        <f>เมย!I66+พค!I66+มิย!I66+กค!I66+สค!I66+กย!I66</f>
        <v>0</v>
      </c>
      <c r="J66" s="3">
        <f>เมย!J66+พค!J66+มิย!J66+กค!J66+สค!J66+กย!J66</f>
        <v>0</v>
      </c>
      <c r="K66" s="3">
        <f>เมย!K66+พค!K66+มิย!K66+กค!K66+สค!K66+กย!K66</f>
        <v>0</v>
      </c>
      <c r="L66" s="3">
        <f>เมย!L66+พค!L66+มิย!L66+กค!L66+สค!L66+กย!L66</f>
        <v>0</v>
      </c>
      <c r="M66" s="5">
        <f t="shared" si="3"/>
        <v>0</v>
      </c>
      <c r="N66" s="28" t="e">
        <f t="shared" si="4"/>
        <v>#DIV/0!</v>
      </c>
      <c r="O66" s="3">
        <f>เมย!O66+พค!O66+มิย!O66+กค!O66+สค!O66+กย!O66</f>
        <v>0</v>
      </c>
      <c r="P66" s="3">
        <f>เมย!P66+พค!P66+มิย!P66+กค!P66+สค!P66+กย!P66</f>
        <v>0</v>
      </c>
      <c r="Q66" s="3">
        <f>เมย!Q66+พค!Q66+มิย!Q66+กค!Q66+สค!Q66+กย!Q66</f>
        <v>0</v>
      </c>
      <c r="R66" s="3">
        <f>เมย!R66+พค!R66+มิย!R66+กค!R66+สค!R66+กย!R66</f>
        <v>0</v>
      </c>
      <c r="S66" s="3">
        <f>เมย!S66+พค!S66+มิย!S66+กค!S66+สค!S66+กย!S66</f>
        <v>0</v>
      </c>
      <c r="T66" s="37">
        <f t="shared" si="0"/>
        <v>0</v>
      </c>
      <c r="U66" s="28" t="e">
        <f t="shared" si="5"/>
        <v>#DIV/0!</v>
      </c>
      <c r="V66" s="59">
        <f t="shared" si="6"/>
        <v>0</v>
      </c>
    </row>
    <row r="67" spans="1:22" ht="22.5" customHeight="1">
      <c r="A67" s="87">
        <v>20</v>
      </c>
      <c r="B67" s="7" t="s">
        <v>12</v>
      </c>
      <c r="C67" s="3">
        <f>เมย!C67+พค!C67+มิย!C67+กค!C67+สค!C67+กย!C67</f>
        <v>0</v>
      </c>
      <c r="D67" s="3">
        <f>เมย!D67+พค!D67+มิย!D67+กค!D67+สค!D67+กย!D67</f>
        <v>0</v>
      </c>
      <c r="E67" s="4">
        <f t="shared" si="2"/>
        <v>0</v>
      </c>
      <c r="F67" s="3">
        <f>เมย!F67+พค!F67+มิย!F67+กค!F67+สค!F67+กย!F67</f>
        <v>0</v>
      </c>
      <c r="G67" s="3">
        <f>เมย!G67+พค!G67+มิย!G67+กค!G67+สค!G67+กย!G67</f>
        <v>0</v>
      </c>
      <c r="H67" s="3">
        <f>เมย!H67+พค!H67+มิย!H67+กค!H67+สค!H67+กย!H67</f>
        <v>0</v>
      </c>
      <c r="I67" s="3">
        <f>เมย!I67+พค!I67+มิย!I67+กค!I67+สค!I67+กย!I67</f>
        <v>0</v>
      </c>
      <c r="J67" s="3">
        <f>เมย!J67+พค!J67+มิย!J67+กค!J67+สค!J67+กย!J67</f>
        <v>0</v>
      </c>
      <c r="K67" s="3">
        <f>เมย!K67+พค!K67+มิย!K67+กค!K67+สค!K67+กย!K67</f>
        <v>0</v>
      </c>
      <c r="L67" s="3">
        <f>เมย!L67+พค!L67+มิย!L67+กค!L67+สค!L67+กย!L67</f>
        <v>0</v>
      </c>
      <c r="M67" s="5">
        <f t="shared" si="3"/>
        <v>0</v>
      </c>
      <c r="N67" s="28" t="e">
        <f t="shared" si="4"/>
        <v>#DIV/0!</v>
      </c>
      <c r="O67" s="3">
        <f>เมย!O67+พค!O67+มิย!O67+กค!O67+สค!O67+กย!O67</f>
        <v>0</v>
      </c>
      <c r="P67" s="3">
        <f>เมย!P67+พค!P67+มิย!P67+กค!P67+สค!P67+กย!P67</f>
        <v>0</v>
      </c>
      <c r="Q67" s="3">
        <f>เมย!Q67+พค!Q67+มิย!Q67+กค!Q67+สค!Q67+กย!Q67</f>
        <v>0</v>
      </c>
      <c r="R67" s="3">
        <f>เมย!R67+พค!R67+มิย!R67+กค!R67+สค!R67+กย!R67</f>
        <v>0</v>
      </c>
      <c r="S67" s="3">
        <f>เมย!S67+พค!S67+มิย!S67+กค!S67+สค!S67+กย!S67</f>
        <v>0</v>
      </c>
      <c r="T67" s="37">
        <f t="shared" si="0"/>
        <v>0</v>
      </c>
      <c r="U67" s="28" t="e">
        <f t="shared" si="5"/>
        <v>#DIV/0!</v>
      </c>
      <c r="V67" s="59">
        <f t="shared" si="6"/>
        <v>0</v>
      </c>
    </row>
    <row r="68" spans="1:22" ht="22.5" customHeight="1">
      <c r="A68" s="87"/>
      <c r="B68" s="7" t="s">
        <v>13</v>
      </c>
      <c r="C68" s="3">
        <f>เมย!C68+พค!C68+มิย!C68+กค!C68+สค!C68+กย!C68</f>
        <v>0</v>
      </c>
      <c r="D68" s="3">
        <f>เมย!D68+พค!D68+มิย!D68+กค!D68+สค!D68+กย!D68</f>
        <v>0</v>
      </c>
      <c r="E68" s="4">
        <f t="shared" si="2"/>
        <v>0</v>
      </c>
      <c r="F68" s="3">
        <f>เมย!F68+พค!F68+มิย!F68+กค!F68+สค!F68+กย!F68</f>
        <v>0</v>
      </c>
      <c r="G68" s="3">
        <f>เมย!G68+พค!G68+มิย!G68+กค!G68+สค!G68+กย!G68</f>
        <v>0</v>
      </c>
      <c r="H68" s="3">
        <f>เมย!H68+พค!H68+มิย!H68+กค!H68+สค!H68+กย!H68</f>
        <v>0</v>
      </c>
      <c r="I68" s="3">
        <f>เมย!I68+พค!I68+มิย!I68+กค!I68+สค!I68+กย!I68</f>
        <v>0</v>
      </c>
      <c r="J68" s="3">
        <f>เมย!J68+พค!J68+มิย!J68+กค!J68+สค!J68+กย!J68</f>
        <v>0</v>
      </c>
      <c r="K68" s="3">
        <f>เมย!K68+พค!K68+มิย!K68+กค!K68+สค!K68+กย!K68</f>
        <v>0</v>
      </c>
      <c r="L68" s="3">
        <f>เมย!L68+พค!L68+มิย!L68+กค!L68+สค!L68+กย!L68</f>
        <v>0</v>
      </c>
      <c r="M68" s="5">
        <f t="shared" si="3"/>
        <v>0</v>
      </c>
      <c r="N68" s="28" t="e">
        <f t="shared" si="4"/>
        <v>#DIV/0!</v>
      </c>
      <c r="O68" s="3">
        <f>เมย!O68+พค!O68+มิย!O68+กค!O68+สค!O68+กย!O68</f>
        <v>0</v>
      </c>
      <c r="P68" s="3">
        <f>เมย!P68+พค!P68+มิย!P68+กค!P68+สค!P68+กย!P68</f>
        <v>0</v>
      </c>
      <c r="Q68" s="3">
        <f>เมย!Q68+พค!Q68+มิย!Q68+กค!Q68+สค!Q68+กย!Q68</f>
        <v>0</v>
      </c>
      <c r="R68" s="3">
        <f>เมย!R68+พค!R68+มิย!R68+กค!R68+สค!R68+กย!R68</f>
        <v>0</v>
      </c>
      <c r="S68" s="3">
        <f>เมย!S68+พค!S68+มิย!S68+กค!S68+สค!S68+กย!S68</f>
        <v>0</v>
      </c>
      <c r="T68" s="37">
        <f t="shared" si="0"/>
        <v>0</v>
      </c>
      <c r="U68" s="28" t="e">
        <f t="shared" si="5"/>
        <v>#DIV/0!</v>
      </c>
      <c r="V68" s="59">
        <f t="shared" si="6"/>
        <v>0</v>
      </c>
    </row>
    <row r="69" spans="1:22" ht="22.5" customHeight="1">
      <c r="A69" s="87"/>
      <c r="B69" s="7" t="s">
        <v>14</v>
      </c>
      <c r="C69" s="3">
        <f>เมย!C69+พค!C69+มิย!C69+กค!C69+สค!C69+กย!C69</f>
        <v>0</v>
      </c>
      <c r="D69" s="3">
        <f>เมย!D69+พค!D69+มิย!D69+กค!D69+สค!D69+กย!D69</f>
        <v>0</v>
      </c>
      <c r="E69" s="4">
        <f t="shared" si="2"/>
        <v>0</v>
      </c>
      <c r="F69" s="3">
        <f>เมย!F69+พค!F69+มิย!F69+กค!F69+สค!F69+กย!F69</f>
        <v>0</v>
      </c>
      <c r="G69" s="3">
        <f>เมย!G69+พค!G69+มิย!G69+กค!G69+สค!G69+กย!G69</f>
        <v>0</v>
      </c>
      <c r="H69" s="3">
        <f>เมย!H69+พค!H69+มิย!H69+กค!H69+สค!H69+กย!H69</f>
        <v>0</v>
      </c>
      <c r="I69" s="3">
        <f>เมย!I69+พค!I69+มิย!I69+กค!I69+สค!I69+กย!I69</f>
        <v>0</v>
      </c>
      <c r="J69" s="3">
        <f>เมย!J69+พค!J69+มิย!J69+กค!J69+สค!J69+กย!J69</f>
        <v>0</v>
      </c>
      <c r="K69" s="3">
        <f>เมย!K69+พค!K69+มิย!K69+กค!K69+สค!K69+กย!K69</f>
        <v>0</v>
      </c>
      <c r="L69" s="3">
        <f>เมย!L69+พค!L69+มิย!L69+กค!L69+สค!L69+กย!L69</f>
        <v>0</v>
      </c>
      <c r="M69" s="5">
        <f t="shared" si="3"/>
        <v>0</v>
      </c>
      <c r="N69" s="28" t="e">
        <f t="shared" si="4"/>
        <v>#DIV/0!</v>
      </c>
      <c r="O69" s="3">
        <f>เมย!O69+พค!O69+มิย!O69+กค!O69+สค!O69+กย!O69</f>
        <v>0</v>
      </c>
      <c r="P69" s="3">
        <f>เมย!P69+พค!P69+มิย!P69+กค!P69+สค!P69+กย!P69</f>
        <v>0</v>
      </c>
      <c r="Q69" s="3">
        <f>เมย!Q69+พค!Q69+มิย!Q69+กค!Q69+สค!Q69+กย!Q69</f>
        <v>0</v>
      </c>
      <c r="R69" s="3">
        <f>เมย!R69+พค!R69+มิย!R69+กค!R69+สค!R69+กย!R69</f>
        <v>0</v>
      </c>
      <c r="S69" s="3">
        <f>เมย!S69+พค!S69+มิย!S69+กค!S69+สค!S69+กย!S69</f>
        <v>0</v>
      </c>
      <c r="T69" s="37">
        <f t="shared" si="0"/>
        <v>0</v>
      </c>
      <c r="U69" s="28" t="e">
        <f t="shared" si="5"/>
        <v>#DIV/0!</v>
      </c>
      <c r="V69" s="59">
        <f t="shared" si="6"/>
        <v>0</v>
      </c>
    </row>
    <row r="70" spans="1:22" ht="22.5" customHeight="1">
      <c r="A70" s="87">
        <v>21</v>
      </c>
      <c r="B70" s="7" t="s">
        <v>12</v>
      </c>
      <c r="C70" s="3">
        <f>เมย!C70+พค!C70+มิย!C70+กค!C70+สค!C70+กย!C70</f>
        <v>0</v>
      </c>
      <c r="D70" s="3">
        <f>เมย!D70+พค!D70+มิย!D70+กค!D70+สค!D70+กย!D70</f>
        <v>0</v>
      </c>
      <c r="E70" s="4">
        <f t="shared" si="2"/>
        <v>0</v>
      </c>
      <c r="F70" s="3">
        <f>เมย!F70+พค!F70+มิย!F70+กค!F70+สค!F70+กย!F70</f>
        <v>0</v>
      </c>
      <c r="G70" s="3">
        <f>เมย!G70+พค!G70+มิย!G70+กค!G70+สค!G70+กย!G70</f>
        <v>0</v>
      </c>
      <c r="H70" s="3">
        <f>เมย!H70+พค!H70+มิย!H70+กค!H70+สค!H70+กย!H70</f>
        <v>0</v>
      </c>
      <c r="I70" s="3">
        <f>เมย!I70+พค!I70+มิย!I70+กค!I70+สค!I70+กย!I70</f>
        <v>0</v>
      </c>
      <c r="J70" s="3">
        <f>เมย!J70+พค!J70+มิย!J70+กค!J70+สค!J70+กย!J70</f>
        <v>0</v>
      </c>
      <c r="K70" s="3">
        <f>เมย!K70+พค!K70+มิย!K70+กค!K70+สค!K70+กย!K70</f>
        <v>0</v>
      </c>
      <c r="L70" s="3">
        <f>เมย!L70+พค!L70+มิย!L70+กค!L70+สค!L70+กย!L70</f>
        <v>0</v>
      </c>
      <c r="M70" s="5">
        <f t="shared" si="3"/>
        <v>0</v>
      </c>
      <c r="N70" s="28" t="e">
        <f t="shared" si="4"/>
        <v>#DIV/0!</v>
      </c>
      <c r="O70" s="3">
        <f>เมย!O70+พค!O70+มิย!O70+กค!O70+สค!O70+กย!O70</f>
        <v>0</v>
      </c>
      <c r="P70" s="3">
        <f>เมย!P70+พค!P70+มิย!P70+กค!P70+สค!P70+กย!P70</f>
        <v>0</v>
      </c>
      <c r="Q70" s="3">
        <f>เมย!Q70+พค!Q70+มิย!Q70+กค!Q70+สค!Q70+กย!Q70</f>
        <v>0</v>
      </c>
      <c r="R70" s="3">
        <f>เมย!R70+พค!R70+มิย!R70+กค!R70+สค!R70+กย!R70</f>
        <v>0</v>
      </c>
      <c r="S70" s="3">
        <f>เมย!S70+พค!S70+มิย!S70+กค!S70+สค!S70+กย!S70</f>
        <v>0</v>
      </c>
      <c r="T70" s="37">
        <f t="shared" si="0"/>
        <v>0</v>
      </c>
      <c r="U70" s="28" t="e">
        <f t="shared" si="5"/>
        <v>#DIV/0!</v>
      </c>
      <c r="V70" s="59">
        <f t="shared" si="6"/>
        <v>0</v>
      </c>
    </row>
    <row r="71" spans="1:22" ht="22.5" customHeight="1">
      <c r="A71" s="87"/>
      <c r="B71" s="7" t="s">
        <v>13</v>
      </c>
      <c r="C71" s="3">
        <f>เมย!C71+พค!C71+มิย!C71+กค!C71+สค!C71+กย!C71</f>
        <v>0</v>
      </c>
      <c r="D71" s="3">
        <f>เมย!D71+พค!D71+มิย!D71+กค!D71+สค!D71+กย!D71</f>
        <v>0</v>
      </c>
      <c r="E71" s="4">
        <f t="shared" si="2"/>
        <v>0</v>
      </c>
      <c r="F71" s="3">
        <f>เมย!F71+พค!F71+มิย!F71+กค!F71+สค!F71+กย!F71</f>
        <v>0</v>
      </c>
      <c r="G71" s="3">
        <f>เมย!G71+พค!G71+มิย!G71+กค!G71+สค!G71+กย!G71</f>
        <v>0</v>
      </c>
      <c r="H71" s="3">
        <f>เมย!H71+พค!H71+มิย!H71+กค!H71+สค!H71+กย!H71</f>
        <v>0</v>
      </c>
      <c r="I71" s="3">
        <f>เมย!I71+พค!I71+มิย!I71+กค!I71+สค!I71+กย!I71</f>
        <v>0</v>
      </c>
      <c r="J71" s="3">
        <f>เมย!J71+พค!J71+มิย!J71+กค!J71+สค!J71+กย!J71</f>
        <v>0</v>
      </c>
      <c r="K71" s="3">
        <f>เมย!K71+พค!K71+มิย!K71+กค!K71+สค!K71+กย!K71</f>
        <v>0</v>
      </c>
      <c r="L71" s="3">
        <f>เมย!L71+พค!L71+มิย!L71+กค!L71+สค!L71+กย!L71</f>
        <v>0</v>
      </c>
      <c r="M71" s="5">
        <f t="shared" si="3"/>
        <v>0</v>
      </c>
      <c r="N71" s="28" t="e">
        <f t="shared" si="4"/>
        <v>#DIV/0!</v>
      </c>
      <c r="O71" s="3">
        <f>เมย!O71+พค!O71+มิย!O71+กค!O71+สค!O71+กย!O71</f>
        <v>0</v>
      </c>
      <c r="P71" s="3">
        <f>เมย!P71+พค!P71+มิย!P71+กค!P71+สค!P71+กย!P71</f>
        <v>0</v>
      </c>
      <c r="Q71" s="3">
        <f>เมย!Q71+พค!Q71+มิย!Q71+กค!Q71+สค!Q71+กย!Q71</f>
        <v>0</v>
      </c>
      <c r="R71" s="3">
        <f>เมย!R71+พค!R71+มิย!R71+กค!R71+สค!R71+กย!R71</f>
        <v>0</v>
      </c>
      <c r="S71" s="3">
        <f>เมย!S71+พค!S71+มิย!S71+กค!S71+สค!S71+กย!S71</f>
        <v>0</v>
      </c>
      <c r="T71" s="37">
        <f t="shared" si="0"/>
        <v>0</v>
      </c>
      <c r="U71" s="28" t="e">
        <f t="shared" si="5"/>
        <v>#DIV/0!</v>
      </c>
      <c r="V71" s="59">
        <f t="shared" si="6"/>
        <v>0</v>
      </c>
    </row>
    <row r="72" spans="1:22" ht="22.5" customHeight="1">
      <c r="A72" s="87"/>
      <c r="B72" s="7" t="s">
        <v>14</v>
      </c>
      <c r="C72" s="3">
        <f>เมย!C72+พค!C72+มิย!C72+กค!C72+สค!C72+กย!C72</f>
        <v>0</v>
      </c>
      <c r="D72" s="3">
        <f>เมย!D72+พค!D72+มิย!D72+กค!D72+สค!D72+กย!D72</f>
        <v>0</v>
      </c>
      <c r="E72" s="4">
        <f t="shared" si="2"/>
        <v>0</v>
      </c>
      <c r="F72" s="3">
        <f>เมย!F72+พค!F72+มิย!F72+กค!F72+สค!F72+กย!F72</f>
        <v>0</v>
      </c>
      <c r="G72" s="3">
        <f>เมย!G72+พค!G72+มิย!G72+กค!G72+สค!G72+กย!G72</f>
        <v>0</v>
      </c>
      <c r="H72" s="3">
        <f>เมย!H72+พค!H72+มิย!H72+กค!H72+สค!H72+กย!H72</f>
        <v>0</v>
      </c>
      <c r="I72" s="3">
        <f>เมย!I72+พค!I72+มิย!I72+กค!I72+สค!I72+กย!I72</f>
        <v>0</v>
      </c>
      <c r="J72" s="3">
        <f>เมย!J72+พค!J72+มิย!J72+กค!J72+สค!J72+กย!J72</f>
        <v>0</v>
      </c>
      <c r="K72" s="3">
        <f>เมย!K72+พค!K72+มิย!K72+กค!K72+สค!K72+กย!K72</f>
        <v>0</v>
      </c>
      <c r="L72" s="3">
        <f>เมย!L72+พค!L72+มิย!L72+กค!L72+สค!L72+กย!L72</f>
        <v>0</v>
      </c>
      <c r="M72" s="5">
        <f t="shared" si="3"/>
        <v>0</v>
      </c>
      <c r="N72" s="28" t="e">
        <f t="shared" si="4"/>
        <v>#DIV/0!</v>
      </c>
      <c r="O72" s="3">
        <f>เมย!O72+พค!O72+มิย!O72+กค!O72+สค!O72+กย!O72</f>
        <v>0</v>
      </c>
      <c r="P72" s="3">
        <f>เมย!P72+พค!P72+มิย!P72+กค!P72+สค!P72+กย!P72</f>
        <v>0</v>
      </c>
      <c r="Q72" s="3">
        <f>เมย!Q72+พค!Q72+มิย!Q72+กค!Q72+สค!Q72+กย!Q72</f>
        <v>0</v>
      </c>
      <c r="R72" s="3">
        <f>เมย!R72+พค!R72+มิย!R72+กค!R72+สค!R72+กย!R72</f>
        <v>0</v>
      </c>
      <c r="S72" s="3">
        <f>เมย!S72+พค!S72+มิย!S72+กค!S72+สค!S72+กย!S72</f>
        <v>0</v>
      </c>
      <c r="T72" s="37">
        <f t="shared" si="0"/>
        <v>0</v>
      </c>
      <c r="U72" s="28" t="e">
        <f t="shared" si="5"/>
        <v>#DIV/0!</v>
      </c>
      <c r="V72" s="59">
        <f t="shared" si="6"/>
        <v>0</v>
      </c>
    </row>
    <row r="73" spans="1:22" ht="22.5" customHeight="1">
      <c r="A73" s="87">
        <v>22</v>
      </c>
      <c r="B73" s="7" t="s">
        <v>12</v>
      </c>
      <c r="C73" s="3">
        <f>เมย!C73+พค!C73+มิย!C73+กค!C73+สค!C73+กย!C73</f>
        <v>0</v>
      </c>
      <c r="D73" s="3">
        <f>เมย!D73+พค!D73+มิย!D73+กค!D73+สค!D73+กย!D73</f>
        <v>0</v>
      </c>
      <c r="E73" s="4">
        <f t="shared" si="2"/>
        <v>0</v>
      </c>
      <c r="F73" s="3">
        <f>เมย!F73+พค!F73+มิย!F73+กค!F73+สค!F73+กย!F73</f>
        <v>0</v>
      </c>
      <c r="G73" s="3">
        <f>เมย!G73+พค!G73+มิย!G73+กค!G73+สค!G73+กย!G73</f>
        <v>0</v>
      </c>
      <c r="H73" s="3">
        <f>เมย!H73+พค!H73+มิย!H73+กค!H73+สค!H73+กย!H73</f>
        <v>0</v>
      </c>
      <c r="I73" s="3">
        <f>เมย!I73+พค!I73+มิย!I73+กค!I73+สค!I73+กย!I73</f>
        <v>0</v>
      </c>
      <c r="J73" s="3">
        <f>เมย!J73+พค!J73+มิย!J73+กค!J73+สค!J73+กย!J73</f>
        <v>0</v>
      </c>
      <c r="K73" s="3">
        <f>เมย!K73+พค!K73+มิย!K73+กค!K73+สค!K73+กย!K73</f>
        <v>0</v>
      </c>
      <c r="L73" s="3">
        <f>เมย!L73+พค!L73+มิย!L73+กค!L73+สค!L73+กย!L73</f>
        <v>0</v>
      </c>
      <c r="M73" s="5">
        <f t="shared" si="3"/>
        <v>0</v>
      </c>
      <c r="N73" s="28" t="e">
        <f t="shared" si="4"/>
        <v>#DIV/0!</v>
      </c>
      <c r="O73" s="3">
        <f>เมย!O73+พค!O73+มิย!O73+กค!O73+สค!O73+กย!O73</f>
        <v>0</v>
      </c>
      <c r="P73" s="3">
        <f>เมย!P73+พค!P73+มิย!P73+กค!P73+สค!P73+กย!P73</f>
        <v>0</v>
      </c>
      <c r="Q73" s="3">
        <f>เมย!Q73+พค!Q73+มิย!Q73+กค!Q73+สค!Q73+กย!Q73</f>
        <v>0</v>
      </c>
      <c r="R73" s="3">
        <f>เมย!R73+พค!R73+มิย!R73+กค!R73+สค!R73+กย!R73</f>
        <v>0</v>
      </c>
      <c r="S73" s="3">
        <f>เมย!S73+พค!S73+มิย!S73+กค!S73+สค!S73+กย!S73</f>
        <v>0</v>
      </c>
      <c r="T73" s="37">
        <f t="shared" si="0"/>
        <v>0</v>
      </c>
      <c r="U73" s="28" t="e">
        <f t="shared" si="5"/>
        <v>#DIV/0!</v>
      </c>
      <c r="V73" s="59">
        <f t="shared" si="6"/>
        <v>0</v>
      </c>
    </row>
    <row r="74" spans="1:22" ht="22.5" customHeight="1">
      <c r="A74" s="87"/>
      <c r="B74" s="7" t="s">
        <v>13</v>
      </c>
      <c r="C74" s="3">
        <f>เมย!C74+พค!C74+มิย!C74+กค!C74+สค!C74+กย!C74</f>
        <v>0</v>
      </c>
      <c r="D74" s="3">
        <f>เมย!D74+พค!D74+มิย!D74+กค!D74+สค!D74+กย!D74</f>
        <v>0</v>
      </c>
      <c r="E74" s="4">
        <f t="shared" si="2"/>
        <v>0</v>
      </c>
      <c r="F74" s="3">
        <f>เมย!F74+พค!F74+มิย!F74+กค!F74+สค!F74+กย!F74</f>
        <v>0</v>
      </c>
      <c r="G74" s="3">
        <f>เมย!G74+พค!G74+มิย!G74+กค!G74+สค!G74+กย!G74</f>
        <v>0</v>
      </c>
      <c r="H74" s="3">
        <f>เมย!H74+พค!H74+มิย!H74+กค!H74+สค!H74+กย!H74</f>
        <v>0</v>
      </c>
      <c r="I74" s="3">
        <f>เมย!I74+พค!I74+มิย!I74+กค!I74+สค!I74+กย!I74</f>
        <v>0</v>
      </c>
      <c r="J74" s="3">
        <f>เมย!J74+พค!J74+มิย!J74+กค!J74+สค!J74+กย!J74</f>
        <v>0</v>
      </c>
      <c r="K74" s="3">
        <f>เมย!K74+พค!K74+มิย!K74+กค!K74+สค!K74+กย!K74</f>
        <v>0</v>
      </c>
      <c r="L74" s="3">
        <f>เมย!L74+พค!L74+มิย!L74+กค!L74+สค!L74+กย!L74</f>
        <v>0</v>
      </c>
      <c r="M74" s="5">
        <f t="shared" si="3"/>
        <v>0</v>
      </c>
      <c r="N74" s="28" t="e">
        <f t="shared" si="4"/>
        <v>#DIV/0!</v>
      </c>
      <c r="O74" s="3">
        <f>เมย!O74+พค!O74+มิย!O74+กค!O74+สค!O74+กย!O74</f>
        <v>0</v>
      </c>
      <c r="P74" s="3">
        <f>เมย!P74+พค!P74+มิย!P74+กค!P74+สค!P74+กย!P74</f>
        <v>0</v>
      </c>
      <c r="Q74" s="3">
        <f>เมย!Q74+พค!Q74+มิย!Q74+กค!Q74+สค!Q74+กย!Q74</f>
        <v>0</v>
      </c>
      <c r="R74" s="3">
        <f>เมย!R74+พค!R74+มิย!R74+กค!R74+สค!R74+กย!R74</f>
        <v>0</v>
      </c>
      <c r="S74" s="3">
        <f>เมย!S74+พค!S74+มิย!S74+กค!S74+สค!S74+กย!S74</f>
        <v>0</v>
      </c>
      <c r="T74" s="37">
        <f t="shared" ref="T74:T81" si="7">SUM(O74:S74)</f>
        <v>0</v>
      </c>
      <c r="U74" s="28" t="e">
        <f t="shared" si="5"/>
        <v>#DIV/0!</v>
      </c>
      <c r="V74" s="59">
        <f t="shared" ref="V74:V106" si="8">C74+D74-T74</f>
        <v>0</v>
      </c>
    </row>
    <row r="75" spans="1:22" ht="22.5" customHeight="1">
      <c r="A75" s="87"/>
      <c r="B75" s="7" t="s">
        <v>14</v>
      </c>
      <c r="C75" s="3">
        <f>เมย!C75+พค!C75+มิย!C75+กค!C75+สค!C75+กย!C75</f>
        <v>0</v>
      </c>
      <c r="D75" s="3">
        <f>เมย!D75+พค!D75+มิย!D75+กค!D75+สค!D75+กย!D75</f>
        <v>0</v>
      </c>
      <c r="E75" s="4">
        <f t="shared" ref="E75:E102" si="9">((($B$3*C75)+(12*D75))*$E$4)/7</f>
        <v>0</v>
      </c>
      <c r="F75" s="3">
        <f>เมย!F75+พค!F75+มิย!F75+กค!F75+สค!F75+กย!F75</f>
        <v>0</v>
      </c>
      <c r="G75" s="3">
        <f>เมย!G75+พค!G75+มิย!G75+กค!G75+สค!G75+กย!G75</f>
        <v>0</v>
      </c>
      <c r="H75" s="3">
        <f>เมย!H75+พค!H75+มิย!H75+กค!H75+สค!H75+กย!H75</f>
        <v>0</v>
      </c>
      <c r="I75" s="3">
        <f>เมย!I75+พค!I75+มิย!I75+กค!I75+สค!I75+กย!I75</f>
        <v>0</v>
      </c>
      <c r="J75" s="3">
        <f>เมย!J75+พค!J75+มิย!J75+กค!J75+สค!J75+กย!J75</f>
        <v>0</v>
      </c>
      <c r="K75" s="3">
        <f>เมย!K75+พค!K75+มิย!K75+กค!K75+สค!K75+กย!K75</f>
        <v>0</v>
      </c>
      <c r="L75" s="3">
        <f>เมย!L75+พค!L75+มิย!L75+กค!L75+สค!L75+กย!L75</f>
        <v>0</v>
      </c>
      <c r="M75" s="5">
        <f t="shared" ref="M75:M106" si="10">(F75+G75+H75+L75)-E75</f>
        <v>0</v>
      </c>
      <c r="N75" s="28" t="e">
        <f t="shared" ref="N75:N105" si="11">(((C75*4.5)+(12*D75))*$E$4)/((F75+G75+H75+I75+J75+K75+L75)*7)*100</f>
        <v>#DIV/0!</v>
      </c>
      <c r="O75" s="3">
        <f>เมย!O75+พค!O75+มิย!O75+กค!O75+สค!O75+กย!O75</f>
        <v>0</v>
      </c>
      <c r="P75" s="3">
        <f>เมย!P75+พค!P75+มิย!P75+กค!P75+สค!P75+กย!P75</f>
        <v>0</v>
      </c>
      <c r="Q75" s="3">
        <f>เมย!Q75+พค!Q75+มิย!Q75+กค!Q75+สค!Q75+กย!Q75</f>
        <v>0</v>
      </c>
      <c r="R75" s="3">
        <f>เมย!R75+พค!R75+มิย!R75+กค!R75+สค!R75+กย!R75</f>
        <v>0</v>
      </c>
      <c r="S75" s="3">
        <f>เมย!S75+พค!S75+มิย!S75+กค!S75+สค!S75+กย!S75</f>
        <v>0</v>
      </c>
      <c r="T75" s="37">
        <f t="shared" si="7"/>
        <v>0</v>
      </c>
      <c r="U75" s="28" t="e">
        <f t="shared" ref="U75:U106" si="12">((((O75*1.5+(P75*3.5)+(Q75*5.5)+(R75*7.5)+(S75*12)))/3)/((F75+G75+H75+I75+J75+K75+L75)*7))*100</f>
        <v>#DIV/0!</v>
      </c>
      <c r="V75" s="59">
        <f t="shared" si="8"/>
        <v>0</v>
      </c>
    </row>
    <row r="76" spans="1:22" ht="22.5" customHeight="1">
      <c r="A76" s="87">
        <v>23</v>
      </c>
      <c r="B76" s="7" t="s">
        <v>12</v>
      </c>
      <c r="C76" s="3">
        <f>เมย!C76+พค!C76+มิย!C76+กค!C76+สค!C76+กย!C76</f>
        <v>0</v>
      </c>
      <c r="D76" s="3">
        <f>เมย!D76+พค!D76+มิย!D76+กค!D76+สค!D76+กย!D76</f>
        <v>0</v>
      </c>
      <c r="E76" s="4">
        <f t="shared" si="9"/>
        <v>0</v>
      </c>
      <c r="F76" s="3">
        <f>เมย!F76+พค!F76+มิย!F76+กค!F76+สค!F76+กย!F76</f>
        <v>0</v>
      </c>
      <c r="G76" s="3">
        <f>เมย!G76+พค!G76+มิย!G76+กค!G76+สค!G76+กย!G76</f>
        <v>0</v>
      </c>
      <c r="H76" s="3">
        <f>เมย!H76+พค!H76+มิย!H76+กค!H76+สค!H76+กย!H76</f>
        <v>0</v>
      </c>
      <c r="I76" s="3">
        <f>เมย!I76+พค!I76+มิย!I76+กค!I76+สค!I76+กย!I76</f>
        <v>0</v>
      </c>
      <c r="J76" s="3">
        <f>เมย!J76+พค!J76+มิย!J76+กค!J76+สค!J76+กย!J76</f>
        <v>0</v>
      </c>
      <c r="K76" s="3">
        <f>เมย!K76+พค!K76+มิย!K76+กค!K76+สค!K76+กย!K76</f>
        <v>0</v>
      </c>
      <c r="L76" s="3">
        <f>เมย!L76+พค!L76+มิย!L76+กค!L76+สค!L76+กย!L76</f>
        <v>0</v>
      </c>
      <c r="M76" s="5">
        <f t="shared" si="10"/>
        <v>0</v>
      </c>
      <c r="N76" s="28" t="e">
        <f t="shared" si="11"/>
        <v>#DIV/0!</v>
      </c>
      <c r="O76" s="3">
        <f>เมย!O76+พค!O76+มิย!O76+กค!O76+สค!O76+กย!O76</f>
        <v>0</v>
      </c>
      <c r="P76" s="3">
        <f>เมย!P76+พค!P76+มิย!P76+กค!P76+สค!P76+กย!P76</f>
        <v>0</v>
      </c>
      <c r="Q76" s="3">
        <f>เมย!Q76+พค!Q76+มิย!Q76+กค!Q76+สค!Q76+กย!Q76</f>
        <v>0</v>
      </c>
      <c r="R76" s="3">
        <f>เมย!R76+พค!R76+มิย!R76+กค!R76+สค!R76+กย!R76</f>
        <v>0</v>
      </c>
      <c r="S76" s="3">
        <f>เมย!S76+พค!S76+มิย!S76+กค!S76+สค!S76+กย!S76</f>
        <v>0</v>
      </c>
      <c r="T76" s="37">
        <f t="shared" si="7"/>
        <v>0</v>
      </c>
      <c r="U76" s="28" t="e">
        <f t="shared" si="12"/>
        <v>#DIV/0!</v>
      </c>
      <c r="V76" s="59">
        <f t="shared" si="8"/>
        <v>0</v>
      </c>
    </row>
    <row r="77" spans="1:22" ht="22.5" customHeight="1">
      <c r="A77" s="87"/>
      <c r="B77" s="7" t="s">
        <v>13</v>
      </c>
      <c r="C77" s="3">
        <f>เมย!C77+พค!C77+มิย!C77+กค!C77+สค!C77+กย!C77</f>
        <v>0</v>
      </c>
      <c r="D77" s="3">
        <f>เมย!D77+พค!D77+มิย!D77+กค!D77+สค!D77+กย!D77</f>
        <v>0</v>
      </c>
      <c r="E77" s="4">
        <f t="shared" si="9"/>
        <v>0</v>
      </c>
      <c r="F77" s="3">
        <f>เมย!F77+พค!F77+มิย!F77+กค!F77+สค!F77+กย!F77</f>
        <v>0</v>
      </c>
      <c r="G77" s="3">
        <f>เมย!G77+พค!G77+มิย!G77+กค!G77+สค!G77+กย!G77</f>
        <v>0</v>
      </c>
      <c r="H77" s="3">
        <f>เมย!H77+พค!H77+มิย!H77+กค!H77+สค!H77+กย!H77</f>
        <v>0</v>
      </c>
      <c r="I77" s="3">
        <f>เมย!I77+พค!I77+มิย!I77+กค!I77+สค!I77+กย!I77</f>
        <v>0</v>
      </c>
      <c r="J77" s="3">
        <f>เมย!J77+พค!J77+มิย!J77+กค!J77+สค!J77+กย!J77</f>
        <v>0</v>
      </c>
      <c r="K77" s="3">
        <f>เมย!K77+พค!K77+มิย!K77+กค!K77+สค!K77+กย!K77</f>
        <v>0</v>
      </c>
      <c r="L77" s="3">
        <f>เมย!L77+พค!L77+มิย!L77+กค!L77+สค!L77+กย!L77</f>
        <v>0</v>
      </c>
      <c r="M77" s="5">
        <f t="shared" si="10"/>
        <v>0</v>
      </c>
      <c r="N77" s="28" t="e">
        <f t="shared" si="11"/>
        <v>#DIV/0!</v>
      </c>
      <c r="O77" s="3">
        <f>เมย!O77+พค!O77+มิย!O77+กค!O77+สค!O77+กย!O77</f>
        <v>0</v>
      </c>
      <c r="P77" s="3">
        <f>เมย!P77+พค!P77+มิย!P77+กค!P77+สค!P77+กย!P77</f>
        <v>0</v>
      </c>
      <c r="Q77" s="3">
        <f>เมย!Q77+พค!Q77+มิย!Q77+กค!Q77+สค!Q77+กย!Q77</f>
        <v>0</v>
      </c>
      <c r="R77" s="3">
        <f>เมย!R77+พค!R77+มิย!R77+กค!R77+สค!R77+กย!R77</f>
        <v>0</v>
      </c>
      <c r="S77" s="3">
        <f>เมย!S77+พค!S77+มิย!S77+กค!S77+สค!S77+กย!S77</f>
        <v>0</v>
      </c>
      <c r="T77" s="37">
        <f t="shared" si="7"/>
        <v>0</v>
      </c>
      <c r="U77" s="28" t="e">
        <f t="shared" si="12"/>
        <v>#DIV/0!</v>
      </c>
      <c r="V77" s="59">
        <f t="shared" si="8"/>
        <v>0</v>
      </c>
    </row>
    <row r="78" spans="1:22" ht="22.5" customHeight="1">
      <c r="A78" s="87"/>
      <c r="B78" s="7" t="s">
        <v>14</v>
      </c>
      <c r="C78" s="3">
        <f>เมย!C78+พค!C78+มิย!C78+กค!C78+สค!C78+กย!C78</f>
        <v>0</v>
      </c>
      <c r="D78" s="3">
        <f>เมย!D78+พค!D78+มิย!D78+กค!D78+สค!D78+กย!D78</f>
        <v>0</v>
      </c>
      <c r="E78" s="4">
        <f t="shared" si="9"/>
        <v>0</v>
      </c>
      <c r="F78" s="3">
        <f>เมย!F78+พค!F78+มิย!F78+กค!F78+สค!F78+กย!F78</f>
        <v>0</v>
      </c>
      <c r="G78" s="3">
        <f>เมย!G78+พค!G78+มิย!G78+กค!G78+สค!G78+กย!G78</f>
        <v>0</v>
      </c>
      <c r="H78" s="3">
        <f>เมย!H78+พค!H78+มิย!H78+กค!H78+สค!H78+กย!H78</f>
        <v>0</v>
      </c>
      <c r="I78" s="3">
        <f>เมย!I78+พค!I78+มิย!I78+กค!I78+สค!I78+กย!I78</f>
        <v>0</v>
      </c>
      <c r="J78" s="3">
        <f>เมย!J78+พค!J78+มิย!J78+กค!J78+สค!J78+กย!J78</f>
        <v>0</v>
      </c>
      <c r="K78" s="3">
        <f>เมย!K78+พค!K78+มิย!K78+กค!K78+สค!K78+กย!K78</f>
        <v>0</v>
      </c>
      <c r="L78" s="3">
        <f>เมย!L78+พค!L78+มิย!L78+กค!L78+สค!L78+กย!L78</f>
        <v>0</v>
      </c>
      <c r="M78" s="5">
        <f t="shared" si="10"/>
        <v>0</v>
      </c>
      <c r="N78" s="28" t="e">
        <f t="shared" si="11"/>
        <v>#DIV/0!</v>
      </c>
      <c r="O78" s="3">
        <f>เมย!O78+พค!O78+มิย!O78+กค!O78+สค!O78+กย!O78</f>
        <v>0</v>
      </c>
      <c r="P78" s="3">
        <f>เมย!P78+พค!P78+มิย!P78+กค!P78+สค!P78+กย!P78</f>
        <v>0</v>
      </c>
      <c r="Q78" s="3">
        <f>เมย!Q78+พค!Q78+มิย!Q78+กค!Q78+สค!Q78+กย!Q78</f>
        <v>0</v>
      </c>
      <c r="R78" s="3">
        <f>เมย!R78+พค!R78+มิย!R78+กค!R78+สค!R78+กย!R78</f>
        <v>0</v>
      </c>
      <c r="S78" s="3">
        <f>เมย!S78+พค!S78+มิย!S78+กค!S78+สค!S78+กย!S78</f>
        <v>0</v>
      </c>
      <c r="T78" s="37">
        <f t="shared" si="7"/>
        <v>0</v>
      </c>
      <c r="U78" s="28" t="e">
        <f t="shared" si="12"/>
        <v>#DIV/0!</v>
      </c>
      <c r="V78" s="59">
        <f t="shared" si="8"/>
        <v>0</v>
      </c>
    </row>
    <row r="79" spans="1:22" ht="22.5" customHeight="1">
      <c r="A79" s="87">
        <v>24</v>
      </c>
      <c r="B79" s="7" t="s">
        <v>12</v>
      </c>
      <c r="C79" s="3">
        <f>เมย!C79+พค!C79+มิย!C79+กค!C79+สค!C79+กย!C79</f>
        <v>0</v>
      </c>
      <c r="D79" s="3">
        <f>เมย!D79+พค!D79+มิย!D79+กค!D79+สค!D79+กย!D79</f>
        <v>0</v>
      </c>
      <c r="E79" s="4">
        <f t="shared" si="9"/>
        <v>0</v>
      </c>
      <c r="F79" s="3">
        <f>เมย!F79+พค!F79+มิย!F79+กค!F79+สค!F79+กย!F79</f>
        <v>0</v>
      </c>
      <c r="G79" s="3">
        <f>เมย!G79+พค!G79+มิย!G79+กค!G79+สค!G79+กย!G79</f>
        <v>0</v>
      </c>
      <c r="H79" s="3">
        <f>เมย!H79+พค!H79+มิย!H79+กค!H79+สค!H79+กย!H79</f>
        <v>0</v>
      </c>
      <c r="I79" s="3">
        <f>เมย!I79+พค!I79+มิย!I79+กค!I79+สค!I79+กย!I79</f>
        <v>0</v>
      </c>
      <c r="J79" s="3">
        <f>เมย!J79+พค!J79+มิย!J79+กค!J79+สค!J79+กย!J79</f>
        <v>0</v>
      </c>
      <c r="K79" s="3">
        <f>เมย!K79+พค!K79+มิย!K79+กค!K79+สค!K79+กย!K79</f>
        <v>0</v>
      </c>
      <c r="L79" s="3">
        <f>เมย!L79+พค!L79+มิย!L79+กค!L79+สค!L79+กย!L79</f>
        <v>0</v>
      </c>
      <c r="M79" s="5">
        <f t="shared" si="10"/>
        <v>0</v>
      </c>
      <c r="N79" s="28" t="e">
        <f t="shared" si="11"/>
        <v>#DIV/0!</v>
      </c>
      <c r="O79" s="3">
        <f>เมย!O79+พค!O79+มิย!O79+กค!O79+สค!O79+กย!O79</f>
        <v>0</v>
      </c>
      <c r="P79" s="3">
        <f>เมย!P79+พค!P79+มิย!P79+กค!P79+สค!P79+กย!P79</f>
        <v>0</v>
      </c>
      <c r="Q79" s="3">
        <f>เมย!Q79+พค!Q79+มิย!Q79+กค!Q79+สค!Q79+กย!Q79</f>
        <v>0</v>
      </c>
      <c r="R79" s="3">
        <f>เมย!R79+พค!R79+มิย!R79+กค!R79+สค!R79+กย!R79</f>
        <v>0</v>
      </c>
      <c r="S79" s="3">
        <f>เมย!S79+พค!S79+มิย!S79+กค!S79+สค!S79+กย!S79</f>
        <v>0</v>
      </c>
      <c r="T79" s="37">
        <f t="shared" si="7"/>
        <v>0</v>
      </c>
      <c r="U79" s="28" t="e">
        <f t="shared" si="12"/>
        <v>#DIV/0!</v>
      </c>
      <c r="V79" s="59">
        <f t="shared" si="8"/>
        <v>0</v>
      </c>
    </row>
    <row r="80" spans="1:22" ht="22.5" customHeight="1">
      <c r="A80" s="87"/>
      <c r="B80" s="7" t="s">
        <v>13</v>
      </c>
      <c r="C80" s="3">
        <f>เมย!C80+พค!C80+มิย!C80+กค!C80+สค!C80+กย!C80</f>
        <v>0</v>
      </c>
      <c r="D80" s="3">
        <f>เมย!D80+พค!D80+มิย!D80+กค!D80+สค!D80+กย!D80</f>
        <v>0</v>
      </c>
      <c r="E80" s="4">
        <f t="shared" si="9"/>
        <v>0</v>
      </c>
      <c r="F80" s="3">
        <f>เมย!F80+พค!F80+มิย!F80+กค!F80+สค!F80+กย!F80</f>
        <v>0</v>
      </c>
      <c r="G80" s="3">
        <f>เมย!G80+พค!G80+มิย!G80+กค!G80+สค!G80+กย!G80</f>
        <v>0</v>
      </c>
      <c r="H80" s="3">
        <f>เมย!H80+พค!H80+มิย!H80+กค!H80+สค!H80+กย!H80</f>
        <v>0</v>
      </c>
      <c r="I80" s="3">
        <f>เมย!I80+พค!I80+มิย!I80+กค!I80+สค!I80+กย!I80</f>
        <v>0</v>
      </c>
      <c r="J80" s="3">
        <f>เมย!J80+พค!J80+มิย!J80+กค!J80+สค!J80+กย!J80</f>
        <v>0</v>
      </c>
      <c r="K80" s="3">
        <f>เมย!K80+พค!K80+มิย!K80+กค!K80+สค!K80+กย!K80</f>
        <v>0</v>
      </c>
      <c r="L80" s="3">
        <f>เมย!L80+พค!L80+มิย!L80+กค!L80+สค!L80+กย!L80</f>
        <v>0</v>
      </c>
      <c r="M80" s="5">
        <f t="shared" si="10"/>
        <v>0</v>
      </c>
      <c r="N80" s="28" t="e">
        <f t="shared" si="11"/>
        <v>#DIV/0!</v>
      </c>
      <c r="O80" s="3">
        <f>เมย!O80+พค!O80+มิย!O80+กค!O80+สค!O80+กย!O80</f>
        <v>0</v>
      </c>
      <c r="P80" s="3">
        <f>เมย!P80+พค!P80+มิย!P80+กค!P80+สค!P80+กย!P80</f>
        <v>0</v>
      </c>
      <c r="Q80" s="3">
        <f>เมย!Q80+พค!Q80+มิย!Q80+กค!Q80+สค!Q80+กย!Q80</f>
        <v>0</v>
      </c>
      <c r="R80" s="3">
        <f>เมย!R80+พค!R80+มิย!R80+กค!R80+สค!R80+กย!R80</f>
        <v>0</v>
      </c>
      <c r="S80" s="3">
        <f>เมย!S80+พค!S80+มิย!S80+กค!S80+สค!S80+กย!S80</f>
        <v>0</v>
      </c>
      <c r="T80" s="37">
        <f t="shared" si="7"/>
        <v>0</v>
      </c>
      <c r="U80" s="28" t="e">
        <f t="shared" si="12"/>
        <v>#DIV/0!</v>
      </c>
      <c r="V80" s="59">
        <f t="shared" si="8"/>
        <v>0</v>
      </c>
    </row>
    <row r="81" spans="1:22" ht="22.5" customHeight="1">
      <c r="A81" s="87"/>
      <c r="B81" s="7" t="s">
        <v>14</v>
      </c>
      <c r="C81" s="3">
        <f>เมย!C81+พค!C81+มิย!C81+กค!C81+สค!C81+กย!C81</f>
        <v>0</v>
      </c>
      <c r="D81" s="3">
        <f>เมย!D81+พค!D81+มิย!D81+กค!D81+สค!D81+กย!D81</f>
        <v>0</v>
      </c>
      <c r="E81" s="4">
        <f t="shared" si="9"/>
        <v>0</v>
      </c>
      <c r="F81" s="3">
        <f>เมย!F81+พค!F81+มิย!F81+กค!F81+สค!F81+กย!F81</f>
        <v>0</v>
      </c>
      <c r="G81" s="3">
        <f>เมย!G81+พค!G81+มิย!G81+กค!G81+สค!G81+กย!G81</f>
        <v>0</v>
      </c>
      <c r="H81" s="3">
        <f>เมย!H81+พค!H81+มิย!H81+กค!H81+สค!H81+กย!H81</f>
        <v>0</v>
      </c>
      <c r="I81" s="3">
        <f>เมย!I81+พค!I81+มิย!I81+กค!I81+สค!I81+กย!I81</f>
        <v>0</v>
      </c>
      <c r="J81" s="3">
        <f>เมย!J81+พค!J81+มิย!J81+กค!J81+สค!J81+กย!J81</f>
        <v>0</v>
      </c>
      <c r="K81" s="3">
        <f>เมย!K81+พค!K81+มิย!K81+กค!K81+สค!K81+กย!K81</f>
        <v>0</v>
      </c>
      <c r="L81" s="3">
        <f>เมย!L81+พค!L81+มิย!L81+กค!L81+สค!L81+กย!L81</f>
        <v>0</v>
      </c>
      <c r="M81" s="5">
        <f t="shared" si="10"/>
        <v>0</v>
      </c>
      <c r="N81" s="28" t="e">
        <f t="shared" si="11"/>
        <v>#DIV/0!</v>
      </c>
      <c r="O81" s="3">
        <f>เมย!O81+พค!O81+มิย!O81+กค!O81+สค!O81+กย!O81</f>
        <v>0</v>
      </c>
      <c r="P81" s="3">
        <f>เมย!P81+พค!P81+มิย!P81+กค!P81+สค!P81+กย!P81</f>
        <v>0</v>
      </c>
      <c r="Q81" s="3">
        <f>เมย!Q81+พค!Q81+มิย!Q81+กค!Q81+สค!Q81+กย!Q81</f>
        <v>0</v>
      </c>
      <c r="R81" s="3">
        <f>เมย!R81+พค!R81+มิย!R81+กค!R81+สค!R81+กย!R81</f>
        <v>0</v>
      </c>
      <c r="S81" s="3">
        <f>เมย!S81+พค!S81+มิย!S81+กค!S81+สค!S81+กย!S81</f>
        <v>0</v>
      </c>
      <c r="T81" s="37">
        <f t="shared" si="7"/>
        <v>0</v>
      </c>
      <c r="U81" s="28" t="e">
        <f t="shared" si="12"/>
        <v>#DIV/0!</v>
      </c>
      <c r="V81" s="59">
        <f t="shared" si="8"/>
        <v>0</v>
      </c>
    </row>
    <row r="82" spans="1:22" ht="22.5" customHeight="1">
      <c r="A82" s="87">
        <v>25</v>
      </c>
      <c r="B82" s="7" t="s">
        <v>12</v>
      </c>
      <c r="C82" s="3">
        <f>เมย!C82+พค!C82+มิย!C82+กค!C82+สค!C82+กย!C82</f>
        <v>0</v>
      </c>
      <c r="D82" s="3">
        <f>เมย!D82+พค!D82+มิย!D82+กค!D82+สค!D82+กย!D82</f>
        <v>0</v>
      </c>
      <c r="E82" s="4">
        <f t="shared" si="9"/>
        <v>0</v>
      </c>
      <c r="F82" s="3">
        <f>เมย!F82+พค!F82+มิย!F82+กค!F82+สค!F82+กย!F82</f>
        <v>0</v>
      </c>
      <c r="G82" s="3">
        <f>เมย!G82+พค!G82+มิย!G82+กค!G82+สค!G82+กย!G82</f>
        <v>0</v>
      </c>
      <c r="H82" s="3">
        <f>เมย!H82+พค!H82+มิย!H82+กค!H82+สค!H82+กย!H82</f>
        <v>0</v>
      </c>
      <c r="I82" s="3">
        <f>เมย!I82+พค!I82+มิย!I82+กค!I82+สค!I82+กย!I82</f>
        <v>0</v>
      </c>
      <c r="J82" s="3">
        <f>เมย!J82+พค!J82+มิย!J82+กค!J82+สค!J82+กย!J82</f>
        <v>0</v>
      </c>
      <c r="K82" s="3">
        <f>เมย!K82+พค!K82+มิย!K82+กค!K82+สค!K82+กย!K82</f>
        <v>0</v>
      </c>
      <c r="L82" s="3">
        <f>เมย!L82+พค!L82+มิย!L82+กค!L82+สค!L82+กย!L82</f>
        <v>0</v>
      </c>
      <c r="M82" s="5">
        <f t="shared" si="10"/>
        <v>0</v>
      </c>
      <c r="N82" s="28" t="e">
        <f t="shared" si="11"/>
        <v>#DIV/0!</v>
      </c>
      <c r="O82" s="3">
        <f>เมย!O82+พค!O82+มิย!O82+กค!O82+สค!O82+กย!O82</f>
        <v>0</v>
      </c>
      <c r="P82" s="3">
        <f>เมย!P82+พค!P82+มิย!P82+กค!P82+สค!P82+กย!P82</f>
        <v>0</v>
      </c>
      <c r="Q82" s="3">
        <f>เมย!Q82+พค!Q82+มิย!Q82+กค!Q82+สค!Q82+กย!Q82</f>
        <v>0</v>
      </c>
      <c r="R82" s="3">
        <f>เมย!R82+พค!R82+มิย!R82+กค!R82+สค!R82+กย!R82</f>
        <v>0</v>
      </c>
      <c r="S82" s="3">
        <f>เมย!S82+พค!S82+มิย!S82+กค!S82+สค!S82+กย!S82</f>
        <v>0</v>
      </c>
      <c r="T82" s="37">
        <f>SUM(O82:S82)</f>
        <v>0</v>
      </c>
      <c r="U82" s="28" t="e">
        <f t="shared" si="12"/>
        <v>#DIV/0!</v>
      </c>
      <c r="V82" s="59">
        <f t="shared" si="8"/>
        <v>0</v>
      </c>
    </row>
    <row r="83" spans="1:22" ht="22.5" customHeight="1">
      <c r="A83" s="87"/>
      <c r="B83" s="7" t="s">
        <v>13</v>
      </c>
      <c r="C83" s="3">
        <f>เมย!C83+พค!C83+มิย!C83+กค!C83+สค!C83+กย!C83</f>
        <v>0</v>
      </c>
      <c r="D83" s="3">
        <f>เมย!D83+พค!D83+มิย!D83+กค!D83+สค!D83+กย!D83</f>
        <v>0</v>
      </c>
      <c r="E83" s="4">
        <f t="shared" si="9"/>
        <v>0</v>
      </c>
      <c r="F83" s="3">
        <f>เมย!F83+พค!F83+มิย!F83+กค!F83+สค!F83+กย!F83</f>
        <v>0</v>
      </c>
      <c r="G83" s="3">
        <f>เมย!G83+พค!G83+มิย!G83+กค!G83+สค!G83+กย!G83</f>
        <v>0</v>
      </c>
      <c r="H83" s="3">
        <f>เมย!H83+พค!H83+มิย!H83+กค!H83+สค!H83+กย!H83</f>
        <v>0</v>
      </c>
      <c r="I83" s="3">
        <f>เมย!I83+พค!I83+มิย!I83+กค!I83+สค!I83+กย!I83</f>
        <v>0</v>
      </c>
      <c r="J83" s="3">
        <f>เมย!J83+พค!J83+มิย!J83+กค!J83+สค!J83+กย!J83</f>
        <v>0</v>
      </c>
      <c r="K83" s="3">
        <f>เมย!K83+พค!K83+มิย!K83+กค!K83+สค!K83+กย!K83</f>
        <v>0</v>
      </c>
      <c r="L83" s="3">
        <f>เมย!L83+พค!L83+มิย!L83+กค!L83+สค!L83+กย!L83</f>
        <v>0</v>
      </c>
      <c r="M83" s="5">
        <f t="shared" si="10"/>
        <v>0</v>
      </c>
      <c r="N83" s="28" t="e">
        <f t="shared" si="11"/>
        <v>#DIV/0!</v>
      </c>
      <c r="O83" s="3">
        <f>เมย!O83+พค!O83+มิย!O83+กค!O83+สค!O83+กย!O83</f>
        <v>0</v>
      </c>
      <c r="P83" s="3">
        <f>เมย!P83+พค!P83+มิย!P83+กค!P83+สค!P83+กย!P83</f>
        <v>0</v>
      </c>
      <c r="Q83" s="3">
        <f>เมย!Q83+พค!Q83+มิย!Q83+กค!Q83+สค!Q83+กย!Q83</f>
        <v>0</v>
      </c>
      <c r="R83" s="3">
        <f>เมย!R83+พค!R83+มิย!R83+กค!R83+สค!R83+กย!R83</f>
        <v>0</v>
      </c>
      <c r="S83" s="3">
        <f>เมย!S83+พค!S83+มิย!S83+กค!S83+สค!S83+กย!S83</f>
        <v>0</v>
      </c>
      <c r="T83" s="37">
        <f t="shared" ref="T83:T106" si="13">SUM(O83:S83)</f>
        <v>0</v>
      </c>
      <c r="U83" s="28" t="e">
        <f t="shared" si="12"/>
        <v>#DIV/0!</v>
      </c>
      <c r="V83" s="59">
        <f t="shared" si="8"/>
        <v>0</v>
      </c>
    </row>
    <row r="84" spans="1:22" ht="22.5" customHeight="1">
      <c r="A84" s="87"/>
      <c r="B84" s="7" t="s">
        <v>14</v>
      </c>
      <c r="C84" s="3">
        <f>เมย!C84+พค!C84+มิย!C84+กค!C84+สค!C84+กย!C84</f>
        <v>0</v>
      </c>
      <c r="D84" s="3">
        <f>เมย!D84+พค!D84+มิย!D84+กค!D84+สค!D84+กย!D84</f>
        <v>0</v>
      </c>
      <c r="E84" s="4">
        <f t="shared" si="9"/>
        <v>0</v>
      </c>
      <c r="F84" s="3">
        <f>เมย!F84+พค!F84+มิย!F84+กค!F84+สค!F84+กย!F84</f>
        <v>0</v>
      </c>
      <c r="G84" s="3">
        <f>เมย!G84+พค!G84+มิย!G84+กค!G84+สค!G84+กย!G84</f>
        <v>0</v>
      </c>
      <c r="H84" s="3">
        <f>เมย!H84+พค!H84+มิย!H84+กค!H84+สค!H84+กย!H84</f>
        <v>0</v>
      </c>
      <c r="I84" s="3">
        <f>เมย!I84+พค!I84+มิย!I84+กค!I84+สค!I84+กย!I84</f>
        <v>0</v>
      </c>
      <c r="J84" s="3">
        <f>เมย!J84+พค!J84+มิย!J84+กค!J84+สค!J84+กย!J84</f>
        <v>0</v>
      </c>
      <c r="K84" s="3">
        <f>เมย!K84+พค!K84+มิย!K84+กค!K84+สค!K84+กย!K84</f>
        <v>0</v>
      </c>
      <c r="L84" s="3">
        <f>เมย!L84+พค!L84+มิย!L84+กค!L84+สค!L84+กย!L84</f>
        <v>0</v>
      </c>
      <c r="M84" s="5">
        <f t="shared" si="10"/>
        <v>0</v>
      </c>
      <c r="N84" s="28" t="e">
        <f t="shared" si="11"/>
        <v>#DIV/0!</v>
      </c>
      <c r="O84" s="3">
        <f>เมย!O84+พค!O84+มิย!O84+กค!O84+สค!O84+กย!O84</f>
        <v>0</v>
      </c>
      <c r="P84" s="3">
        <f>เมย!P84+พค!P84+มิย!P84+กค!P84+สค!P84+กย!P84</f>
        <v>0</v>
      </c>
      <c r="Q84" s="3">
        <f>เมย!Q84+พค!Q84+มิย!Q84+กค!Q84+สค!Q84+กย!Q84</f>
        <v>0</v>
      </c>
      <c r="R84" s="3">
        <f>เมย!R84+พค!R84+มิย!R84+กค!R84+สค!R84+กย!R84</f>
        <v>0</v>
      </c>
      <c r="S84" s="3">
        <f>เมย!S84+พค!S84+มิย!S84+กค!S84+สค!S84+กย!S84</f>
        <v>0</v>
      </c>
      <c r="T84" s="37">
        <f t="shared" si="13"/>
        <v>0</v>
      </c>
      <c r="U84" s="28" t="e">
        <f t="shared" si="12"/>
        <v>#DIV/0!</v>
      </c>
      <c r="V84" s="59">
        <f t="shared" si="8"/>
        <v>0</v>
      </c>
    </row>
    <row r="85" spans="1:22" ht="22.5" customHeight="1">
      <c r="A85" s="87">
        <v>26</v>
      </c>
      <c r="B85" s="7" t="s">
        <v>12</v>
      </c>
      <c r="C85" s="3">
        <f>เมย!C85+พค!C85+มิย!C85+กค!C85+สค!C85+กย!C85</f>
        <v>0</v>
      </c>
      <c r="D85" s="3">
        <f>เมย!D85+พค!D85+มิย!D85+กค!D85+สค!D85+กย!D85</f>
        <v>0</v>
      </c>
      <c r="E85" s="4">
        <f t="shared" si="9"/>
        <v>0</v>
      </c>
      <c r="F85" s="3">
        <f>เมย!F85+พค!F85+มิย!F85+กค!F85+สค!F85+กย!F85</f>
        <v>0</v>
      </c>
      <c r="G85" s="3">
        <f>เมย!G85+พค!G85+มิย!G85+กค!G85+สค!G85+กย!G85</f>
        <v>0</v>
      </c>
      <c r="H85" s="3">
        <f>เมย!H85+พค!H85+มิย!H85+กค!H85+สค!H85+กย!H85</f>
        <v>0</v>
      </c>
      <c r="I85" s="3">
        <f>เมย!I85+พค!I85+มิย!I85+กค!I85+สค!I85+กย!I85</f>
        <v>0</v>
      </c>
      <c r="J85" s="3">
        <f>เมย!J85+พค!J85+มิย!J85+กค!J85+สค!J85+กย!J85</f>
        <v>0</v>
      </c>
      <c r="K85" s="3">
        <f>เมย!K85+พค!K85+มิย!K85+กค!K85+สค!K85+กย!K85</f>
        <v>0</v>
      </c>
      <c r="L85" s="3">
        <f>เมย!L85+พค!L85+มิย!L85+กค!L85+สค!L85+กย!L85</f>
        <v>0</v>
      </c>
      <c r="M85" s="5">
        <f t="shared" si="10"/>
        <v>0</v>
      </c>
      <c r="N85" s="28" t="e">
        <f t="shared" si="11"/>
        <v>#DIV/0!</v>
      </c>
      <c r="O85" s="3">
        <f>เมย!O85+พค!O85+มิย!O85+กค!O85+สค!O85+กย!O85</f>
        <v>0</v>
      </c>
      <c r="P85" s="3">
        <f>เมย!P85+พค!P85+มิย!P85+กค!P85+สค!P85+กย!P85</f>
        <v>0</v>
      </c>
      <c r="Q85" s="3">
        <f>เมย!Q85+พค!Q85+มิย!Q85+กค!Q85+สค!Q85+กย!Q85</f>
        <v>0</v>
      </c>
      <c r="R85" s="3">
        <f>เมย!R85+พค!R85+มิย!R85+กค!R85+สค!R85+กย!R85</f>
        <v>0</v>
      </c>
      <c r="S85" s="3">
        <f>เมย!S85+พค!S85+มิย!S85+กค!S85+สค!S85+กย!S85</f>
        <v>0</v>
      </c>
      <c r="T85" s="37">
        <f t="shared" si="13"/>
        <v>0</v>
      </c>
      <c r="U85" s="28" t="e">
        <f t="shared" si="12"/>
        <v>#DIV/0!</v>
      </c>
      <c r="V85" s="59">
        <f t="shared" si="8"/>
        <v>0</v>
      </c>
    </row>
    <row r="86" spans="1:22" ht="22.5" customHeight="1">
      <c r="A86" s="87"/>
      <c r="B86" s="7" t="s">
        <v>13</v>
      </c>
      <c r="C86" s="3">
        <f>เมย!C86+พค!C86+มิย!C86+กค!C86+สค!C86+กย!C86</f>
        <v>0</v>
      </c>
      <c r="D86" s="3">
        <f>เมย!D86+พค!D86+มิย!D86+กค!D86+สค!D86+กย!D86</f>
        <v>0</v>
      </c>
      <c r="E86" s="4">
        <f t="shared" si="9"/>
        <v>0</v>
      </c>
      <c r="F86" s="3">
        <f>เมย!F86+พค!F86+มิย!F86+กค!F86+สค!F86+กย!F86</f>
        <v>0</v>
      </c>
      <c r="G86" s="3">
        <f>เมย!G86+พค!G86+มิย!G86+กค!G86+สค!G86+กย!G86</f>
        <v>0</v>
      </c>
      <c r="H86" s="3">
        <f>เมย!H86+พค!H86+มิย!H86+กค!H86+สค!H86+กย!H86</f>
        <v>0</v>
      </c>
      <c r="I86" s="3">
        <f>เมย!I86+พค!I86+มิย!I86+กค!I86+สค!I86+กย!I86</f>
        <v>0</v>
      </c>
      <c r="J86" s="3">
        <f>เมย!J86+พค!J86+มิย!J86+กค!J86+สค!J86+กย!J86</f>
        <v>0</v>
      </c>
      <c r="K86" s="3">
        <f>เมย!K86+พค!K86+มิย!K86+กค!K86+สค!K86+กย!K86</f>
        <v>0</v>
      </c>
      <c r="L86" s="3">
        <f>เมย!L86+พค!L86+มิย!L86+กค!L86+สค!L86+กย!L86</f>
        <v>0</v>
      </c>
      <c r="M86" s="5">
        <f t="shared" si="10"/>
        <v>0</v>
      </c>
      <c r="N86" s="28" t="e">
        <f t="shared" si="11"/>
        <v>#DIV/0!</v>
      </c>
      <c r="O86" s="3">
        <f>เมย!O86+พค!O86+มิย!O86+กค!O86+สค!O86+กย!O86</f>
        <v>0</v>
      </c>
      <c r="P86" s="3">
        <f>เมย!P86+พค!P86+มิย!P86+กค!P86+สค!P86+กย!P86</f>
        <v>0</v>
      </c>
      <c r="Q86" s="3">
        <f>เมย!Q86+พค!Q86+มิย!Q86+กค!Q86+สค!Q86+กย!Q86</f>
        <v>0</v>
      </c>
      <c r="R86" s="3">
        <f>เมย!R86+พค!R86+มิย!R86+กค!R86+สค!R86+กย!R86</f>
        <v>0</v>
      </c>
      <c r="S86" s="3">
        <f>เมย!S86+พค!S86+มิย!S86+กค!S86+สค!S86+กย!S86</f>
        <v>0</v>
      </c>
      <c r="T86" s="37">
        <f t="shared" si="13"/>
        <v>0</v>
      </c>
      <c r="U86" s="28" t="e">
        <f t="shared" si="12"/>
        <v>#DIV/0!</v>
      </c>
      <c r="V86" s="59">
        <f t="shared" si="8"/>
        <v>0</v>
      </c>
    </row>
    <row r="87" spans="1:22" ht="22.5" customHeight="1">
      <c r="A87" s="87"/>
      <c r="B87" s="7" t="s">
        <v>14</v>
      </c>
      <c r="C87" s="3">
        <f>เมย!C87+พค!C87+มิย!C87+กค!C87+สค!C87+กย!C87</f>
        <v>0</v>
      </c>
      <c r="D87" s="3">
        <f>เมย!D87+พค!D87+มิย!D87+กค!D87+สค!D87+กย!D87</f>
        <v>0</v>
      </c>
      <c r="E87" s="4">
        <f t="shared" si="9"/>
        <v>0</v>
      </c>
      <c r="F87" s="3">
        <f>เมย!F87+พค!F87+มิย!F87+กค!F87+สค!F87+กย!F87</f>
        <v>0</v>
      </c>
      <c r="G87" s="3">
        <f>เมย!G87+พค!G87+มิย!G87+กค!G87+สค!G87+กย!G87</f>
        <v>0</v>
      </c>
      <c r="H87" s="3">
        <f>เมย!H87+พค!H87+มิย!H87+กค!H87+สค!H87+กย!H87</f>
        <v>0</v>
      </c>
      <c r="I87" s="3">
        <f>เมย!I87+พค!I87+มิย!I87+กค!I87+สค!I87+กย!I87</f>
        <v>0</v>
      </c>
      <c r="J87" s="3">
        <f>เมย!J87+พค!J87+มิย!J87+กค!J87+สค!J87+กย!J87</f>
        <v>0</v>
      </c>
      <c r="K87" s="3">
        <f>เมย!K87+พค!K87+มิย!K87+กค!K87+สค!K87+กย!K87</f>
        <v>0</v>
      </c>
      <c r="L87" s="3">
        <f>เมย!L87+พค!L87+มิย!L87+กค!L87+สค!L87+กย!L87</f>
        <v>0</v>
      </c>
      <c r="M87" s="5">
        <f t="shared" si="10"/>
        <v>0</v>
      </c>
      <c r="N87" s="28" t="e">
        <f t="shared" si="11"/>
        <v>#DIV/0!</v>
      </c>
      <c r="O87" s="3">
        <f>เมย!O87+พค!O87+มิย!O87+กค!O87+สค!O87+กย!O87</f>
        <v>0</v>
      </c>
      <c r="P87" s="3">
        <f>เมย!P87+พค!P87+มิย!P87+กค!P87+สค!P87+กย!P87</f>
        <v>0</v>
      </c>
      <c r="Q87" s="3">
        <f>เมย!Q87+พค!Q87+มิย!Q87+กค!Q87+สค!Q87+กย!Q87</f>
        <v>0</v>
      </c>
      <c r="R87" s="3">
        <f>เมย!R87+พค!R87+มิย!R87+กค!R87+สค!R87+กย!R87</f>
        <v>0</v>
      </c>
      <c r="S87" s="3">
        <f>เมย!S87+พค!S87+มิย!S87+กค!S87+สค!S87+กย!S87</f>
        <v>0</v>
      </c>
      <c r="T87" s="37">
        <f t="shared" si="13"/>
        <v>0</v>
      </c>
      <c r="U87" s="28" t="e">
        <f t="shared" si="12"/>
        <v>#DIV/0!</v>
      </c>
      <c r="V87" s="59">
        <f t="shared" si="8"/>
        <v>0</v>
      </c>
    </row>
    <row r="88" spans="1:22" ht="22.5" customHeight="1">
      <c r="A88" s="87">
        <v>27</v>
      </c>
      <c r="B88" s="7" t="s">
        <v>12</v>
      </c>
      <c r="C88" s="3">
        <f>เมย!C88+พค!C88+มิย!C88+กค!C88+สค!C88+กย!C88</f>
        <v>0</v>
      </c>
      <c r="D88" s="3">
        <f>เมย!D88+พค!D88+มิย!D88+กค!D88+สค!D88+กย!D88</f>
        <v>0</v>
      </c>
      <c r="E88" s="4">
        <f t="shared" si="9"/>
        <v>0</v>
      </c>
      <c r="F88" s="3">
        <f>เมย!F88+พค!F88+มิย!F88+กค!F88+สค!F88+กย!F88</f>
        <v>0</v>
      </c>
      <c r="G88" s="3">
        <f>เมย!G88+พค!G88+มิย!G88+กค!G88+สค!G88+กย!G88</f>
        <v>0</v>
      </c>
      <c r="H88" s="3">
        <f>เมย!H88+พค!H88+มิย!H88+กค!H88+สค!H88+กย!H88</f>
        <v>0</v>
      </c>
      <c r="I88" s="3">
        <f>เมย!I88+พค!I88+มิย!I88+กค!I88+สค!I88+กย!I88</f>
        <v>0</v>
      </c>
      <c r="J88" s="3">
        <f>เมย!J88+พค!J88+มิย!J88+กค!J88+สค!J88+กย!J88</f>
        <v>0</v>
      </c>
      <c r="K88" s="3">
        <f>เมย!K88+พค!K88+มิย!K88+กค!K88+สค!K88+กย!K88</f>
        <v>0</v>
      </c>
      <c r="L88" s="3">
        <f>เมย!L88+พค!L88+มิย!L88+กค!L88+สค!L88+กย!L88</f>
        <v>0</v>
      </c>
      <c r="M88" s="5">
        <f t="shared" si="10"/>
        <v>0</v>
      </c>
      <c r="N88" s="28" t="e">
        <f t="shared" si="11"/>
        <v>#DIV/0!</v>
      </c>
      <c r="O88" s="3">
        <f>เมย!O88+พค!O88+มิย!O88+กค!O88+สค!O88+กย!O88</f>
        <v>0</v>
      </c>
      <c r="P88" s="3">
        <f>เมย!P88+พค!P88+มิย!P88+กค!P88+สค!P88+กย!P88</f>
        <v>0</v>
      </c>
      <c r="Q88" s="3">
        <f>เมย!Q88+พค!Q88+มิย!Q88+กค!Q88+สค!Q88+กย!Q88</f>
        <v>0</v>
      </c>
      <c r="R88" s="3">
        <f>เมย!R88+พค!R88+มิย!R88+กค!R88+สค!R88+กย!R88</f>
        <v>0</v>
      </c>
      <c r="S88" s="3">
        <f>เมย!S88+พค!S88+มิย!S88+กค!S88+สค!S88+กย!S88</f>
        <v>0</v>
      </c>
      <c r="T88" s="37">
        <f t="shared" si="13"/>
        <v>0</v>
      </c>
      <c r="U88" s="28" t="e">
        <f t="shared" si="12"/>
        <v>#DIV/0!</v>
      </c>
      <c r="V88" s="59">
        <f t="shared" si="8"/>
        <v>0</v>
      </c>
    </row>
    <row r="89" spans="1:22" ht="22.5" customHeight="1">
      <c r="A89" s="87"/>
      <c r="B89" s="7" t="s">
        <v>13</v>
      </c>
      <c r="C89" s="3">
        <f>เมย!C89+พค!C89+มิย!C89+กค!C89+สค!C89+กย!C89</f>
        <v>0</v>
      </c>
      <c r="D89" s="3">
        <f>เมย!D89+พค!D89+มิย!D89+กค!D89+สค!D89+กย!D89</f>
        <v>0</v>
      </c>
      <c r="E89" s="4">
        <f t="shared" si="9"/>
        <v>0</v>
      </c>
      <c r="F89" s="3">
        <f>เมย!F89+พค!F89+มิย!F89+กค!F89+สค!F89+กย!F89</f>
        <v>0</v>
      </c>
      <c r="G89" s="3">
        <f>เมย!G89+พค!G89+มิย!G89+กค!G89+สค!G89+กย!G89</f>
        <v>0</v>
      </c>
      <c r="H89" s="3">
        <f>เมย!H89+พค!H89+มิย!H89+กค!H89+สค!H89+กย!H89</f>
        <v>0</v>
      </c>
      <c r="I89" s="3">
        <f>เมย!I89+พค!I89+มิย!I89+กค!I89+สค!I89+กย!I89</f>
        <v>0</v>
      </c>
      <c r="J89" s="3">
        <f>เมย!J89+พค!J89+มิย!J89+กค!J89+สค!J89+กย!J89</f>
        <v>0</v>
      </c>
      <c r="K89" s="3">
        <f>เมย!K89+พค!K89+มิย!K89+กค!K89+สค!K89+กย!K89</f>
        <v>0</v>
      </c>
      <c r="L89" s="3">
        <f>เมย!L89+พค!L89+มิย!L89+กค!L89+สค!L89+กย!L89</f>
        <v>0</v>
      </c>
      <c r="M89" s="5">
        <f t="shared" si="10"/>
        <v>0</v>
      </c>
      <c r="N89" s="28" t="e">
        <f t="shared" si="11"/>
        <v>#DIV/0!</v>
      </c>
      <c r="O89" s="3">
        <f>เมย!O89+พค!O89+มิย!O89+กค!O89+สค!O89+กย!O89</f>
        <v>0</v>
      </c>
      <c r="P89" s="3">
        <f>เมย!P89+พค!P89+มิย!P89+กค!P89+สค!P89+กย!P89</f>
        <v>0</v>
      </c>
      <c r="Q89" s="3">
        <f>เมย!Q89+พค!Q89+มิย!Q89+กค!Q89+สค!Q89+กย!Q89</f>
        <v>0</v>
      </c>
      <c r="R89" s="3">
        <f>เมย!R89+พค!R89+มิย!R89+กค!R89+สค!R89+กย!R89</f>
        <v>0</v>
      </c>
      <c r="S89" s="3">
        <f>เมย!S89+พค!S89+มิย!S89+กค!S89+สค!S89+กย!S89</f>
        <v>0</v>
      </c>
      <c r="T89" s="37">
        <f t="shared" si="13"/>
        <v>0</v>
      </c>
      <c r="U89" s="28" t="e">
        <f t="shared" si="12"/>
        <v>#DIV/0!</v>
      </c>
      <c r="V89" s="59">
        <f t="shared" si="8"/>
        <v>0</v>
      </c>
    </row>
    <row r="90" spans="1:22" ht="22.5" customHeight="1">
      <c r="A90" s="87"/>
      <c r="B90" s="7" t="s">
        <v>14</v>
      </c>
      <c r="C90" s="3">
        <f>เมย!C90+พค!C90+มิย!C90+กค!C90+สค!C90+กย!C90</f>
        <v>0</v>
      </c>
      <c r="D90" s="3">
        <f>เมย!D90+พค!D90+มิย!D90+กค!D90+สค!D90+กย!D90</f>
        <v>0</v>
      </c>
      <c r="E90" s="4">
        <f t="shared" si="9"/>
        <v>0</v>
      </c>
      <c r="F90" s="3">
        <f>เมย!F90+พค!F90+มิย!F90+กค!F90+สค!F90+กย!F90</f>
        <v>0</v>
      </c>
      <c r="G90" s="3">
        <f>เมย!G90+พค!G90+มิย!G90+กค!G90+สค!G90+กย!G90</f>
        <v>0</v>
      </c>
      <c r="H90" s="3">
        <f>เมย!H90+พค!H90+มิย!H90+กค!H90+สค!H90+กย!H90</f>
        <v>0</v>
      </c>
      <c r="I90" s="3">
        <f>เมย!I90+พค!I90+มิย!I90+กค!I90+สค!I90+กย!I90</f>
        <v>0</v>
      </c>
      <c r="J90" s="3">
        <f>เมย!J90+พค!J90+มิย!J90+กค!J90+สค!J90+กย!J90</f>
        <v>0</v>
      </c>
      <c r="K90" s="3">
        <f>เมย!K90+พค!K90+มิย!K90+กค!K90+สค!K90+กย!K90</f>
        <v>0</v>
      </c>
      <c r="L90" s="3">
        <f>เมย!L90+พค!L90+มิย!L90+กค!L90+สค!L90+กย!L90</f>
        <v>0</v>
      </c>
      <c r="M90" s="5">
        <f t="shared" si="10"/>
        <v>0</v>
      </c>
      <c r="N90" s="28" t="e">
        <f t="shared" si="11"/>
        <v>#DIV/0!</v>
      </c>
      <c r="O90" s="3">
        <f>เมย!O90+พค!O90+มิย!O90+กค!O90+สค!O90+กย!O90</f>
        <v>0</v>
      </c>
      <c r="P90" s="3">
        <f>เมย!P90+พค!P90+มิย!P90+กค!P90+สค!P90+กย!P90</f>
        <v>0</v>
      </c>
      <c r="Q90" s="3">
        <f>เมย!Q90+พค!Q90+มิย!Q90+กค!Q90+สค!Q90+กย!Q90</f>
        <v>0</v>
      </c>
      <c r="R90" s="3">
        <f>เมย!R90+พค!R90+มิย!R90+กค!R90+สค!R90+กย!R90</f>
        <v>0</v>
      </c>
      <c r="S90" s="3">
        <f>เมย!S90+พค!S90+มิย!S90+กค!S90+สค!S90+กย!S90</f>
        <v>0</v>
      </c>
      <c r="T90" s="37">
        <f t="shared" si="13"/>
        <v>0</v>
      </c>
      <c r="U90" s="28" t="e">
        <f t="shared" si="12"/>
        <v>#DIV/0!</v>
      </c>
      <c r="V90" s="59">
        <f t="shared" si="8"/>
        <v>0</v>
      </c>
    </row>
    <row r="91" spans="1:22" ht="22.5" customHeight="1">
      <c r="A91" s="87">
        <v>28</v>
      </c>
      <c r="B91" s="7" t="s">
        <v>12</v>
      </c>
      <c r="C91" s="3">
        <f>เมย!C91+พค!C91+มิย!C91+กค!C91+สค!C91+กย!C91</f>
        <v>0</v>
      </c>
      <c r="D91" s="3">
        <f>เมย!D91+พค!D91+มิย!D91+กค!D91+สค!D91+กย!D91</f>
        <v>0</v>
      </c>
      <c r="E91" s="4">
        <f t="shared" si="9"/>
        <v>0</v>
      </c>
      <c r="F91" s="3">
        <f>เมย!F91+พค!F91+มิย!F91+กค!F91+สค!F91+กย!F91</f>
        <v>0</v>
      </c>
      <c r="G91" s="3">
        <f>เมย!G91+พค!G91+มิย!G91+กค!G91+สค!G91+กย!G91</f>
        <v>0</v>
      </c>
      <c r="H91" s="3">
        <f>เมย!H91+พค!H91+มิย!H91+กค!H91+สค!H91+กย!H91</f>
        <v>0</v>
      </c>
      <c r="I91" s="3">
        <f>เมย!I91+พค!I91+มิย!I91+กค!I91+สค!I91+กย!I91</f>
        <v>0</v>
      </c>
      <c r="J91" s="3">
        <f>เมย!J91+พค!J91+มิย!J91+กค!J91+สค!J91+กย!J91</f>
        <v>0</v>
      </c>
      <c r="K91" s="3">
        <f>เมย!K91+พค!K91+มิย!K91+กค!K91+สค!K91+กย!K91</f>
        <v>0</v>
      </c>
      <c r="L91" s="3">
        <f>เมย!L91+พค!L91+มิย!L91+กค!L91+สค!L91+กย!L91</f>
        <v>0</v>
      </c>
      <c r="M91" s="5">
        <f t="shared" si="10"/>
        <v>0</v>
      </c>
      <c r="N91" s="28" t="e">
        <f t="shared" si="11"/>
        <v>#DIV/0!</v>
      </c>
      <c r="O91" s="3">
        <f>เมย!O91+พค!O91+มิย!O91+กค!O91+สค!O91+กย!O91</f>
        <v>0</v>
      </c>
      <c r="P91" s="3">
        <f>เมย!P91+พค!P91+มิย!P91+กค!P91+สค!P91+กย!P91</f>
        <v>0</v>
      </c>
      <c r="Q91" s="3">
        <f>เมย!Q91+พค!Q91+มิย!Q91+กค!Q91+สค!Q91+กย!Q91</f>
        <v>0</v>
      </c>
      <c r="R91" s="3">
        <f>เมย!R91+พค!R91+มิย!R91+กค!R91+สค!R91+กย!R91</f>
        <v>0</v>
      </c>
      <c r="S91" s="3">
        <f>เมย!S91+พค!S91+มิย!S91+กค!S91+สค!S91+กย!S91</f>
        <v>0</v>
      </c>
      <c r="T91" s="37">
        <f t="shared" si="13"/>
        <v>0</v>
      </c>
      <c r="U91" s="28" t="e">
        <f t="shared" si="12"/>
        <v>#DIV/0!</v>
      </c>
      <c r="V91" s="59">
        <f t="shared" si="8"/>
        <v>0</v>
      </c>
    </row>
    <row r="92" spans="1:22" ht="22.5" customHeight="1">
      <c r="A92" s="87"/>
      <c r="B92" s="7" t="s">
        <v>13</v>
      </c>
      <c r="C92" s="3">
        <f>เมย!C92+พค!C92+มิย!C92+กค!C92+สค!C92+กย!C92</f>
        <v>0</v>
      </c>
      <c r="D92" s="3">
        <f>เมย!D92+พค!D92+มิย!D92+กค!D92+สค!D92+กย!D92</f>
        <v>0</v>
      </c>
      <c r="E92" s="4">
        <f t="shared" si="9"/>
        <v>0</v>
      </c>
      <c r="F92" s="3">
        <f>เมย!F92+พค!F92+มิย!F92+กค!F92+สค!F92+กย!F92</f>
        <v>0</v>
      </c>
      <c r="G92" s="3">
        <f>เมย!G92+พค!G92+มิย!G92+กค!G92+สค!G92+กย!G92</f>
        <v>0</v>
      </c>
      <c r="H92" s="3">
        <f>เมย!H92+พค!H92+มิย!H92+กค!H92+สค!H92+กย!H92</f>
        <v>0</v>
      </c>
      <c r="I92" s="3">
        <f>เมย!I92+พค!I92+มิย!I92+กค!I92+สค!I92+กย!I92</f>
        <v>0</v>
      </c>
      <c r="J92" s="3">
        <f>เมย!J92+พค!J92+มิย!J92+กค!J92+สค!J92+กย!J92</f>
        <v>0</v>
      </c>
      <c r="K92" s="3">
        <f>เมย!K92+พค!K92+มิย!K92+กค!K92+สค!K92+กย!K92</f>
        <v>0</v>
      </c>
      <c r="L92" s="3">
        <f>เมย!L92+พค!L92+มิย!L92+กค!L92+สค!L92+กย!L92</f>
        <v>0</v>
      </c>
      <c r="M92" s="5">
        <f t="shared" si="10"/>
        <v>0</v>
      </c>
      <c r="N92" s="28" t="e">
        <f t="shared" si="11"/>
        <v>#DIV/0!</v>
      </c>
      <c r="O92" s="3">
        <f>เมย!O92+พค!O92+มิย!O92+กค!O92+สค!O92+กย!O92</f>
        <v>0</v>
      </c>
      <c r="P92" s="3">
        <f>เมย!P92+พค!P92+มิย!P92+กค!P92+สค!P92+กย!P92</f>
        <v>0</v>
      </c>
      <c r="Q92" s="3">
        <f>เมย!Q92+พค!Q92+มิย!Q92+กค!Q92+สค!Q92+กย!Q92</f>
        <v>0</v>
      </c>
      <c r="R92" s="3">
        <f>เมย!R92+พค!R92+มิย!R92+กค!R92+สค!R92+กย!R92</f>
        <v>0</v>
      </c>
      <c r="S92" s="3">
        <f>เมย!S92+พค!S92+มิย!S92+กค!S92+สค!S92+กย!S92</f>
        <v>0</v>
      </c>
      <c r="T92" s="37">
        <f t="shared" si="13"/>
        <v>0</v>
      </c>
      <c r="U92" s="28" t="e">
        <f t="shared" si="12"/>
        <v>#DIV/0!</v>
      </c>
      <c r="V92" s="59">
        <f t="shared" si="8"/>
        <v>0</v>
      </c>
    </row>
    <row r="93" spans="1:22" ht="22.5" customHeight="1">
      <c r="A93" s="87"/>
      <c r="B93" s="7" t="s">
        <v>14</v>
      </c>
      <c r="C93" s="3">
        <f>เมย!C93+พค!C93+มิย!C93+กค!C93+สค!C93+กย!C93</f>
        <v>0</v>
      </c>
      <c r="D93" s="3">
        <f>เมย!D93+พค!D93+มิย!D93+กค!D93+สค!D93+กย!D93</f>
        <v>0</v>
      </c>
      <c r="E93" s="4">
        <f t="shared" si="9"/>
        <v>0</v>
      </c>
      <c r="F93" s="3">
        <f>เมย!F93+พค!F93+มิย!F93+กค!F93+สค!F93+กย!F93</f>
        <v>0</v>
      </c>
      <c r="G93" s="3">
        <f>เมย!G93+พค!G93+มิย!G93+กค!G93+สค!G93+กย!G93</f>
        <v>0</v>
      </c>
      <c r="H93" s="3">
        <f>เมย!H93+พค!H93+มิย!H93+กค!H93+สค!H93+กย!H93</f>
        <v>0</v>
      </c>
      <c r="I93" s="3">
        <f>เมย!I93+พค!I93+มิย!I93+กค!I93+สค!I93+กย!I93</f>
        <v>0</v>
      </c>
      <c r="J93" s="3">
        <f>เมย!J93+พค!J93+มิย!J93+กค!J93+สค!J93+กย!J93</f>
        <v>0</v>
      </c>
      <c r="K93" s="3">
        <f>เมย!K93+พค!K93+มิย!K93+กค!K93+สค!K93+กย!K93</f>
        <v>0</v>
      </c>
      <c r="L93" s="3">
        <f>เมย!L93+พค!L93+มิย!L93+กค!L93+สค!L93+กย!L93</f>
        <v>0</v>
      </c>
      <c r="M93" s="5">
        <f t="shared" si="10"/>
        <v>0</v>
      </c>
      <c r="N93" s="28" t="e">
        <f t="shared" si="11"/>
        <v>#DIV/0!</v>
      </c>
      <c r="O93" s="3">
        <f>เมย!O93+พค!O93+มิย!O93+กค!O93+สค!O93+กย!O93</f>
        <v>0</v>
      </c>
      <c r="P93" s="3">
        <f>เมย!P93+พค!P93+มิย!P93+กค!P93+สค!P93+กย!P93</f>
        <v>0</v>
      </c>
      <c r="Q93" s="3">
        <f>เมย!Q93+พค!Q93+มิย!Q93+กค!Q93+สค!Q93+กย!Q93</f>
        <v>0</v>
      </c>
      <c r="R93" s="3">
        <f>เมย!R93+พค!R93+มิย!R93+กค!R93+สค!R93+กย!R93</f>
        <v>0</v>
      </c>
      <c r="S93" s="3">
        <f>เมย!S93+พค!S93+มิย!S93+กค!S93+สค!S93+กย!S93</f>
        <v>0</v>
      </c>
      <c r="T93" s="37">
        <f t="shared" si="13"/>
        <v>0</v>
      </c>
      <c r="U93" s="28" t="e">
        <f t="shared" si="12"/>
        <v>#DIV/0!</v>
      </c>
      <c r="V93" s="59">
        <f t="shared" si="8"/>
        <v>0</v>
      </c>
    </row>
    <row r="94" spans="1:22" ht="22.5" customHeight="1">
      <c r="A94" s="87">
        <v>29</v>
      </c>
      <c r="B94" s="7" t="s">
        <v>12</v>
      </c>
      <c r="C94" s="3">
        <f>เมย!C94+พค!C94+มิย!C94+กค!C94+สค!C94+กย!C94</f>
        <v>0</v>
      </c>
      <c r="D94" s="3">
        <f>เมย!D94+พค!D94+มิย!D94+กค!D94+สค!D94+กย!D94</f>
        <v>0</v>
      </c>
      <c r="E94" s="4">
        <f t="shared" si="9"/>
        <v>0</v>
      </c>
      <c r="F94" s="3">
        <f>เมย!F94+พค!F94+มิย!F94+กค!F94+สค!F94+กย!F94</f>
        <v>0</v>
      </c>
      <c r="G94" s="3">
        <f>เมย!G94+พค!G94+มิย!G94+กค!G94+สค!G94+กย!G94</f>
        <v>0</v>
      </c>
      <c r="H94" s="3">
        <f>เมย!H94+พค!H94+มิย!H94+กค!H94+สค!H94+กย!H94</f>
        <v>0</v>
      </c>
      <c r="I94" s="3">
        <f>เมย!I94+พค!I94+มิย!I94+กค!I94+สค!I94+กย!I94</f>
        <v>0</v>
      </c>
      <c r="J94" s="3">
        <f>เมย!J94+พค!J94+มิย!J94+กค!J94+สค!J94+กย!J94</f>
        <v>0</v>
      </c>
      <c r="K94" s="3">
        <f>เมย!K94+พค!K94+มิย!K94+กค!K94+สค!K94+กย!K94</f>
        <v>0</v>
      </c>
      <c r="L94" s="3">
        <f>เมย!L94+พค!L94+มิย!L94+กค!L94+สค!L94+กย!L94</f>
        <v>0</v>
      </c>
      <c r="M94" s="5">
        <f t="shared" si="10"/>
        <v>0</v>
      </c>
      <c r="N94" s="28" t="e">
        <f t="shared" si="11"/>
        <v>#DIV/0!</v>
      </c>
      <c r="O94" s="3">
        <f>เมย!O94+พค!O94+มิย!O94+กค!O94+สค!O94+กย!O94</f>
        <v>0</v>
      </c>
      <c r="P94" s="3">
        <f>เมย!P94+พค!P94+มิย!P94+กค!P94+สค!P94+กย!P94</f>
        <v>0</v>
      </c>
      <c r="Q94" s="3">
        <f>เมย!Q94+พค!Q94+มิย!Q94+กค!Q94+สค!Q94+กย!Q94</f>
        <v>0</v>
      </c>
      <c r="R94" s="3">
        <f>เมย!R94+พค!R94+มิย!R94+กค!R94+สค!R94+กย!R94</f>
        <v>0</v>
      </c>
      <c r="S94" s="3">
        <f>เมย!S94+พค!S94+มิย!S94+กค!S94+สค!S94+กย!S94</f>
        <v>0</v>
      </c>
      <c r="T94" s="37">
        <f t="shared" si="13"/>
        <v>0</v>
      </c>
      <c r="U94" s="28" t="e">
        <f t="shared" si="12"/>
        <v>#DIV/0!</v>
      </c>
      <c r="V94" s="59">
        <f t="shared" si="8"/>
        <v>0</v>
      </c>
    </row>
    <row r="95" spans="1:22" ht="22.5" customHeight="1">
      <c r="A95" s="87"/>
      <c r="B95" s="7" t="s">
        <v>13</v>
      </c>
      <c r="C95" s="3">
        <f>เมย!C95+พค!C95+มิย!C95+กค!C95+สค!C95+กย!C95</f>
        <v>0</v>
      </c>
      <c r="D95" s="3">
        <f>เมย!D95+พค!D95+มิย!D95+กค!D95+สค!D95+กย!D95</f>
        <v>0</v>
      </c>
      <c r="E95" s="4">
        <f t="shared" si="9"/>
        <v>0</v>
      </c>
      <c r="F95" s="3">
        <f>เมย!F95+พค!F95+มิย!F95+กค!F95+สค!F95+กย!F95</f>
        <v>0</v>
      </c>
      <c r="G95" s="3">
        <f>เมย!G95+พค!G95+มิย!G95+กค!G95+สค!G95+กย!G95</f>
        <v>0</v>
      </c>
      <c r="H95" s="3">
        <f>เมย!H95+พค!H95+มิย!H95+กค!H95+สค!H95+กย!H95</f>
        <v>0</v>
      </c>
      <c r="I95" s="3">
        <f>เมย!I95+พค!I95+มิย!I95+กค!I95+สค!I95+กย!I95</f>
        <v>0</v>
      </c>
      <c r="J95" s="3">
        <f>เมย!J95+พค!J95+มิย!J95+กค!J95+สค!J95+กย!J95</f>
        <v>0</v>
      </c>
      <c r="K95" s="3">
        <f>เมย!K95+พค!K95+มิย!K95+กค!K95+สค!K95+กย!K95</f>
        <v>0</v>
      </c>
      <c r="L95" s="3">
        <f>เมย!L95+พค!L95+มิย!L95+กค!L95+สค!L95+กย!L95</f>
        <v>0</v>
      </c>
      <c r="M95" s="5">
        <f t="shared" si="10"/>
        <v>0</v>
      </c>
      <c r="N95" s="28" t="e">
        <f t="shared" si="11"/>
        <v>#DIV/0!</v>
      </c>
      <c r="O95" s="3">
        <f>เมย!O95+พค!O95+มิย!O95+กค!O95+สค!O95+กย!O95</f>
        <v>0</v>
      </c>
      <c r="P95" s="3">
        <f>เมย!P95+พค!P95+มิย!P95+กค!P95+สค!P95+กย!P95</f>
        <v>0</v>
      </c>
      <c r="Q95" s="3">
        <f>เมย!Q95+พค!Q95+มิย!Q95+กค!Q95+สค!Q95+กย!Q95</f>
        <v>0</v>
      </c>
      <c r="R95" s="3">
        <f>เมย!R95+พค!R95+มิย!R95+กค!R95+สค!R95+กย!R95</f>
        <v>0</v>
      </c>
      <c r="S95" s="3">
        <f>เมย!S95+พค!S95+มิย!S95+กค!S95+สค!S95+กย!S95</f>
        <v>0</v>
      </c>
      <c r="T95" s="37">
        <f t="shared" si="13"/>
        <v>0</v>
      </c>
      <c r="U95" s="28" t="e">
        <f t="shared" si="12"/>
        <v>#DIV/0!</v>
      </c>
      <c r="V95" s="59">
        <f t="shared" si="8"/>
        <v>0</v>
      </c>
    </row>
    <row r="96" spans="1:22" ht="22.5" customHeight="1">
      <c r="A96" s="87"/>
      <c r="B96" s="7" t="s">
        <v>14</v>
      </c>
      <c r="C96" s="3">
        <f>เมย!C96+พค!C96+มิย!C96+กค!C96+สค!C96+กย!C96</f>
        <v>0</v>
      </c>
      <c r="D96" s="3">
        <f>เมย!D96+พค!D96+มิย!D96+กค!D96+สค!D96+กย!D96</f>
        <v>0</v>
      </c>
      <c r="E96" s="4">
        <f t="shared" si="9"/>
        <v>0</v>
      </c>
      <c r="F96" s="3">
        <f>เมย!F96+พค!F96+มิย!F96+กค!F96+สค!F96+กย!F96</f>
        <v>0</v>
      </c>
      <c r="G96" s="3">
        <f>เมย!G96+พค!G96+มิย!G96+กค!G96+สค!G96+กย!G96</f>
        <v>0</v>
      </c>
      <c r="H96" s="3">
        <f>เมย!H96+พค!H96+มิย!H96+กค!H96+สค!H96+กย!H96</f>
        <v>0</v>
      </c>
      <c r="I96" s="3">
        <f>เมย!I96+พค!I96+มิย!I96+กค!I96+สค!I96+กย!I96</f>
        <v>0</v>
      </c>
      <c r="J96" s="3">
        <f>เมย!J96+พค!J96+มิย!J96+กค!J96+สค!J96+กย!J96</f>
        <v>0</v>
      </c>
      <c r="K96" s="3">
        <f>เมย!K96+พค!K96+มิย!K96+กค!K96+สค!K96+กย!K96</f>
        <v>0</v>
      </c>
      <c r="L96" s="3">
        <f>เมย!L96+พค!L96+มิย!L96+กค!L96+สค!L96+กย!L96</f>
        <v>0</v>
      </c>
      <c r="M96" s="5">
        <f t="shared" si="10"/>
        <v>0</v>
      </c>
      <c r="N96" s="28" t="e">
        <f t="shared" si="11"/>
        <v>#DIV/0!</v>
      </c>
      <c r="O96" s="3">
        <f>เมย!O96+พค!O96+มิย!O96+กค!O96+สค!O96+กย!O96</f>
        <v>0</v>
      </c>
      <c r="P96" s="3">
        <f>เมย!P96+พค!P96+มิย!P96+กค!P96+สค!P96+กย!P96</f>
        <v>0</v>
      </c>
      <c r="Q96" s="3">
        <f>เมย!Q96+พค!Q96+มิย!Q96+กค!Q96+สค!Q96+กย!Q96</f>
        <v>0</v>
      </c>
      <c r="R96" s="3">
        <f>เมย!R96+พค!R96+มิย!R96+กค!R96+สค!R96+กย!R96</f>
        <v>0</v>
      </c>
      <c r="S96" s="3">
        <f>เมย!S96+พค!S96+มิย!S96+กค!S96+สค!S96+กย!S96</f>
        <v>0</v>
      </c>
      <c r="T96" s="37">
        <f t="shared" si="13"/>
        <v>0</v>
      </c>
      <c r="U96" s="28" t="e">
        <f t="shared" si="12"/>
        <v>#DIV/0!</v>
      </c>
      <c r="V96" s="59">
        <f t="shared" si="8"/>
        <v>0</v>
      </c>
    </row>
    <row r="97" spans="1:22" ht="22.5" customHeight="1">
      <c r="A97" s="87">
        <v>30</v>
      </c>
      <c r="B97" s="7" t="s">
        <v>12</v>
      </c>
      <c r="C97" s="3">
        <f>เมย!C97+พค!C97+มิย!C97+กค!C97+สค!C97+กย!C97</f>
        <v>0</v>
      </c>
      <c r="D97" s="3">
        <f>เมย!D97+พค!D97+มิย!D97+กค!D97+สค!D97+กย!D97</f>
        <v>0</v>
      </c>
      <c r="E97" s="4">
        <f t="shared" si="9"/>
        <v>0</v>
      </c>
      <c r="F97" s="3">
        <f>เมย!F97+พค!F97+มิย!F97+กค!F97+สค!F97+กย!F97</f>
        <v>0</v>
      </c>
      <c r="G97" s="3">
        <f>เมย!G97+พค!G97+มิย!G97+กค!G97+สค!G97+กย!G97</f>
        <v>0</v>
      </c>
      <c r="H97" s="3">
        <f>เมย!H97+พค!H97+มิย!H97+กค!H97+สค!H97+กย!H97</f>
        <v>0</v>
      </c>
      <c r="I97" s="3">
        <f>เมย!I97+พค!I97+มิย!I97+กค!I97+สค!I97+กย!I97</f>
        <v>0</v>
      </c>
      <c r="J97" s="3">
        <f>เมย!J97+พค!J97+มิย!J97+กค!J97+สค!J97+กย!J97</f>
        <v>0</v>
      </c>
      <c r="K97" s="3">
        <f>เมย!K97+พค!K97+มิย!K97+กค!K97+สค!K97+กย!K97</f>
        <v>0</v>
      </c>
      <c r="L97" s="3">
        <f>เมย!L97+พค!L97+มิย!L97+กค!L97+สค!L97+กย!L97</f>
        <v>0</v>
      </c>
      <c r="M97" s="5">
        <f t="shared" si="10"/>
        <v>0</v>
      </c>
      <c r="N97" s="28" t="e">
        <f t="shared" si="11"/>
        <v>#DIV/0!</v>
      </c>
      <c r="O97" s="3">
        <f>เมย!O97+พค!O97+มิย!O97+กค!O97+สค!O97+กย!O97</f>
        <v>0</v>
      </c>
      <c r="P97" s="3">
        <f>เมย!P97+พค!P97+มิย!P97+กค!P97+สค!P97+กย!P97</f>
        <v>0</v>
      </c>
      <c r="Q97" s="3">
        <f>เมย!Q97+พค!Q97+มิย!Q97+กค!Q97+สค!Q97+กย!Q97</f>
        <v>0</v>
      </c>
      <c r="R97" s="3">
        <f>เมย!R97+พค!R97+มิย!R97+กค!R97+สค!R97+กย!R97</f>
        <v>0</v>
      </c>
      <c r="S97" s="3">
        <f>เมย!S97+พค!S97+มิย!S97+กค!S97+สค!S97+กย!S97</f>
        <v>0</v>
      </c>
      <c r="T97" s="37">
        <f t="shared" si="13"/>
        <v>0</v>
      </c>
      <c r="U97" s="28" t="e">
        <f t="shared" si="12"/>
        <v>#DIV/0!</v>
      </c>
      <c r="V97" s="59">
        <f t="shared" si="8"/>
        <v>0</v>
      </c>
    </row>
    <row r="98" spans="1:22" ht="22.5" customHeight="1">
      <c r="A98" s="87"/>
      <c r="B98" s="7" t="s">
        <v>13</v>
      </c>
      <c r="C98" s="3">
        <f>เมย!C98+พค!C98+มิย!C98+กค!C98+สค!C98+กย!C98</f>
        <v>0</v>
      </c>
      <c r="D98" s="3">
        <f>เมย!D98+พค!D98+มิย!D98+กค!D98+สค!D98+กย!D98</f>
        <v>0</v>
      </c>
      <c r="E98" s="4">
        <f t="shared" si="9"/>
        <v>0</v>
      </c>
      <c r="F98" s="3">
        <f>เมย!F98+พค!F98+มิย!F98+กค!F98+สค!F98+กย!F98</f>
        <v>0</v>
      </c>
      <c r="G98" s="3">
        <f>เมย!G98+พค!G98+มิย!G98+กค!G98+สค!G98+กย!G98</f>
        <v>0</v>
      </c>
      <c r="H98" s="3">
        <f>เมย!H98+พค!H98+มิย!H98+กค!H98+สค!H98+กย!H98</f>
        <v>0</v>
      </c>
      <c r="I98" s="3">
        <f>เมย!I98+พค!I98+มิย!I98+กค!I98+สค!I98+กย!I98</f>
        <v>0</v>
      </c>
      <c r="J98" s="3">
        <f>เมย!J98+พค!J98+มิย!J98+กค!J98+สค!J98+กย!J98</f>
        <v>0</v>
      </c>
      <c r="K98" s="3">
        <f>เมย!K98+พค!K98+มิย!K98+กค!K98+สค!K98+กย!K98</f>
        <v>0</v>
      </c>
      <c r="L98" s="3">
        <f>เมย!L98+พค!L98+มิย!L98+กค!L98+สค!L98+กย!L98</f>
        <v>0</v>
      </c>
      <c r="M98" s="5">
        <f t="shared" si="10"/>
        <v>0</v>
      </c>
      <c r="N98" s="28" t="e">
        <f t="shared" si="11"/>
        <v>#DIV/0!</v>
      </c>
      <c r="O98" s="3">
        <f>เมย!O98+พค!O98+มิย!O98+กค!O98+สค!O98+กย!O98</f>
        <v>0</v>
      </c>
      <c r="P98" s="3">
        <f>เมย!P98+พค!P98+มิย!P98+กค!P98+สค!P98+กย!P98</f>
        <v>0</v>
      </c>
      <c r="Q98" s="3">
        <f>เมย!Q98+พค!Q98+มิย!Q98+กค!Q98+สค!Q98+กย!Q98</f>
        <v>0</v>
      </c>
      <c r="R98" s="3">
        <f>เมย!R98+พค!R98+มิย!R98+กค!R98+สค!R98+กย!R98</f>
        <v>0</v>
      </c>
      <c r="S98" s="3">
        <f>เมย!S98+พค!S98+มิย!S98+กค!S98+สค!S98+กย!S98</f>
        <v>0</v>
      </c>
      <c r="T98" s="37">
        <f t="shared" si="13"/>
        <v>0</v>
      </c>
      <c r="U98" s="28" t="e">
        <f t="shared" si="12"/>
        <v>#DIV/0!</v>
      </c>
      <c r="V98" s="59">
        <f t="shared" si="8"/>
        <v>0</v>
      </c>
    </row>
    <row r="99" spans="1:22" ht="22.5" customHeight="1">
      <c r="A99" s="87"/>
      <c r="B99" s="7" t="s">
        <v>14</v>
      </c>
      <c r="C99" s="3">
        <f>เมย!C99+พค!C99+มิย!C99+กค!C99+สค!C99+กย!C99</f>
        <v>0</v>
      </c>
      <c r="D99" s="3">
        <f>เมย!D99+พค!D99+มิย!D99+กค!D99+สค!D99+กย!D99</f>
        <v>0</v>
      </c>
      <c r="E99" s="4">
        <f t="shared" si="9"/>
        <v>0</v>
      </c>
      <c r="F99" s="3">
        <f>เมย!F99+พค!F99+มิย!F99+กค!F99+สค!F99+กย!F99</f>
        <v>0</v>
      </c>
      <c r="G99" s="3">
        <f>เมย!G99+พค!G99+มิย!G99+กค!G99+สค!G99+กย!G99</f>
        <v>0</v>
      </c>
      <c r="H99" s="3">
        <f>เมย!H99+พค!H99+มิย!H99+กค!H99+สค!H99+กย!H99</f>
        <v>0</v>
      </c>
      <c r="I99" s="3">
        <f>เมย!I99+พค!I99+มิย!I99+กค!I99+สค!I99+กย!I99</f>
        <v>0</v>
      </c>
      <c r="J99" s="3">
        <f>เมย!J99+พค!J99+มิย!J99+กค!J99+สค!J99+กย!J99</f>
        <v>0</v>
      </c>
      <c r="K99" s="3">
        <f>เมย!K99+พค!K99+มิย!K99+กค!K99+สค!K99+กย!K99</f>
        <v>0</v>
      </c>
      <c r="L99" s="3">
        <f>เมย!L99+พค!L99+มิย!L99+กค!L99+สค!L99+กย!L99</f>
        <v>0</v>
      </c>
      <c r="M99" s="5">
        <f t="shared" si="10"/>
        <v>0</v>
      </c>
      <c r="N99" s="28" t="e">
        <f t="shared" si="11"/>
        <v>#DIV/0!</v>
      </c>
      <c r="O99" s="3">
        <f>เมย!O99+พค!O99+มิย!O99+กค!O99+สค!O99+กย!O99</f>
        <v>0</v>
      </c>
      <c r="P99" s="3">
        <f>เมย!P99+พค!P99+มิย!P99+กค!P99+สค!P99+กย!P99</f>
        <v>0</v>
      </c>
      <c r="Q99" s="3">
        <f>เมย!Q99+พค!Q99+มิย!Q99+กค!Q99+สค!Q99+กย!Q99</f>
        <v>0</v>
      </c>
      <c r="R99" s="3">
        <f>เมย!R99+พค!R99+มิย!R99+กค!R99+สค!R99+กย!R99</f>
        <v>0</v>
      </c>
      <c r="S99" s="3">
        <f>เมย!S99+พค!S99+มิย!S99+กค!S99+สค!S99+กย!S99</f>
        <v>0</v>
      </c>
      <c r="T99" s="37">
        <f t="shared" si="13"/>
        <v>0</v>
      </c>
      <c r="U99" s="28" t="e">
        <f t="shared" si="12"/>
        <v>#DIV/0!</v>
      </c>
      <c r="V99" s="59">
        <f t="shared" si="8"/>
        <v>0</v>
      </c>
    </row>
    <row r="100" spans="1:22" ht="22.5" customHeight="1">
      <c r="A100" s="87">
        <v>31</v>
      </c>
      <c r="B100" s="7" t="s">
        <v>12</v>
      </c>
      <c r="C100" s="3">
        <f>เมย!C100+พค!C100+มิย!C100+กค!C100+สค!C100+กย!C100</f>
        <v>0</v>
      </c>
      <c r="D100" s="3">
        <f>เมย!D100+พค!D100+มิย!D100+กค!D100+สค!D100+กย!D100</f>
        <v>0</v>
      </c>
      <c r="E100" s="4">
        <f t="shared" si="9"/>
        <v>0</v>
      </c>
      <c r="F100" s="3">
        <f>เมย!F100+พค!F100+มิย!F100+กค!F100+สค!F100+กย!F100</f>
        <v>0</v>
      </c>
      <c r="G100" s="3">
        <f>เมย!G100+พค!G100+มิย!G100+กค!G100+สค!G100+กย!G100</f>
        <v>0</v>
      </c>
      <c r="H100" s="3">
        <f>เมย!H100+พค!H100+มิย!H100+กค!H100+สค!H100+กย!H100</f>
        <v>0</v>
      </c>
      <c r="I100" s="3">
        <f>เมย!I100+พค!I100+มิย!I100+กค!I100+สค!I100+กย!I100</f>
        <v>0</v>
      </c>
      <c r="J100" s="3">
        <f>เมย!J100+พค!J100+มิย!J100+กค!J100+สค!J100+กย!J100</f>
        <v>0</v>
      </c>
      <c r="K100" s="3">
        <f>เมย!K100+พค!K100+มิย!K100+กค!K100+สค!K100+กย!K100</f>
        <v>0</v>
      </c>
      <c r="L100" s="3">
        <f>เมย!L100+พค!L100+มิย!L100+กค!L100+สค!L100+กย!L100</f>
        <v>0</v>
      </c>
      <c r="M100" s="5">
        <f t="shared" si="10"/>
        <v>0</v>
      </c>
      <c r="N100" s="28" t="e">
        <f t="shared" si="11"/>
        <v>#DIV/0!</v>
      </c>
      <c r="O100" s="3">
        <f>เมย!O100+พค!O100+มิย!O100+กค!O100+สค!O100+กย!O100</f>
        <v>0</v>
      </c>
      <c r="P100" s="3">
        <f>เมย!P100+พค!P100+มิย!P100+กค!P100+สค!P100+กย!P100</f>
        <v>0</v>
      </c>
      <c r="Q100" s="3">
        <f>เมย!Q100+พค!Q100+มิย!Q100+กค!Q100+สค!Q100+กย!Q100</f>
        <v>0</v>
      </c>
      <c r="R100" s="3">
        <f>เมย!R100+พค!R100+มิย!R100+กค!R100+สค!R100+กย!R100</f>
        <v>0</v>
      </c>
      <c r="S100" s="3">
        <f>เมย!S100+พค!S100+มิย!S100+กค!S100+สค!S100+กย!S100</f>
        <v>0</v>
      </c>
      <c r="T100" s="37">
        <f t="shared" si="13"/>
        <v>0</v>
      </c>
      <c r="U100" s="28" t="e">
        <f t="shared" si="12"/>
        <v>#DIV/0!</v>
      </c>
      <c r="V100" s="59">
        <f t="shared" si="8"/>
        <v>0</v>
      </c>
    </row>
    <row r="101" spans="1:22" ht="22.5" customHeight="1">
      <c r="A101" s="87"/>
      <c r="B101" s="7" t="s">
        <v>13</v>
      </c>
      <c r="C101" s="3">
        <f>เมย!C101+พค!C101+มิย!C101+กค!C101+สค!C101+กย!C101</f>
        <v>0</v>
      </c>
      <c r="D101" s="3">
        <f>เมย!D101+พค!D101+มิย!D101+กค!D101+สค!D101+กย!D101</f>
        <v>0</v>
      </c>
      <c r="E101" s="4">
        <f t="shared" si="9"/>
        <v>0</v>
      </c>
      <c r="F101" s="3">
        <f>เมย!F101+พค!F101+มิย!F101+กค!F101+สค!F101+กย!F101</f>
        <v>0</v>
      </c>
      <c r="G101" s="3">
        <f>เมย!G101+พค!G101+มิย!G101+กค!G101+สค!G101+กย!G101</f>
        <v>0</v>
      </c>
      <c r="H101" s="3">
        <f>เมย!H101+พค!H101+มิย!H101+กค!H101+สค!H101+กย!H101</f>
        <v>0</v>
      </c>
      <c r="I101" s="3">
        <f>เมย!I101+พค!I101+มิย!I101+กค!I101+สค!I101+กย!I101</f>
        <v>0</v>
      </c>
      <c r="J101" s="3">
        <f>เมย!J101+พค!J101+มิย!J101+กค!J101+สค!J101+กย!J101</f>
        <v>0</v>
      </c>
      <c r="K101" s="3">
        <f>เมย!K101+พค!K101+มิย!K101+กค!K101+สค!K101+กย!K101</f>
        <v>0</v>
      </c>
      <c r="L101" s="3">
        <f>เมย!L101+พค!L101+มิย!L101+กค!L101+สค!L101+กย!L101</f>
        <v>0</v>
      </c>
      <c r="M101" s="5">
        <f t="shared" si="10"/>
        <v>0</v>
      </c>
      <c r="N101" s="28" t="e">
        <f t="shared" si="11"/>
        <v>#DIV/0!</v>
      </c>
      <c r="O101" s="3">
        <f>เมย!O101+พค!O101+มิย!O101+กค!O101+สค!O101+กย!O101</f>
        <v>0</v>
      </c>
      <c r="P101" s="3">
        <f>เมย!P101+พค!P101+มิย!P101+กค!P101+สค!P101+กย!P101</f>
        <v>0</v>
      </c>
      <c r="Q101" s="3">
        <f>เมย!Q101+พค!Q101+มิย!Q101+กค!Q101+สค!Q101+กย!Q101</f>
        <v>0</v>
      </c>
      <c r="R101" s="3">
        <f>เมย!R101+พค!R101+มิย!R101+กค!R101+สค!R101+กย!R101</f>
        <v>0</v>
      </c>
      <c r="S101" s="3">
        <f>เมย!S101+พค!S101+มิย!S101+กค!S101+สค!S101+กย!S101</f>
        <v>0</v>
      </c>
      <c r="T101" s="37">
        <f t="shared" si="13"/>
        <v>0</v>
      </c>
      <c r="U101" s="28" t="e">
        <f t="shared" si="12"/>
        <v>#DIV/0!</v>
      </c>
      <c r="V101" s="59">
        <f t="shared" si="8"/>
        <v>0</v>
      </c>
    </row>
    <row r="102" spans="1:22" ht="22.5" customHeight="1">
      <c r="A102" s="87"/>
      <c r="B102" s="7" t="s">
        <v>14</v>
      </c>
      <c r="C102" s="3">
        <f>เมย!C102+พค!C102+มิย!C102+กค!C102+สค!C102+กย!C102</f>
        <v>0</v>
      </c>
      <c r="D102" s="3">
        <f>เมย!D102+พค!D102+มิย!D102+กค!D102+สค!D102+กย!D102</f>
        <v>0</v>
      </c>
      <c r="E102" s="4">
        <f t="shared" si="9"/>
        <v>0</v>
      </c>
      <c r="F102" s="3">
        <f>เมย!F102+พค!F102+มิย!F102+กค!F102+สค!F102+กย!F102</f>
        <v>0</v>
      </c>
      <c r="G102" s="3">
        <f>เมย!G102+พค!G102+มิย!G102+กค!G102+สค!G102+กย!G102</f>
        <v>0</v>
      </c>
      <c r="H102" s="3">
        <f>เมย!H102+พค!H102+มิย!H102+กค!H102+สค!H102+กย!H102</f>
        <v>0</v>
      </c>
      <c r="I102" s="3">
        <f>เมย!I102+พค!I102+มิย!I102+กค!I102+สค!I102+กย!I102</f>
        <v>0</v>
      </c>
      <c r="J102" s="3">
        <f>เมย!J102+พค!J102+มิย!J102+กค!J102+สค!J102+กย!J102</f>
        <v>0</v>
      </c>
      <c r="K102" s="3">
        <f>เมย!K102+พค!K102+มิย!K102+กค!K102+สค!K102+กย!K102</f>
        <v>0</v>
      </c>
      <c r="L102" s="3">
        <f>เมย!L102+พค!L102+มิย!L102+กค!L102+สค!L102+กย!L102</f>
        <v>0</v>
      </c>
      <c r="M102" s="5">
        <f t="shared" si="10"/>
        <v>0</v>
      </c>
      <c r="N102" s="28" t="e">
        <f t="shared" si="11"/>
        <v>#DIV/0!</v>
      </c>
      <c r="O102" s="3">
        <f>เมย!O102+พค!O102+มิย!O102+กค!O102+สค!O102+กย!O102</f>
        <v>0</v>
      </c>
      <c r="P102" s="3">
        <f>เมย!P102+พค!P102+มิย!P102+กค!P102+สค!P102+กย!P102</f>
        <v>0</v>
      </c>
      <c r="Q102" s="3">
        <f>เมย!Q102+พค!Q102+มิย!Q102+กค!Q102+สค!Q102+กย!Q102</f>
        <v>0</v>
      </c>
      <c r="R102" s="3">
        <f>เมย!R102+พค!R102+มิย!R102+กค!R102+สค!R102+กย!R102</f>
        <v>0</v>
      </c>
      <c r="S102" s="3">
        <f>เมย!S102+พค!S102+มิย!S102+กค!S102+สค!S102+กย!S102</f>
        <v>0</v>
      </c>
      <c r="T102" s="37">
        <f t="shared" si="13"/>
        <v>0</v>
      </c>
      <c r="U102" s="28" t="e">
        <f t="shared" si="12"/>
        <v>#DIV/0!</v>
      </c>
      <c r="V102" s="59">
        <f t="shared" si="8"/>
        <v>0</v>
      </c>
    </row>
    <row r="103" spans="1:22" ht="22.5" customHeight="1">
      <c r="A103" s="87" t="s">
        <v>41</v>
      </c>
      <c r="B103" s="1" t="s">
        <v>12</v>
      </c>
      <c r="C103" s="1">
        <f>C10+C13+C16+C19+C22+C25+C28+C31+C34+C37+C40+C43+C46+C49+C52+C55+C58+C61+C64+C67+C70+C73+C76+C79+C82+C85+C88+C91+C94+C97+C100</f>
        <v>0</v>
      </c>
      <c r="D103" s="40">
        <f>เมย!D103+พค!D103+มิย!D103+กค!D103+สค!D103+กย!D103</f>
        <v>0</v>
      </c>
      <c r="E103" s="4">
        <f>((($B$3*C103)+(12*D103))*$M$4)/7</f>
        <v>0</v>
      </c>
      <c r="F103" s="4">
        <f t="shared" ref="F103:L105" si="14">F10+F13+F16+F19+F22+F25+F28+F31+F34+F37+F40+F43+F46+F49+F52+F55+F58+F61+F64+F67+F70+F73+F76+F79+F82+F85+F88+F91+F94+F97+F100</f>
        <v>0</v>
      </c>
      <c r="G103" s="1">
        <f t="shared" si="14"/>
        <v>0</v>
      </c>
      <c r="H103" s="1">
        <f t="shared" si="14"/>
        <v>0</v>
      </c>
      <c r="I103" s="1">
        <f t="shared" si="14"/>
        <v>0</v>
      </c>
      <c r="J103" s="1">
        <f t="shared" si="14"/>
        <v>0</v>
      </c>
      <c r="K103" s="1">
        <f t="shared" si="14"/>
        <v>0</v>
      </c>
      <c r="L103" s="1">
        <f t="shared" si="14"/>
        <v>0</v>
      </c>
      <c r="M103" s="5">
        <f t="shared" si="10"/>
        <v>0</v>
      </c>
      <c r="N103" s="28" t="e">
        <f t="shared" si="11"/>
        <v>#DIV/0!</v>
      </c>
      <c r="O103" s="1">
        <f t="shared" ref="O103:S105" si="15">O10+O13+O16+O19+O22+O25+O28+O31+O34+O37+O40+O43+O46+O49+O52+O55+O58+O61+O64+O67+O70+O73+O76+O79+O82+O85+O88+O91+O94+O97+O100</f>
        <v>0</v>
      </c>
      <c r="P103" s="1">
        <f t="shared" si="15"/>
        <v>0</v>
      </c>
      <c r="Q103" s="1">
        <f t="shared" si="15"/>
        <v>0</v>
      </c>
      <c r="R103" s="1">
        <f t="shared" si="15"/>
        <v>0</v>
      </c>
      <c r="S103" s="1">
        <f>S10+S13+S16+S19+S22+S25+S28+S31+S34+S37+S40+S43+S46+S49+S52+S55+S58+S61+S64+S67+S70+S73+S76+S79+S82+S85+S88+S91+S94+S97+S100</f>
        <v>0</v>
      </c>
      <c r="T103" s="37">
        <f t="shared" si="13"/>
        <v>0</v>
      </c>
      <c r="U103" s="28" t="e">
        <f t="shared" si="12"/>
        <v>#DIV/0!</v>
      </c>
      <c r="V103" s="59">
        <f t="shared" si="8"/>
        <v>0</v>
      </c>
    </row>
    <row r="104" spans="1:22" ht="22.5" customHeight="1">
      <c r="A104" s="87"/>
      <c r="B104" s="1" t="s">
        <v>13</v>
      </c>
      <c r="C104" s="1">
        <f t="shared" ref="C104:C105" si="16">C11+C14+C17+C20+C23+C26+C29+C32+C35+C38+C41+C44+C47+C50+C53+C56+C59+C62+C65+C68+C71+C74+C77+C80+C83+C86+C89+C92+C95+C98+C101</f>
        <v>0</v>
      </c>
      <c r="D104" s="40">
        <f>เมย!D104+พค!D104+มิย!D104+กค!D104+สค!D104+กย!D104</f>
        <v>0</v>
      </c>
      <c r="E104" s="4">
        <f t="shared" ref="E104:E105" si="17">((($B$3*C104)+(12*D104))*$M$4)/7</f>
        <v>0</v>
      </c>
      <c r="F104" s="4">
        <f>F11+F14+F17+F20+F23+F26+F29+F32+F35+F38+F41+F44+F47+F50+F53+F56+F59+F62+F65+F68+F71+F74+F77+F80+F83+F86+F89+F92+F95+F98+F101</f>
        <v>0</v>
      </c>
      <c r="G104" s="1">
        <f t="shared" si="14"/>
        <v>0</v>
      </c>
      <c r="H104" s="1">
        <f t="shared" ref="H104" si="18">H11+H14+H17+H20+H23+H26+H29+H32+H35+H38+H41+H44+H47+H50+H53+H56+H59+H62+H65+H68+H71+H74+H77+H80+H83+H86+H89+H92+H95+H98+H101</f>
        <v>0</v>
      </c>
      <c r="I104" s="1">
        <f t="shared" si="14"/>
        <v>0</v>
      </c>
      <c r="J104" s="1">
        <f t="shared" si="14"/>
        <v>0</v>
      </c>
      <c r="K104" s="1">
        <f t="shared" ref="K104" si="19">K11+K14+K17+K20+K23+K26+K29+K32+K35+K38+K41+K44+K47+K50+K53+K56+K59+K62+K65+K68+K71+K74+K77+K80+K83+K86+K89+K92+K95+K98+K101</f>
        <v>0</v>
      </c>
      <c r="L104" s="1">
        <f t="shared" si="14"/>
        <v>0</v>
      </c>
      <c r="M104" s="5">
        <f t="shared" si="10"/>
        <v>0</v>
      </c>
      <c r="N104" s="28" t="e">
        <f t="shared" si="11"/>
        <v>#DIV/0!</v>
      </c>
      <c r="O104" s="1">
        <f t="shared" si="15"/>
        <v>0</v>
      </c>
      <c r="P104" s="1">
        <f t="shared" si="15"/>
        <v>0</v>
      </c>
      <c r="Q104" s="1">
        <f t="shared" si="15"/>
        <v>0</v>
      </c>
      <c r="R104" s="1">
        <f t="shared" si="15"/>
        <v>0</v>
      </c>
      <c r="S104" s="1">
        <f t="shared" si="15"/>
        <v>0</v>
      </c>
      <c r="T104" s="37">
        <f t="shared" si="13"/>
        <v>0</v>
      </c>
      <c r="U104" s="28" t="e">
        <f t="shared" si="12"/>
        <v>#DIV/0!</v>
      </c>
      <c r="V104" s="59">
        <f t="shared" si="8"/>
        <v>0</v>
      </c>
    </row>
    <row r="105" spans="1:22" ht="22.5" customHeight="1">
      <c r="A105" s="87"/>
      <c r="B105" s="1" t="s">
        <v>14</v>
      </c>
      <c r="C105" s="1">
        <f t="shared" si="16"/>
        <v>0</v>
      </c>
      <c r="D105" s="40">
        <f>เมย!D105+พค!D105+มิย!D105+กค!D105+สค!D105+กย!D105</f>
        <v>0</v>
      </c>
      <c r="E105" s="4">
        <f t="shared" si="17"/>
        <v>0</v>
      </c>
      <c r="F105" s="4">
        <f t="shared" si="14"/>
        <v>0</v>
      </c>
      <c r="G105" s="1">
        <f t="shared" si="14"/>
        <v>0</v>
      </c>
      <c r="H105" s="1">
        <f t="shared" ref="H105" si="20">H12+H15+H18+H21+H24+H27+H30+H33+H36+H39+H42+H45+H48+H51+H54+H57+H60+H63+H66+H69+H72+H75+H78+H81+H84+H87+H90+H93+H96+H99+H102</f>
        <v>0</v>
      </c>
      <c r="I105" s="1">
        <f t="shared" si="14"/>
        <v>0</v>
      </c>
      <c r="J105" s="1">
        <f t="shared" si="14"/>
        <v>0</v>
      </c>
      <c r="K105" s="1">
        <f t="shared" ref="K105" si="21">K12+K15+K18+K21+K24+K27+K30+K33+K36+K39+K42+K45+K48+K51+K54+K57+K60+K63+K66+K69+K72+K75+K78+K81+K84+K87+K90+K93+K96+K99+K102</f>
        <v>0</v>
      </c>
      <c r="L105" s="1">
        <f t="shared" si="14"/>
        <v>0</v>
      </c>
      <c r="M105" s="5">
        <f t="shared" si="10"/>
        <v>0</v>
      </c>
      <c r="N105" s="28" t="e">
        <f t="shared" si="11"/>
        <v>#DIV/0!</v>
      </c>
      <c r="O105" s="1">
        <f t="shared" si="15"/>
        <v>0</v>
      </c>
      <c r="P105" s="1">
        <f t="shared" si="15"/>
        <v>0</v>
      </c>
      <c r="Q105" s="1">
        <f t="shared" si="15"/>
        <v>0</v>
      </c>
      <c r="R105" s="1">
        <f t="shared" si="15"/>
        <v>0</v>
      </c>
      <c r="S105" s="1">
        <f t="shared" si="15"/>
        <v>0</v>
      </c>
      <c r="T105" s="37">
        <f t="shared" si="13"/>
        <v>0</v>
      </c>
      <c r="U105" s="28" t="e">
        <f t="shared" si="12"/>
        <v>#DIV/0!</v>
      </c>
      <c r="V105" s="59">
        <f t="shared" si="8"/>
        <v>0</v>
      </c>
    </row>
    <row r="106" spans="1:22" ht="22.5" customHeight="1">
      <c r="A106" s="7" t="s">
        <v>42</v>
      </c>
      <c r="B106" s="7"/>
      <c r="C106" s="25">
        <f>SUM(C103:C105)/3</f>
        <v>0</v>
      </c>
      <c r="D106" s="25">
        <f t="shared" ref="D106" si="22">SUM(D103:D105)/3</f>
        <v>0</v>
      </c>
      <c r="E106" s="25"/>
      <c r="F106" s="25">
        <f t="shared" ref="F106:L106" si="23">SUM(F103:F105)</f>
        <v>0</v>
      </c>
      <c r="G106" s="25">
        <f t="shared" si="23"/>
        <v>0</v>
      </c>
      <c r="H106" s="25">
        <f t="shared" si="23"/>
        <v>0</v>
      </c>
      <c r="I106" s="25">
        <f t="shared" si="23"/>
        <v>0</v>
      </c>
      <c r="J106" s="25">
        <f t="shared" si="23"/>
        <v>0</v>
      </c>
      <c r="K106" s="25">
        <f t="shared" si="23"/>
        <v>0</v>
      </c>
      <c r="L106" s="25">
        <f t="shared" si="23"/>
        <v>0</v>
      </c>
      <c r="M106" s="5">
        <f t="shared" si="10"/>
        <v>0</v>
      </c>
      <c r="N106" s="25"/>
      <c r="O106" s="25">
        <f>SUM(O103:O105)/3</f>
        <v>0</v>
      </c>
      <c r="P106" s="25">
        <f t="shared" ref="P106:S106" si="24">SUM(P103:P105)/3</f>
        <v>0</v>
      </c>
      <c r="Q106" s="25">
        <f t="shared" si="24"/>
        <v>0</v>
      </c>
      <c r="R106" s="25">
        <f t="shared" si="24"/>
        <v>0</v>
      </c>
      <c r="S106" s="25">
        <f t="shared" si="24"/>
        <v>0</v>
      </c>
      <c r="T106" s="37">
        <f t="shared" si="13"/>
        <v>0</v>
      </c>
      <c r="U106" s="28" t="e">
        <f t="shared" si="12"/>
        <v>#DIV/0!</v>
      </c>
      <c r="V106" s="59">
        <f t="shared" si="8"/>
        <v>0</v>
      </c>
    </row>
  </sheetData>
  <mergeCells count="77">
    <mergeCell ref="R8:R9"/>
    <mergeCell ref="S8:S9"/>
    <mergeCell ref="O8:O9"/>
    <mergeCell ref="A7:A9"/>
    <mergeCell ref="M7:M9"/>
    <mergeCell ref="N7:N9"/>
    <mergeCell ref="B7:B9"/>
    <mergeCell ref="C7:C9"/>
    <mergeCell ref="E7:E9"/>
    <mergeCell ref="L7:L9"/>
    <mergeCell ref="D7:D9"/>
    <mergeCell ref="F8:H8"/>
    <mergeCell ref="I8:K8"/>
    <mergeCell ref="F7:K7"/>
    <mergeCell ref="A94:A96"/>
    <mergeCell ref="A97:A99"/>
    <mergeCell ref="A100:A102"/>
    <mergeCell ref="A103:A105"/>
    <mergeCell ref="A76:A78"/>
    <mergeCell ref="A79:A81"/>
    <mergeCell ref="A82:A84"/>
    <mergeCell ref="A85:A87"/>
    <mergeCell ref="A88:A90"/>
    <mergeCell ref="A91:A93"/>
    <mergeCell ref="A73:A75"/>
    <mergeCell ref="A40:A42"/>
    <mergeCell ref="A43:A45"/>
    <mergeCell ref="A46:A48"/>
    <mergeCell ref="A49:A51"/>
    <mergeCell ref="A52:A54"/>
    <mergeCell ref="A55:A57"/>
    <mergeCell ref="A58:A60"/>
    <mergeCell ref="A61:A63"/>
    <mergeCell ref="A64:A66"/>
    <mergeCell ref="A67:A69"/>
    <mergeCell ref="A70:A72"/>
    <mergeCell ref="A37:A3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5:B5"/>
    <mergeCell ref="A6:B6"/>
    <mergeCell ref="F5:L5"/>
    <mergeCell ref="C6:D6"/>
    <mergeCell ref="F6:H6"/>
    <mergeCell ref="I6:K6"/>
    <mergeCell ref="A1:N1"/>
    <mergeCell ref="A2:N2"/>
    <mergeCell ref="A3:A4"/>
    <mergeCell ref="B3:B4"/>
    <mergeCell ref="C3:C4"/>
    <mergeCell ref="I3:L3"/>
    <mergeCell ref="I4:L4"/>
    <mergeCell ref="E3:H3"/>
    <mergeCell ref="E4:H4"/>
    <mergeCell ref="T7:T9"/>
    <mergeCell ref="U7:U9"/>
    <mergeCell ref="V7:V9"/>
    <mergeCell ref="M3:N3"/>
    <mergeCell ref="M4:N4"/>
    <mergeCell ref="O7:S7"/>
    <mergeCell ref="O3:P3"/>
    <mergeCell ref="Q3:R3"/>
    <mergeCell ref="O4:P4"/>
    <mergeCell ref="Q4:R4"/>
    <mergeCell ref="O5:P5"/>
    <mergeCell ref="Q5:R5"/>
    <mergeCell ref="O6:Q6"/>
    <mergeCell ref="R6:S6"/>
    <mergeCell ref="P8:P9"/>
    <mergeCell ref="Q8:Q9"/>
  </mergeCell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V106"/>
  <sheetViews>
    <sheetView zoomScale="85" zoomScaleNormal="85" workbookViewId="0">
      <pane xSplit="2" ySplit="9" topLeftCell="C95" activePane="bottomRight" state="frozen"/>
      <selection pane="topRight" activeCell="C1" sqref="C1"/>
      <selection pane="bottomLeft" activeCell="A10" sqref="A10"/>
      <selection pane="bottomRight" activeCell="M10" sqref="M10:M106"/>
    </sheetView>
  </sheetViews>
  <sheetFormatPr defaultColWidth="9" defaultRowHeight="22.5" customHeight="1"/>
  <cols>
    <col min="1" max="1" width="13.6640625" style="2" bestFit="1" customWidth="1"/>
    <col min="2" max="2" width="7" style="2" customWidth="1"/>
    <col min="3" max="4" width="7.88671875" style="2" customWidth="1"/>
    <col min="5" max="5" width="8.109375" style="2" bestFit="1" customWidth="1"/>
    <col min="6" max="6" width="7.88671875" style="2" bestFit="1" customWidth="1"/>
    <col min="7" max="8" width="7.77734375" style="2" customWidth="1"/>
    <col min="9" max="9" width="6.77734375" style="2" bestFit="1" customWidth="1"/>
    <col min="10" max="12" width="5.88671875" style="2" customWidth="1"/>
    <col min="13" max="13" width="9.109375" style="2" bestFit="1" customWidth="1"/>
    <col min="14" max="14" width="10.33203125" style="2" bestFit="1" customWidth="1"/>
    <col min="15" max="15" width="6.77734375" style="2" customWidth="1"/>
    <col min="16" max="16" width="8.109375" style="2" bestFit="1" customWidth="1"/>
    <col min="17" max="19" width="6.77734375" style="2" customWidth="1"/>
    <col min="20" max="20" width="6.77734375" style="2" bestFit="1" customWidth="1"/>
    <col min="21" max="21" width="9.109375" style="2" bestFit="1" customWidth="1"/>
    <col min="22" max="16384" width="9" style="2"/>
  </cols>
  <sheetData>
    <row r="1" spans="1:22" ht="22.5" customHeight="1">
      <c r="A1" s="90" t="s">
        <v>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</row>
    <row r="2" spans="1:22" ht="22.5" customHeight="1">
      <c r="A2" s="90" t="s">
        <v>9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</row>
    <row r="3" spans="1:22" ht="22.5" customHeight="1">
      <c r="A3" s="91" t="s">
        <v>10</v>
      </c>
      <c r="B3" s="92">
        <v>4.5</v>
      </c>
      <c r="C3" s="93" t="s">
        <v>11</v>
      </c>
      <c r="D3" s="38"/>
      <c r="E3" s="116" t="s">
        <v>12</v>
      </c>
      <c r="F3" s="95"/>
      <c r="G3" s="95"/>
      <c r="H3" s="96"/>
      <c r="I3" s="93" t="s">
        <v>13</v>
      </c>
      <c r="J3" s="93"/>
      <c r="K3" s="93"/>
      <c r="L3" s="93"/>
      <c r="M3" s="95"/>
      <c r="N3" s="96"/>
      <c r="O3" s="113" t="s">
        <v>15</v>
      </c>
      <c r="P3" s="113"/>
      <c r="Q3" s="115" t="e">
        <f>((F103+F105)*240)+((G103+G105)*180)</f>
        <v>#REF!</v>
      </c>
      <c r="R3" s="115"/>
      <c r="S3" s="7" t="s">
        <v>16</v>
      </c>
    </row>
    <row r="4" spans="1:22" ht="22.5" customHeight="1">
      <c r="A4" s="91"/>
      <c r="B4" s="92"/>
      <c r="C4" s="93"/>
      <c r="D4" s="38"/>
      <c r="E4" s="114">
        <v>0.25</v>
      </c>
      <c r="F4" s="97"/>
      <c r="G4" s="97"/>
      <c r="H4" s="98"/>
      <c r="I4" s="94">
        <v>0.4</v>
      </c>
      <c r="J4" s="94"/>
      <c r="K4" s="94"/>
      <c r="L4" s="94"/>
      <c r="M4" s="97">
        <v>0.35</v>
      </c>
      <c r="N4" s="98"/>
      <c r="O4" s="113" t="s">
        <v>17</v>
      </c>
      <c r="P4" s="113"/>
      <c r="Q4" s="115">
        <f>((I103+L103+I104+L104+I105+L105)*660)+((J103+J105+J104)*530)</f>
        <v>34320</v>
      </c>
      <c r="R4" s="115"/>
      <c r="S4" s="7" t="s">
        <v>16</v>
      </c>
    </row>
    <row r="5" spans="1:22" ht="22.5" customHeight="1">
      <c r="A5" s="99" t="s">
        <v>18</v>
      </c>
      <c r="B5" s="99"/>
      <c r="C5" s="134">
        <f>('ต.ค-มี.ค'!C5+'เม.ย-ก.ย'!C5)/2</f>
        <v>2.5</v>
      </c>
      <c r="D5" s="135"/>
      <c r="E5" s="35" t="s">
        <v>19</v>
      </c>
      <c r="F5" s="114" t="s">
        <v>20</v>
      </c>
      <c r="G5" s="97"/>
      <c r="H5" s="97"/>
      <c r="I5" s="97"/>
      <c r="J5" s="97"/>
      <c r="K5" s="97"/>
      <c r="L5" s="97"/>
      <c r="M5" s="26">
        <f>'ต.ค-มี.ค'!M5+'เม.ย-ก.ย'!M5</f>
        <v>39</v>
      </c>
      <c r="N5" s="34" t="s">
        <v>21</v>
      </c>
      <c r="O5" s="113"/>
      <c r="P5" s="113"/>
      <c r="Q5" s="115"/>
      <c r="R5" s="115"/>
      <c r="S5" s="7"/>
    </row>
    <row r="6" spans="1:22" ht="22.5" customHeight="1">
      <c r="A6" s="99" t="s">
        <v>23</v>
      </c>
      <c r="B6" s="99"/>
      <c r="C6" s="105">
        <f>((C106*12)/(M5*7)+((D106*12)/(M5*7)))</f>
        <v>32.673992673992672</v>
      </c>
      <c r="D6" s="106"/>
      <c r="E6" s="35" t="s">
        <v>19</v>
      </c>
      <c r="F6" s="80" t="s">
        <v>24</v>
      </c>
      <c r="G6" s="81"/>
      <c r="H6" s="82"/>
      <c r="I6" s="77">
        <f>C5-C6</f>
        <v>-30.173992673992672</v>
      </c>
      <c r="J6" s="78"/>
      <c r="K6" s="79"/>
      <c r="L6" s="39" t="s">
        <v>19</v>
      </c>
      <c r="M6" s="36" t="s">
        <v>25</v>
      </c>
      <c r="N6" s="27" t="e">
        <f>((((C106*4.5)+(D106*12))/((F106+G106+H106+I106+J106+K106+L106)*7)))*100</f>
        <v>#REF!</v>
      </c>
      <c r="O6" s="71" t="s">
        <v>26</v>
      </c>
      <c r="P6" s="71"/>
      <c r="Q6" s="71"/>
      <c r="R6" s="72" t="e">
        <f>U106</f>
        <v>#REF!</v>
      </c>
      <c r="S6" s="73"/>
    </row>
    <row r="7" spans="1:22" ht="22.5" customHeight="1">
      <c r="A7" s="65" t="s">
        <v>27</v>
      </c>
      <c r="B7" s="65" t="s">
        <v>28</v>
      </c>
      <c r="C7" s="100" t="s">
        <v>77</v>
      </c>
      <c r="D7" s="100" t="s">
        <v>78</v>
      </c>
      <c r="E7" s="65" t="s">
        <v>30</v>
      </c>
      <c r="F7" s="74" t="s">
        <v>31</v>
      </c>
      <c r="G7" s="75"/>
      <c r="H7" s="75"/>
      <c r="I7" s="75"/>
      <c r="J7" s="75"/>
      <c r="K7" s="76"/>
      <c r="L7" s="65" t="s">
        <v>32</v>
      </c>
      <c r="M7" s="65" t="s">
        <v>33</v>
      </c>
      <c r="N7" s="131" t="s">
        <v>25</v>
      </c>
      <c r="O7" s="87" t="s">
        <v>34</v>
      </c>
      <c r="P7" s="87"/>
      <c r="Q7" s="87"/>
      <c r="R7" s="87"/>
      <c r="S7" s="87"/>
      <c r="T7" s="124" t="s">
        <v>35</v>
      </c>
      <c r="U7" s="125" t="s">
        <v>26</v>
      </c>
    </row>
    <row r="8" spans="1:22" ht="22.5" customHeight="1">
      <c r="A8" s="66"/>
      <c r="B8" s="66"/>
      <c r="C8" s="101"/>
      <c r="D8" s="101"/>
      <c r="E8" s="66"/>
      <c r="F8" s="120" t="s">
        <v>37</v>
      </c>
      <c r="G8" s="121"/>
      <c r="H8" s="122"/>
      <c r="I8" s="123" t="s">
        <v>38</v>
      </c>
      <c r="J8" s="123"/>
      <c r="K8" s="123"/>
      <c r="L8" s="66"/>
      <c r="M8" s="66"/>
      <c r="N8" s="132"/>
      <c r="O8" s="88">
        <v>1</v>
      </c>
      <c r="P8" s="88">
        <v>2</v>
      </c>
      <c r="Q8" s="88">
        <v>3</v>
      </c>
      <c r="R8" s="88">
        <v>4</v>
      </c>
      <c r="S8" s="88">
        <v>5</v>
      </c>
      <c r="T8" s="124"/>
      <c r="U8" s="125"/>
    </row>
    <row r="9" spans="1:22" ht="22.5" customHeight="1">
      <c r="A9" s="67"/>
      <c r="B9" s="67"/>
      <c r="C9" s="102"/>
      <c r="D9" s="102"/>
      <c r="E9" s="67"/>
      <c r="F9" s="24" t="s">
        <v>39</v>
      </c>
      <c r="G9" s="24" t="s">
        <v>40</v>
      </c>
      <c r="H9" s="24" t="s">
        <v>76</v>
      </c>
      <c r="I9" s="57" t="s">
        <v>39</v>
      </c>
      <c r="J9" s="57" t="s">
        <v>40</v>
      </c>
      <c r="K9" s="57" t="s">
        <v>76</v>
      </c>
      <c r="L9" s="67"/>
      <c r="M9" s="67"/>
      <c r="N9" s="133"/>
      <c r="O9" s="89"/>
      <c r="P9" s="89"/>
      <c r="Q9" s="89"/>
      <c r="R9" s="89"/>
      <c r="S9" s="89"/>
      <c r="T9" s="124"/>
      <c r="U9" s="125"/>
    </row>
    <row r="10" spans="1:22" ht="22.5" customHeight="1">
      <c r="A10" s="87">
        <v>1</v>
      </c>
      <c r="B10" s="7" t="s">
        <v>12</v>
      </c>
      <c r="C10" s="26">
        <f>'ต.ค-มี.ค'!C10+'เม.ย-ก.ย'!C10</f>
        <v>24</v>
      </c>
      <c r="D10" s="26">
        <f>'ต.ค-มี.ค'!D10+'เม.ย-ก.ย'!D10</f>
        <v>13</v>
      </c>
      <c r="E10" s="4">
        <f>((($B$3*C10)+(12*D10))*$E$4)/7</f>
        <v>9.4285714285714288</v>
      </c>
      <c r="F10" s="3">
        <f>'ต.ค-มี.ค'!F10+'เม.ย-ก.ย'!F10</f>
        <v>8</v>
      </c>
      <c r="G10" s="3">
        <f>'ต.ค-มี.ค'!G10+'เม.ย-ก.ย'!G10</f>
        <v>0</v>
      </c>
      <c r="H10" s="3">
        <f>'ต.ค-มี.ค'!H10+'เม.ย-ก.ย'!H10</f>
        <v>0</v>
      </c>
      <c r="I10" s="3">
        <f>'ต.ค-มี.ค'!I10+'เม.ย-ก.ย'!I10</f>
        <v>1</v>
      </c>
      <c r="J10" s="3">
        <f>'ต.ค-มี.ค'!J10+'เม.ย-ก.ย'!J10</f>
        <v>0</v>
      </c>
      <c r="K10" s="3">
        <f>'ต.ค-มี.ค'!K10+'เม.ย-ก.ย'!K10</f>
        <v>0</v>
      </c>
      <c r="L10" s="3">
        <f>'ต.ค-มี.ค'!L10+'เม.ย-ก.ย'!L10</f>
        <v>0</v>
      </c>
      <c r="M10" s="5">
        <f>(F10+G10+H10+L10)-E10</f>
        <v>-1.4285714285714288</v>
      </c>
      <c r="N10" s="28">
        <f>(((C10*4.5)+(12*D10))*$E$4)/((F10+G10+H10+I10+J10+K10+L10)*7)*100</f>
        <v>104.76190476190477</v>
      </c>
      <c r="O10" s="3">
        <f>'ต.ค-มี.ค'!O10+'เม.ย-ก.ย'!O10</f>
        <v>0</v>
      </c>
      <c r="P10" s="3">
        <f>'ต.ค-มี.ค'!P10+'เม.ย-ก.ย'!P10</f>
        <v>0</v>
      </c>
      <c r="Q10" s="3">
        <f>'ต.ค-มี.ค'!Q10+'เม.ย-ก.ย'!Q10</f>
        <v>28</v>
      </c>
      <c r="R10" s="3">
        <f>'ต.ค-มี.ค'!R10+'เม.ย-ก.ย'!R10</f>
        <v>3</v>
      </c>
      <c r="S10" s="3">
        <f>'ต.ค-มี.ค'!S10+'เม.ย-ก.ย'!S10</f>
        <v>6</v>
      </c>
      <c r="T10" s="37">
        <f t="shared" ref="T10:T73" si="0">SUM(O10:S10)</f>
        <v>37</v>
      </c>
      <c r="U10" s="28">
        <f>((((O10*1.5+(P10*3.5)+(Q10*5.5)+(R10*7.5)+(S10*12)))/3)/((F10+G10+H10+I10+J10+K10+L10)*7))*100</f>
        <v>131.48148148148147</v>
      </c>
      <c r="V10" s="59">
        <f t="shared" ref="V10:V73" si="1">C10+D10-T10</f>
        <v>0</v>
      </c>
    </row>
    <row r="11" spans="1:22" ht="22.5" customHeight="1">
      <c r="A11" s="87"/>
      <c r="B11" s="7" t="s">
        <v>13</v>
      </c>
      <c r="C11" s="26">
        <f>'ต.ค-มี.ค'!C11+'เม.ย-ก.ย'!C11</f>
        <v>28</v>
      </c>
      <c r="D11" s="26">
        <f>'ต.ค-มี.ค'!D11+'เม.ย-ก.ย'!D11</f>
        <v>13</v>
      </c>
      <c r="E11" s="4">
        <f t="shared" ref="E11:E74" si="2">((($B$3*C11)+(12*D11))*$E$4)/7</f>
        <v>10.071428571428571</v>
      </c>
      <c r="F11" s="3">
        <f>'ต.ค-มี.ค'!F11+'เม.ย-ก.ย'!F11</f>
        <v>9</v>
      </c>
      <c r="G11" s="3">
        <f>'ต.ค-มี.ค'!G11+'เม.ย-ก.ย'!G11</f>
        <v>0</v>
      </c>
      <c r="H11" s="3">
        <f>'ต.ค-มี.ค'!H11+'เม.ย-ก.ย'!H11</f>
        <v>0</v>
      </c>
      <c r="I11" s="3">
        <f>'ต.ค-มี.ค'!I11+'เม.ย-ก.ย'!I11</f>
        <v>0</v>
      </c>
      <c r="J11" s="3">
        <f>'ต.ค-มี.ค'!J11+'เม.ย-ก.ย'!J11</f>
        <v>0</v>
      </c>
      <c r="K11" s="3">
        <f>'ต.ค-มี.ค'!K11+'เม.ย-ก.ย'!K11</f>
        <v>2</v>
      </c>
      <c r="L11" s="3">
        <f>'ต.ค-มี.ค'!L11+'เม.ย-ก.ย'!L11</f>
        <v>0</v>
      </c>
      <c r="M11" s="5">
        <f t="shared" ref="M11:M74" si="3">(F11+G11+H11+L11)-E11</f>
        <v>-1.0714285714285712</v>
      </c>
      <c r="N11" s="28">
        <f t="shared" ref="N11:N74" si="4">(((C11*4.5)+(12*D11))*$E$4)/((F11+G11+H11+I11+J11+K11+L11)*7)*100</f>
        <v>91.558441558441558</v>
      </c>
      <c r="O11" s="3">
        <f>'ต.ค-มี.ค'!O11+'เม.ย-ก.ย'!O11</f>
        <v>0</v>
      </c>
      <c r="P11" s="3">
        <f>'ต.ค-มี.ค'!P11+'เม.ย-ก.ย'!P11</f>
        <v>2</v>
      </c>
      <c r="Q11" s="3">
        <f>'ต.ค-มี.ค'!Q11+'เม.ย-ก.ย'!Q11</f>
        <v>27</v>
      </c>
      <c r="R11" s="3">
        <f>'ต.ค-มี.ค'!R11+'เม.ย-ก.ย'!R11</f>
        <v>3</v>
      </c>
      <c r="S11" s="3">
        <f>'ต.ค-มี.ค'!S11+'เม.ย-ก.ย'!S11</f>
        <v>7</v>
      </c>
      <c r="T11" s="37">
        <f t="shared" si="0"/>
        <v>39</v>
      </c>
      <c r="U11" s="28">
        <f t="shared" ref="U11:U74" si="5">((((O11*1.5+(P11*3.5)+(Q11*5.5)+(R11*7.5)+(S11*12)))/3)/((F11+G11+H11+I11+J11+K11+L11)*7))*100</f>
        <v>113.41991341991343</v>
      </c>
      <c r="V11" s="59">
        <f t="shared" si="1"/>
        <v>2</v>
      </c>
    </row>
    <row r="12" spans="1:22" ht="22.5" customHeight="1">
      <c r="A12" s="87"/>
      <c r="B12" s="7" t="s">
        <v>14</v>
      </c>
      <c r="C12" s="26">
        <f>'ต.ค-มี.ค'!C12+'เม.ย-ก.ย'!C12</f>
        <v>26</v>
      </c>
      <c r="D12" s="26">
        <f>'ต.ค-มี.ค'!D12+'เม.ย-ก.ย'!D12</f>
        <v>12</v>
      </c>
      <c r="E12" s="4">
        <f t="shared" si="2"/>
        <v>9.3214285714285712</v>
      </c>
      <c r="F12" s="3">
        <f>'ต.ค-มี.ค'!F12+'เม.ย-ก.ย'!F12</f>
        <v>8</v>
      </c>
      <c r="G12" s="3">
        <f>'ต.ค-มี.ค'!G12+'เม.ย-ก.ย'!G12</f>
        <v>0</v>
      </c>
      <c r="H12" s="3">
        <f>'ต.ค-มี.ค'!H12+'เม.ย-ก.ย'!H12</f>
        <v>0</v>
      </c>
      <c r="I12" s="3">
        <f>'ต.ค-มี.ค'!I12+'เม.ย-ก.ย'!I12</f>
        <v>1</v>
      </c>
      <c r="J12" s="3">
        <f>'ต.ค-มี.ค'!J12+'เม.ย-ก.ย'!J12</f>
        <v>0</v>
      </c>
      <c r="K12" s="3">
        <f>'ต.ค-มี.ค'!K12+'เม.ย-ก.ย'!K12</f>
        <v>0</v>
      </c>
      <c r="L12" s="3">
        <f>'ต.ค-มี.ค'!L12+'เม.ย-ก.ย'!L12</f>
        <v>0</v>
      </c>
      <c r="M12" s="5">
        <f t="shared" si="3"/>
        <v>-1.3214285714285712</v>
      </c>
      <c r="N12" s="28">
        <f t="shared" si="4"/>
        <v>103.57142857142858</v>
      </c>
      <c r="O12" s="3">
        <f>'ต.ค-มี.ค'!O12+'เม.ย-ก.ย'!O12</f>
        <v>0</v>
      </c>
      <c r="P12" s="3">
        <f>'ต.ค-มี.ค'!P12+'เม.ย-ก.ย'!P12</f>
        <v>0</v>
      </c>
      <c r="Q12" s="3">
        <f>'ต.ค-มี.ค'!Q12+'เม.ย-ก.ย'!Q12</f>
        <v>28</v>
      </c>
      <c r="R12" s="3">
        <f>'ต.ค-มี.ค'!R12+'เม.ย-ก.ย'!R12</f>
        <v>3</v>
      </c>
      <c r="S12" s="3">
        <f>'ต.ค-มี.ค'!S12+'เม.ย-ก.ย'!S12</f>
        <v>7</v>
      </c>
      <c r="T12" s="37">
        <f t="shared" si="0"/>
        <v>38</v>
      </c>
      <c r="U12" s="28">
        <f t="shared" si="5"/>
        <v>137.83068783068782</v>
      </c>
      <c r="V12" s="59">
        <f t="shared" si="1"/>
        <v>0</v>
      </c>
    </row>
    <row r="13" spans="1:22" ht="22.5" customHeight="1">
      <c r="A13" s="87">
        <v>2</v>
      </c>
      <c r="B13" s="7" t="s">
        <v>12</v>
      </c>
      <c r="C13" s="26">
        <f>'ต.ค-มี.ค'!C13+'เม.ย-ก.ย'!C13</f>
        <v>28</v>
      </c>
      <c r="D13" s="26">
        <f>'ต.ค-มี.ค'!D13+'เม.ย-ก.ย'!D13</f>
        <v>12</v>
      </c>
      <c r="E13" s="4">
        <f t="shared" si="2"/>
        <v>9.6428571428571423</v>
      </c>
      <c r="F13" s="3">
        <f>'ต.ค-มี.ค'!F13+'เม.ย-ก.ย'!F13</f>
        <v>8</v>
      </c>
      <c r="G13" s="3">
        <f>'ต.ค-มี.ค'!G13+'เม.ย-ก.ย'!G13</f>
        <v>0</v>
      </c>
      <c r="H13" s="3">
        <f>'ต.ค-มี.ค'!H13+'เม.ย-ก.ย'!H13</f>
        <v>0</v>
      </c>
      <c r="I13" s="3">
        <f>'ต.ค-มี.ค'!I13+'เม.ย-ก.ย'!I13</f>
        <v>1</v>
      </c>
      <c r="J13" s="3">
        <f>'ต.ค-มี.ค'!J13+'เม.ย-ก.ย'!J13</f>
        <v>0</v>
      </c>
      <c r="K13" s="3">
        <f>'ต.ค-มี.ค'!K13+'เม.ย-ก.ย'!K13</f>
        <v>0</v>
      </c>
      <c r="L13" s="3">
        <f>'ต.ค-มี.ค'!L13+'เม.ย-ก.ย'!L13</f>
        <v>0</v>
      </c>
      <c r="M13" s="5">
        <f t="shared" si="3"/>
        <v>-1.6428571428571423</v>
      </c>
      <c r="N13" s="28">
        <f t="shared" si="4"/>
        <v>107.14285714285714</v>
      </c>
      <c r="O13" s="3">
        <f>'ต.ค-มี.ค'!O13+'เม.ย-ก.ย'!O13</f>
        <v>0</v>
      </c>
      <c r="P13" s="3">
        <f>'ต.ค-มี.ค'!P13+'เม.ย-ก.ย'!P13</f>
        <v>0</v>
      </c>
      <c r="Q13" s="3">
        <f>'ต.ค-มี.ค'!Q13+'เม.ย-ก.ย'!Q13</f>
        <v>30</v>
      </c>
      <c r="R13" s="3">
        <f>'ต.ค-มี.ค'!R13+'เม.ย-ก.ย'!R13</f>
        <v>3</v>
      </c>
      <c r="S13" s="3">
        <f>'ต.ค-มี.ค'!S13+'เม.ย-ก.ย'!S13</f>
        <v>7</v>
      </c>
      <c r="T13" s="37">
        <f t="shared" si="0"/>
        <v>40</v>
      </c>
      <c r="U13" s="28">
        <f t="shared" si="5"/>
        <v>143.65079365079364</v>
      </c>
      <c r="V13" s="59">
        <f t="shared" si="1"/>
        <v>0</v>
      </c>
    </row>
    <row r="14" spans="1:22" ht="22.5" customHeight="1">
      <c r="A14" s="87"/>
      <c r="B14" s="7" t="s">
        <v>13</v>
      </c>
      <c r="C14" s="26">
        <f>'ต.ค-มี.ค'!C14+'เม.ย-ก.ย'!C14</f>
        <v>26</v>
      </c>
      <c r="D14" s="26">
        <f>'ต.ค-มี.ค'!D14+'เม.ย-ก.ย'!D14</f>
        <v>12</v>
      </c>
      <c r="E14" s="4">
        <f t="shared" si="2"/>
        <v>9.3214285714285712</v>
      </c>
      <c r="F14" s="3">
        <f>'ต.ค-มี.ค'!F14+'เม.ย-ก.ย'!F14</f>
        <v>6</v>
      </c>
      <c r="G14" s="3">
        <f>'ต.ค-มี.ค'!G14+'เม.ย-ก.ย'!G14</f>
        <v>0</v>
      </c>
      <c r="H14" s="3">
        <f>'ต.ค-มี.ค'!H14+'เม.ย-ก.ย'!H14</f>
        <v>1</v>
      </c>
      <c r="I14" s="3">
        <f>'ต.ค-มี.ค'!I14+'เม.ย-ก.ย'!I14</f>
        <v>3</v>
      </c>
      <c r="J14" s="3">
        <f>'ต.ค-มี.ค'!J14+'เม.ย-ก.ย'!J14</f>
        <v>0</v>
      </c>
      <c r="K14" s="3">
        <f>'ต.ค-มี.ค'!K14+'เม.ย-ก.ย'!K14</f>
        <v>1</v>
      </c>
      <c r="L14" s="3">
        <f>'ต.ค-มี.ค'!L14+'เม.ย-ก.ย'!L14</f>
        <v>0</v>
      </c>
      <c r="M14" s="5">
        <f t="shared" si="3"/>
        <v>-2.3214285714285712</v>
      </c>
      <c r="N14" s="28">
        <f t="shared" si="4"/>
        <v>84.740259740259745</v>
      </c>
      <c r="O14" s="3">
        <f>'ต.ค-มี.ค'!O14+'เม.ย-ก.ย'!O14</f>
        <v>0</v>
      </c>
      <c r="P14" s="3">
        <f>'ต.ค-มี.ค'!P14+'เม.ย-ก.ย'!P14</f>
        <v>3</v>
      </c>
      <c r="Q14" s="3">
        <f>'ต.ค-มี.ค'!Q14+'เม.ย-ก.ย'!Q14</f>
        <v>25</v>
      </c>
      <c r="R14" s="3">
        <f>'ต.ค-มี.ค'!R14+'เม.ย-ก.ย'!R14</f>
        <v>2</v>
      </c>
      <c r="S14" s="3">
        <f>'ต.ค-มี.ค'!S14+'เม.ย-ก.ย'!S14</f>
        <v>8</v>
      </c>
      <c r="T14" s="37">
        <f t="shared" si="0"/>
        <v>38</v>
      </c>
      <c r="U14" s="28">
        <f t="shared" si="5"/>
        <v>112.12121212121211</v>
      </c>
      <c r="V14" s="59">
        <f t="shared" si="1"/>
        <v>0</v>
      </c>
    </row>
    <row r="15" spans="1:22" ht="22.5" customHeight="1">
      <c r="A15" s="87"/>
      <c r="B15" s="7" t="s">
        <v>14</v>
      </c>
      <c r="C15" s="26">
        <f>'ต.ค-มี.ค'!C15+'เม.ย-ก.ย'!C15</f>
        <v>18</v>
      </c>
      <c r="D15" s="26">
        <f>'ต.ค-มี.ค'!D15+'เม.ย-ก.ย'!D15</f>
        <v>8</v>
      </c>
      <c r="E15" s="4">
        <f t="shared" si="2"/>
        <v>6.3214285714285712</v>
      </c>
      <c r="F15" s="3">
        <f>'ต.ค-มี.ค'!F15+'เม.ย-ก.ย'!F15</f>
        <v>6</v>
      </c>
      <c r="G15" s="3">
        <f>'ต.ค-มี.ค'!G15+'เม.ย-ก.ย'!G15</f>
        <v>0</v>
      </c>
      <c r="H15" s="3">
        <f>'ต.ค-มี.ค'!H15+'เม.ย-ก.ย'!H15</f>
        <v>0</v>
      </c>
      <c r="I15" s="3">
        <f>'ต.ค-มี.ค'!I15+'เม.ย-ก.ย'!I15</f>
        <v>0</v>
      </c>
      <c r="J15" s="3">
        <f>'ต.ค-มี.ค'!J15+'เม.ย-ก.ย'!J15</f>
        <v>0</v>
      </c>
      <c r="K15" s="3">
        <f>'ต.ค-มี.ค'!K15+'เม.ย-ก.ย'!K15</f>
        <v>0</v>
      </c>
      <c r="L15" s="3">
        <f>'ต.ค-มี.ค'!L15+'เม.ย-ก.ย'!L15</f>
        <v>0</v>
      </c>
      <c r="M15" s="5">
        <f t="shared" si="3"/>
        <v>-0.32142857142857117</v>
      </c>
      <c r="N15" s="28">
        <f t="shared" si="4"/>
        <v>105.35714285714286</v>
      </c>
      <c r="O15" s="3">
        <f>'ต.ค-มี.ค'!O15+'เม.ย-ก.ย'!O15</f>
        <v>0</v>
      </c>
      <c r="P15" s="3">
        <f>'ต.ค-มี.ค'!P15+'เม.ย-ก.ย'!P15</f>
        <v>0</v>
      </c>
      <c r="Q15" s="3">
        <f>'ต.ค-มี.ค'!Q15+'เม.ย-ก.ย'!Q15</f>
        <v>19</v>
      </c>
      <c r="R15" s="3">
        <f>'ต.ค-มี.ค'!R15+'เม.ย-ก.ย'!R15</f>
        <v>1</v>
      </c>
      <c r="S15" s="3">
        <f>'ต.ค-มี.ค'!S15+'เม.ย-ก.ย'!S15</f>
        <v>6</v>
      </c>
      <c r="T15" s="37">
        <f t="shared" si="0"/>
        <v>26</v>
      </c>
      <c r="U15" s="28">
        <f t="shared" si="5"/>
        <v>146.03174603174605</v>
      </c>
      <c r="V15" s="59">
        <f t="shared" si="1"/>
        <v>0</v>
      </c>
    </row>
    <row r="16" spans="1:22" ht="22.5" customHeight="1">
      <c r="A16" s="87">
        <v>3</v>
      </c>
      <c r="B16" s="7" t="s">
        <v>12</v>
      </c>
      <c r="C16" s="26">
        <f>'ต.ค-มี.ค'!C16+'เม.ย-ก.ย'!C16</f>
        <v>18</v>
      </c>
      <c r="D16" s="26">
        <f>'ต.ค-มี.ค'!D16+'เม.ย-ก.ย'!D16</f>
        <v>8</v>
      </c>
      <c r="E16" s="4">
        <f t="shared" si="2"/>
        <v>6.3214285714285712</v>
      </c>
      <c r="F16" s="3">
        <f>'ต.ค-มี.ค'!F16+'เม.ย-ก.ย'!F16</f>
        <v>5</v>
      </c>
      <c r="G16" s="3">
        <f>'ต.ค-มี.ค'!G16+'เม.ย-ก.ย'!G16</f>
        <v>0</v>
      </c>
      <c r="H16" s="3">
        <f>'ต.ค-มี.ค'!H16+'เม.ย-ก.ย'!H16</f>
        <v>0</v>
      </c>
      <c r="I16" s="3">
        <f>'ต.ค-มี.ค'!I16+'เม.ย-ก.ย'!I16</f>
        <v>1</v>
      </c>
      <c r="J16" s="3">
        <f>'ต.ค-มี.ค'!J16+'เม.ย-ก.ย'!J16</f>
        <v>0</v>
      </c>
      <c r="K16" s="3">
        <f>'ต.ค-มี.ค'!K16+'เม.ย-ก.ย'!K16</f>
        <v>0</v>
      </c>
      <c r="L16" s="3">
        <f>'ต.ค-มี.ค'!L16+'เม.ย-ก.ย'!L16</f>
        <v>0</v>
      </c>
      <c r="M16" s="5">
        <f t="shared" si="3"/>
        <v>-1.3214285714285712</v>
      </c>
      <c r="N16" s="28">
        <f t="shared" si="4"/>
        <v>105.35714285714286</v>
      </c>
      <c r="O16" s="3">
        <f>'ต.ค-มี.ค'!O16+'เม.ย-ก.ย'!O16</f>
        <v>0</v>
      </c>
      <c r="P16" s="3">
        <f>'ต.ค-มี.ค'!P16+'เม.ย-ก.ย'!P16</f>
        <v>0</v>
      </c>
      <c r="Q16" s="3">
        <f>'ต.ค-มี.ค'!Q16+'เม.ย-ก.ย'!Q16</f>
        <v>20</v>
      </c>
      <c r="R16" s="3">
        <f>'ต.ค-มี.ค'!R16+'เม.ย-ก.ย'!R16</f>
        <v>1</v>
      </c>
      <c r="S16" s="3">
        <f>'ต.ค-มี.ค'!S16+'เม.ย-ก.ย'!S16</f>
        <v>5</v>
      </c>
      <c r="T16" s="37">
        <f t="shared" si="0"/>
        <v>26</v>
      </c>
      <c r="U16" s="28">
        <f t="shared" si="5"/>
        <v>140.87301587301587</v>
      </c>
      <c r="V16" s="59">
        <f t="shared" si="1"/>
        <v>0</v>
      </c>
    </row>
    <row r="17" spans="1:22" ht="22.5" customHeight="1">
      <c r="A17" s="87"/>
      <c r="B17" s="7" t="s">
        <v>13</v>
      </c>
      <c r="C17" s="26">
        <f>'ต.ค-มี.ค'!C17+'เม.ย-ก.ย'!C17</f>
        <v>20</v>
      </c>
      <c r="D17" s="26">
        <f>'ต.ค-มี.ค'!D17+'เม.ย-ก.ย'!D17</f>
        <v>10</v>
      </c>
      <c r="E17" s="4">
        <f t="shared" si="2"/>
        <v>7.5</v>
      </c>
      <c r="F17" s="3">
        <f>'ต.ค-มี.ค'!F17+'เม.ย-ก.ย'!F17</f>
        <v>6</v>
      </c>
      <c r="G17" s="3">
        <f>'ต.ค-มี.ค'!G17+'เม.ย-ก.ย'!G17</f>
        <v>0</v>
      </c>
      <c r="H17" s="3">
        <f>'ต.ค-มี.ค'!H17+'เม.ย-ก.ย'!H17</f>
        <v>0</v>
      </c>
      <c r="I17" s="3">
        <f>'ต.ค-มี.ค'!I17+'เม.ย-ก.ย'!I17</f>
        <v>1</v>
      </c>
      <c r="J17" s="3">
        <f>'ต.ค-มี.ค'!J17+'เม.ย-ก.ย'!J17</f>
        <v>0</v>
      </c>
      <c r="K17" s="3">
        <f>'ต.ค-มี.ค'!K17+'เม.ย-ก.ย'!K17</f>
        <v>1</v>
      </c>
      <c r="L17" s="3">
        <f>'ต.ค-มี.ค'!L17+'เม.ย-ก.ย'!L17</f>
        <v>0</v>
      </c>
      <c r="M17" s="5">
        <f t="shared" si="3"/>
        <v>-1.5</v>
      </c>
      <c r="N17" s="28">
        <f t="shared" si="4"/>
        <v>93.75</v>
      </c>
      <c r="O17" s="3">
        <f>'ต.ค-มี.ค'!O17+'เม.ย-ก.ย'!O17</f>
        <v>0</v>
      </c>
      <c r="P17" s="3">
        <f>'ต.ค-มี.ค'!P17+'เม.ย-ก.ย'!P17</f>
        <v>5</v>
      </c>
      <c r="Q17" s="3">
        <f>'ต.ค-มี.ค'!Q17+'เม.ย-ก.ย'!Q17</f>
        <v>17</v>
      </c>
      <c r="R17" s="3">
        <f>'ต.ค-มี.ค'!R17+'เม.ย-ก.ย'!R17</f>
        <v>2</v>
      </c>
      <c r="S17" s="3">
        <f>'ต.ค-มี.ค'!S17+'เม.ย-ก.ย'!S17</f>
        <v>6</v>
      </c>
      <c r="T17" s="37">
        <f t="shared" si="0"/>
        <v>30</v>
      </c>
      <c r="U17" s="28">
        <f t="shared" si="5"/>
        <v>117.85714285714286</v>
      </c>
      <c r="V17" s="59">
        <f t="shared" si="1"/>
        <v>0</v>
      </c>
    </row>
    <row r="18" spans="1:22" ht="22.5" customHeight="1">
      <c r="A18" s="87"/>
      <c r="B18" s="7" t="s">
        <v>14</v>
      </c>
      <c r="C18" s="26">
        <f>'ต.ค-มี.ค'!C18+'เม.ย-ก.ย'!C18</f>
        <v>14</v>
      </c>
      <c r="D18" s="26">
        <f>'ต.ค-มี.ค'!D18+'เม.ย-ก.ย'!D18</f>
        <v>10</v>
      </c>
      <c r="E18" s="4">
        <f t="shared" si="2"/>
        <v>6.5357142857142856</v>
      </c>
      <c r="F18" s="3">
        <f>'ต.ค-มี.ค'!F18+'เม.ย-ก.ย'!F18</f>
        <v>5</v>
      </c>
      <c r="G18" s="3">
        <f>'ต.ค-มี.ค'!G18+'เม.ย-ก.ย'!G18</f>
        <v>0</v>
      </c>
      <c r="H18" s="3">
        <f>'ต.ค-มี.ค'!H18+'เม.ย-ก.ย'!H18</f>
        <v>1</v>
      </c>
      <c r="I18" s="3">
        <f>'ต.ค-มี.ค'!I18+'เม.ย-ก.ย'!I18</f>
        <v>1</v>
      </c>
      <c r="J18" s="3">
        <f>'ต.ค-มี.ค'!J18+'เม.ย-ก.ย'!J18</f>
        <v>0</v>
      </c>
      <c r="K18" s="3">
        <f>'ต.ค-มี.ค'!K18+'เม.ย-ก.ย'!K18</f>
        <v>0</v>
      </c>
      <c r="L18" s="3">
        <f>'ต.ค-มี.ค'!L18+'เม.ย-ก.ย'!L18</f>
        <v>0</v>
      </c>
      <c r="M18" s="5">
        <f t="shared" si="3"/>
        <v>-0.53571428571428559</v>
      </c>
      <c r="N18" s="28">
        <f t="shared" si="4"/>
        <v>93.367346938775512</v>
      </c>
      <c r="O18" s="3">
        <f>'ต.ค-มี.ค'!O18+'เม.ย-ก.ย'!O18</f>
        <v>0</v>
      </c>
      <c r="P18" s="3">
        <f>'ต.ค-มี.ค'!P18+'เม.ย-ก.ย'!P18</f>
        <v>0</v>
      </c>
      <c r="Q18" s="3">
        <f>'ต.ค-มี.ค'!Q18+'เม.ย-ก.ย'!Q18</f>
        <v>16</v>
      </c>
      <c r="R18" s="3">
        <f>'ต.ค-มี.ค'!R18+'เม.ย-ก.ย'!R18</f>
        <v>1</v>
      </c>
      <c r="S18" s="3">
        <f>'ต.ค-มี.ค'!S18+'เม.ย-ก.ย'!S18</f>
        <v>7</v>
      </c>
      <c r="T18" s="37">
        <f t="shared" si="0"/>
        <v>24</v>
      </c>
      <c r="U18" s="28">
        <f t="shared" si="5"/>
        <v>122.10884353741498</v>
      </c>
      <c r="V18" s="59">
        <f t="shared" si="1"/>
        <v>0</v>
      </c>
    </row>
    <row r="19" spans="1:22" ht="22.5" customHeight="1">
      <c r="A19" s="87">
        <v>4</v>
      </c>
      <c r="B19" s="7" t="s">
        <v>12</v>
      </c>
      <c r="C19" s="26">
        <f>'ต.ค-มี.ค'!C19+'เม.ย-ก.ย'!C19</f>
        <v>14</v>
      </c>
      <c r="D19" s="26">
        <f>'ต.ค-มี.ค'!D19+'เม.ย-ก.ย'!D19</f>
        <v>10</v>
      </c>
      <c r="E19" s="4">
        <f t="shared" si="2"/>
        <v>6.5357142857142856</v>
      </c>
      <c r="F19" s="3">
        <f>'ต.ค-มี.ค'!F19+'เม.ย-ก.ย'!F19</f>
        <v>6</v>
      </c>
      <c r="G19" s="3">
        <f>'ต.ค-มี.ค'!G19+'เม.ย-ก.ย'!G19</f>
        <v>0</v>
      </c>
      <c r="H19" s="3">
        <f>'ต.ค-มี.ค'!H19+'เม.ย-ก.ย'!H19</f>
        <v>0</v>
      </c>
      <c r="I19" s="3">
        <f>'ต.ค-มี.ค'!I19+'เม.ย-ก.ย'!I19</f>
        <v>0</v>
      </c>
      <c r="J19" s="3">
        <f>'ต.ค-มี.ค'!J19+'เม.ย-ก.ย'!J19</f>
        <v>0</v>
      </c>
      <c r="K19" s="3">
        <f>'ต.ค-มี.ค'!K19+'เม.ย-ก.ย'!K19</f>
        <v>0</v>
      </c>
      <c r="L19" s="3">
        <f>'ต.ค-มี.ค'!L19+'เม.ย-ก.ย'!L19</f>
        <v>0</v>
      </c>
      <c r="M19" s="5">
        <f t="shared" si="3"/>
        <v>-0.53571428571428559</v>
      </c>
      <c r="N19" s="28">
        <f t="shared" si="4"/>
        <v>108.92857142857142</v>
      </c>
      <c r="O19" s="3">
        <f>'ต.ค-มี.ค'!O19+'เม.ย-ก.ย'!O19</f>
        <v>0</v>
      </c>
      <c r="P19" s="3">
        <f>'ต.ค-มี.ค'!P19+'เม.ย-ก.ย'!P19</f>
        <v>0</v>
      </c>
      <c r="Q19" s="3">
        <f>'ต.ค-มี.ค'!Q19+'เม.ย-ก.ย'!Q19</f>
        <v>16</v>
      </c>
      <c r="R19" s="3">
        <f>'ต.ค-มี.ค'!R19+'เม.ย-ก.ย'!R19</f>
        <v>1</v>
      </c>
      <c r="S19" s="3">
        <f>'ต.ค-มี.ค'!S19+'เม.ย-ก.ย'!S19</f>
        <v>7</v>
      </c>
      <c r="T19" s="37">
        <f t="shared" si="0"/>
        <v>24</v>
      </c>
      <c r="U19" s="28">
        <f t="shared" si="5"/>
        <v>142.46031746031747</v>
      </c>
      <c r="V19" s="59">
        <f t="shared" si="1"/>
        <v>0</v>
      </c>
    </row>
    <row r="20" spans="1:22" ht="22.5" customHeight="1">
      <c r="A20" s="87"/>
      <c r="B20" s="7" t="s">
        <v>13</v>
      </c>
      <c r="C20" s="26">
        <f>'ต.ค-มี.ค'!C20+'เม.ย-ก.ย'!C20</f>
        <v>17</v>
      </c>
      <c r="D20" s="26">
        <f>'ต.ค-มี.ค'!D20+'เม.ย-ก.ย'!D20</f>
        <v>11</v>
      </c>
      <c r="E20" s="4">
        <f t="shared" si="2"/>
        <v>7.4464285714285712</v>
      </c>
      <c r="F20" s="3">
        <f>'ต.ค-มี.ค'!F20+'เม.ย-ก.ย'!F20</f>
        <v>3</v>
      </c>
      <c r="G20" s="3">
        <f>'ต.ค-มี.ค'!G20+'เม.ย-ก.ย'!G20</f>
        <v>0</v>
      </c>
      <c r="H20" s="3">
        <f>'ต.ค-มี.ค'!H20+'เม.ย-ก.ย'!H20</f>
        <v>0</v>
      </c>
      <c r="I20" s="3">
        <f>'ต.ค-มี.ค'!I20+'เม.ย-ก.ย'!I20</f>
        <v>3</v>
      </c>
      <c r="J20" s="3">
        <f>'ต.ค-มี.ค'!J20+'เม.ย-ก.ย'!J20</f>
        <v>0</v>
      </c>
      <c r="K20" s="3">
        <f>'ต.ค-มี.ค'!K20+'เม.ย-ก.ย'!K20</f>
        <v>2</v>
      </c>
      <c r="L20" s="3">
        <f>'ต.ค-มี.ค'!L20+'เม.ย-ก.ย'!L20</f>
        <v>0</v>
      </c>
      <c r="M20" s="5">
        <f t="shared" si="3"/>
        <v>-4.4464285714285712</v>
      </c>
      <c r="N20" s="28">
        <f t="shared" si="4"/>
        <v>93.080357142857139</v>
      </c>
      <c r="O20" s="3">
        <f>'ต.ค-มี.ค'!O20+'เม.ย-ก.ย'!O20</f>
        <v>0</v>
      </c>
      <c r="P20" s="3">
        <f>'ต.ค-มี.ค'!P20+'เม.ย-ก.ย'!P20</f>
        <v>4</v>
      </c>
      <c r="Q20" s="3">
        <f>'ต.ค-มี.ค'!Q20+'เม.ย-ก.ย'!Q20</f>
        <v>15</v>
      </c>
      <c r="R20" s="3">
        <f>'ต.ค-มี.ค'!R20+'เม.ย-ก.ย'!R20</f>
        <v>1</v>
      </c>
      <c r="S20" s="3">
        <f>'ต.ค-มี.ค'!S20+'เม.ย-ก.ย'!S20</f>
        <v>9</v>
      </c>
      <c r="T20" s="37">
        <f t="shared" si="0"/>
        <v>29</v>
      </c>
      <c r="U20" s="28">
        <f t="shared" si="5"/>
        <v>126.1904761904762</v>
      </c>
      <c r="V20" s="59">
        <f t="shared" si="1"/>
        <v>-1</v>
      </c>
    </row>
    <row r="21" spans="1:22" ht="22.5" customHeight="1">
      <c r="A21" s="87"/>
      <c r="B21" s="7" t="s">
        <v>14</v>
      </c>
      <c r="C21" s="26">
        <f>'ต.ค-มี.ค'!C21+'เม.ย-ก.ย'!C21</f>
        <v>12</v>
      </c>
      <c r="D21" s="26">
        <f>'ต.ค-มี.ค'!D21+'เม.ย-ก.ย'!D21</f>
        <v>11</v>
      </c>
      <c r="E21" s="4">
        <f t="shared" si="2"/>
        <v>6.6428571428571432</v>
      </c>
      <c r="F21" s="3">
        <f>'ต.ค-มี.ค'!F21+'เม.ย-ก.ย'!F21</f>
        <v>6</v>
      </c>
      <c r="G21" s="3">
        <f>'ต.ค-มี.ค'!G21+'เม.ย-ก.ย'!G21</f>
        <v>0</v>
      </c>
      <c r="H21" s="3">
        <f>'ต.ค-มี.ค'!H21+'เม.ย-ก.ย'!H21</f>
        <v>1</v>
      </c>
      <c r="I21" s="3">
        <f>'ต.ค-มี.ค'!I21+'เม.ย-ก.ย'!I21</f>
        <v>0</v>
      </c>
      <c r="J21" s="3">
        <f>'ต.ค-มี.ค'!J21+'เม.ย-ก.ย'!J21</f>
        <v>0</v>
      </c>
      <c r="K21" s="3">
        <f>'ต.ค-มี.ค'!K21+'เม.ย-ก.ย'!K21</f>
        <v>0</v>
      </c>
      <c r="L21" s="3">
        <f>'ต.ค-มี.ค'!L21+'เม.ย-ก.ย'!L21</f>
        <v>0</v>
      </c>
      <c r="M21" s="5">
        <f t="shared" si="3"/>
        <v>0.35714285714285676</v>
      </c>
      <c r="N21" s="28">
        <f t="shared" si="4"/>
        <v>94.897959183673478</v>
      </c>
      <c r="O21" s="3">
        <f>'ต.ค-มี.ค'!O21+'เม.ย-ก.ย'!O21</f>
        <v>0</v>
      </c>
      <c r="P21" s="3">
        <f>'ต.ค-มี.ค'!P21+'เม.ย-ก.ย'!P21</f>
        <v>0</v>
      </c>
      <c r="Q21" s="3">
        <f>'ต.ค-มี.ค'!Q21+'เม.ย-ก.ย'!Q21</f>
        <v>13</v>
      </c>
      <c r="R21" s="3">
        <f>'ต.ค-มี.ค'!R21+'เม.ย-ก.ย'!R21</f>
        <v>2</v>
      </c>
      <c r="S21" s="3">
        <f>'ต.ค-มี.ค'!S21+'เม.ย-ก.ย'!S21</f>
        <v>8</v>
      </c>
      <c r="T21" s="37">
        <f t="shared" si="0"/>
        <v>23</v>
      </c>
      <c r="U21" s="28">
        <f t="shared" si="5"/>
        <v>124.1496598639456</v>
      </c>
      <c r="V21" s="59">
        <f t="shared" si="1"/>
        <v>0</v>
      </c>
    </row>
    <row r="22" spans="1:22" ht="22.5" customHeight="1">
      <c r="A22" s="87">
        <v>5</v>
      </c>
      <c r="B22" s="7" t="s">
        <v>12</v>
      </c>
      <c r="C22" s="26">
        <f>'ต.ค-มี.ค'!C22+'เม.ย-ก.ย'!C22</f>
        <v>12</v>
      </c>
      <c r="D22" s="26">
        <f>'ต.ค-มี.ค'!D22+'เม.ย-ก.ย'!D22</f>
        <v>11</v>
      </c>
      <c r="E22" s="4">
        <f t="shared" si="2"/>
        <v>6.6428571428571432</v>
      </c>
      <c r="F22" s="3">
        <f>'ต.ค-มี.ค'!F22+'เม.ย-ก.ย'!F22</f>
        <v>6</v>
      </c>
      <c r="G22" s="3">
        <f>'ต.ค-มี.ค'!G22+'เม.ย-ก.ย'!G22</f>
        <v>0</v>
      </c>
      <c r="H22" s="3">
        <f>'ต.ค-มี.ค'!H22+'เม.ย-ก.ย'!H22</f>
        <v>0</v>
      </c>
      <c r="I22" s="3">
        <f>'ต.ค-มี.ค'!I22+'เม.ย-ก.ย'!I22</f>
        <v>0</v>
      </c>
      <c r="J22" s="3">
        <f>'ต.ค-มี.ค'!J22+'เม.ย-ก.ย'!J22</f>
        <v>0</v>
      </c>
      <c r="K22" s="3">
        <f>'ต.ค-มี.ค'!K22+'เม.ย-ก.ย'!K22</f>
        <v>0</v>
      </c>
      <c r="L22" s="3">
        <f>'ต.ค-มี.ค'!L22+'เม.ย-ก.ย'!L22</f>
        <v>0</v>
      </c>
      <c r="M22" s="5">
        <f t="shared" si="3"/>
        <v>-0.64285714285714324</v>
      </c>
      <c r="N22" s="28">
        <f t="shared" si="4"/>
        <v>110.71428571428572</v>
      </c>
      <c r="O22" s="3">
        <f>'ต.ค-มี.ค'!O22+'เม.ย-ก.ย'!O22</f>
        <v>0</v>
      </c>
      <c r="P22" s="3">
        <f>'ต.ค-มี.ค'!P22+'เม.ย-ก.ย'!P22</f>
        <v>0</v>
      </c>
      <c r="Q22" s="3">
        <f>'ต.ค-มี.ค'!Q22+'เม.ย-ก.ย'!Q22</f>
        <v>13</v>
      </c>
      <c r="R22" s="3">
        <f>'ต.ค-มี.ค'!R22+'เม.ย-ก.ย'!R22</f>
        <v>2</v>
      </c>
      <c r="S22" s="3">
        <f>'ต.ค-มี.ค'!S22+'เม.ย-ก.ย'!S22</f>
        <v>8</v>
      </c>
      <c r="T22" s="37">
        <f t="shared" si="0"/>
        <v>23</v>
      </c>
      <c r="U22" s="28">
        <f t="shared" si="5"/>
        <v>144.84126984126985</v>
      </c>
      <c r="V22" s="59">
        <f t="shared" si="1"/>
        <v>0</v>
      </c>
    </row>
    <row r="23" spans="1:22" ht="22.5" customHeight="1">
      <c r="A23" s="87"/>
      <c r="B23" s="7" t="s">
        <v>13</v>
      </c>
      <c r="C23" s="26">
        <f>'ต.ค-มี.ค'!C23+'เม.ย-ก.ย'!C23</f>
        <v>10</v>
      </c>
      <c r="D23" s="26">
        <f>'ต.ค-มี.ค'!D23+'เม.ย-ก.ย'!D23</f>
        <v>11</v>
      </c>
      <c r="E23" s="4">
        <f t="shared" si="2"/>
        <v>6.3214285714285712</v>
      </c>
      <c r="F23" s="3">
        <f>'ต.ค-มี.ค'!F23+'เม.ย-ก.ย'!F23</f>
        <v>6</v>
      </c>
      <c r="G23" s="3">
        <f>'ต.ค-มี.ค'!G23+'เม.ย-ก.ย'!G23</f>
        <v>0</v>
      </c>
      <c r="H23" s="3">
        <f>'ต.ค-มี.ค'!H23+'เม.ย-ก.ย'!H23</f>
        <v>2</v>
      </c>
      <c r="I23" s="3">
        <f>'ต.ค-มี.ค'!I23+'เม.ย-ก.ย'!I23</f>
        <v>0</v>
      </c>
      <c r="J23" s="3">
        <f>'ต.ค-มี.ค'!J23+'เม.ย-ก.ย'!J23</f>
        <v>0</v>
      </c>
      <c r="K23" s="3">
        <f>'ต.ค-มี.ค'!K23+'เม.ย-ก.ย'!K23</f>
        <v>0</v>
      </c>
      <c r="L23" s="3">
        <f>'ต.ค-มี.ค'!L23+'เม.ย-ก.ย'!L23</f>
        <v>0</v>
      </c>
      <c r="M23" s="5">
        <f t="shared" si="3"/>
        <v>1.6785714285714288</v>
      </c>
      <c r="N23" s="28">
        <f t="shared" si="4"/>
        <v>79.017857142857139</v>
      </c>
      <c r="O23" s="3">
        <f>'ต.ค-มี.ค'!O23+'เม.ย-ก.ย'!O23</f>
        <v>0</v>
      </c>
      <c r="P23" s="3">
        <f>'ต.ค-มี.ค'!P23+'เม.ย-ก.ย'!P23</f>
        <v>5</v>
      </c>
      <c r="Q23" s="3">
        <f>'ต.ค-มี.ค'!Q23+'เม.ย-ก.ย'!Q23</f>
        <v>6</v>
      </c>
      <c r="R23" s="3">
        <f>'ต.ค-มี.ค'!R23+'เม.ย-ก.ย'!R23</f>
        <v>2</v>
      </c>
      <c r="S23" s="3">
        <f>'ต.ค-มี.ค'!S23+'เม.ย-ก.ย'!S23</f>
        <v>8</v>
      </c>
      <c r="T23" s="37">
        <f t="shared" si="0"/>
        <v>21</v>
      </c>
      <c r="U23" s="28">
        <f t="shared" si="5"/>
        <v>96.13095238095238</v>
      </c>
      <c r="V23" s="59">
        <f t="shared" si="1"/>
        <v>0</v>
      </c>
    </row>
    <row r="24" spans="1:22" ht="22.5" customHeight="1">
      <c r="A24" s="87"/>
      <c r="B24" s="7" t="s">
        <v>14</v>
      </c>
      <c r="C24" s="26">
        <f>'ต.ค-มี.ค'!C24+'เม.ย-ก.ย'!C24</f>
        <v>8</v>
      </c>
      <c r="D24" s="26">
        <f>'ต.ค-มี.ค'!D24+'เม.ย-ก.ย'!D24</f>
        <v>11</v>
      </c>
      <c r="E24" s="4">
        <f t="shared" si="2"/>
        <v>6</v>
      </c>
      <c r="F24" s="3">
        <f>'ต.ค-มี.ค'!F24+'เม.ย-ก.ย'!F24</f>
        <v>6</v>
      </c>
      <c r="G24" s="3">
        <f>'ต.ค-มี.ค'!G24+'เม.ย-ก.ย'!G24</f>
        <v>0</v>
      </c>
      <c r="H24" s="3">
        <f>'ต.ค-มี.ค'!H24+'เม.ย-ก.ย'!H24</f>
        <v>0</v>
      </c>
      <c r="I24" s="3">
        <f>'ต.ค-มี.ค'!I24+'เม.ย-ก.ย'!I24</f>
        <v>0</v>
      </c>
      <c r="J24" s="3">
        <f>'ต.ค-มี.ค'!J24+'เม.ย-ก.ย'!J24</f>
        <v>0</v>
      </c>
      <c r="K24" s="3">
        <f>'ต.ค-มี.ค'!K24+'เม.ย-ก.ย'!K24</f>
        <v>0</v>
      </c>
      <c r="L24" s="3">
        <f>'ต.ค-มี.ค'!L24+'เม.ย-ก.ย'!L24</f>
        <v>0</v>
      </c>
      <c r="M24" s="5">
        <f t="shared" si="3"/>
        <v>0</v>
      </c>
      <c r="N24" s="28">
        <f t="shared" si="4"/>
        <v>100</v>
      </c>
      <c r="O24" s="3">
        <f>'ต.ค-มี.ค'!O24+'เม.ย-ก.ย'!O24</f>
        <v>0</v>
      </c>
      <c r="P24" s="3">
        <f>'ต.ค-มี.ค'!P24+'เม.ย-ก.ย'!P24</f>
        <v>0</v>
      </c>
      <c r="Q24" s="3">
        <f>'ต.ค-มี.ค'!Q24+'เม.ย-ก.ย'!Q24</f>
        <v>9</v>
      </c>
      <c r="R24" s="3">
        <f>'ต.ค-มี.ค'!R24+'เม.ย-ก.ย'!R24</f>
        <v>3</v>
      </c>
      <c r="S24" s="3">
        <f>'ต.ค-มี.ค'!S24+'เม.ย-ก.ย'!S24</f>
        <v>7</v>
      </c>
      <c r="T24" s="37">
        <f t="shared" si="0"/>
        <v>19</v>
      </c>
      <c r="U24" s="28">
        <f t="shared" si="5"/>
        <v>123.80952380952381</v>
      </c>
      <c r="V24" s="59">
        <f t="shared" si="1"/>
        <v>0</v>
      </c>
    </row>
    <row r="25" spans="1:22" ht="22.5" customHeight="1">
      <c r="A25" s="87">
        <v>6</v>
      </c>
      <c r="B25" s="7" t="s">
        <v>12</v>
      </c>
      <c r="C25" s="26">
        <f>'ต.ค-มี.ค'!C25+'เม.ย-ก.ย'!C25</f>
        <v>8</v>
      </c>
      <c r="D25" s="26">
        <f>'ต.ค-มี.ค'!D25+'เม.ย-ก.ย'!D25</f>
        <v>11</v>
      </c>
      <c r="E25" s="4">
        <f t="shared" si="2"/>
        <v>6</v>
      </c>
      <c r="F25" s="3">
        <f>'ต.ค-มี.ค'!F25+'เม.ย-ก.ย'!F25</f>
        <v>6</v>
      </c>
      <c r="G25" s="3">
        <f>'ต.ค-มี.ค'!G25+'เม.ย-ก.ย'!G25</f>
        <v>0</v>
      </c>
      <c r="H25" s="3">
        <f>'ต.ค-มี.ค'!H25+'เม.ย-ก.ย'!H25</f>
        <v>0</v>
      </c>
      <c r="I25" s="3">
        <f>'ต.ค-มี.ค'!I25+'เม.ย-ก.ย'!I25</f>
        <v>0</v>
      </c>
      <c r="J25" s="3">
        <f>'ต.ค-มี.ค'!J25+'เม.ย-ก.ย'!J25</f>
        <v>0</v>
      </c>
      <c r="K25" s="3">
        <f>'ต.ค-มี.ค'!K25+'เม.ย-ก.ย'!K25</f>
        <v>0</v>
      </c>
      <c r="L25" s="3">
        <f>'ต.ค-มี.ค'!L25+'เม.ย-ก.ย'!L25</f>
        <v>0</v>
      </c>
      <c r="M25" s="5">
        <f t="shared" si="3"/>
        <v>0</v>
      </c>
      <c r="N25" s="28">
        <f t="shared" si="4"/>
        <v>100</v>
      </c>
      <c r="O25" s="3">
        <f>'ต.ค-มี.ค'!O25+'เม.ย-ก.ย'!O25</f>
        <v>0</v>
      </c>
      <c r="P25" s="3">
        <f>'ต.ค-มี.ค'!P25+'เม.ย-ก.ย'!P25</f>
        <v>0</v>
      </c>
      <c r="Q25" s="3">
        <f>'ต.ค-มี.ค'!Q25+'เม.ย-ก.ย'!Q25</f>
        <v>9</v>
      </c>
      <c r="R25" s="3">
        <f>'ต.ค-มี.ค'!R25+'เม.ย-ก.ย'!R25</f>
        <v>3</v>
      </c>
      <c r="S25" s="3">
        <f>'ต.ค-มี.ค'!S25+'เม.ย-ก.ย'!S25</f>
        <v>7</v>
      </c>
      <c r="T25" s="37">
        <f t="shared" si="0"/>
        <v>19</v>
      </c>
      <c r="U25" s="28">
        <f t="shared" si="5"/>
        <v>123.80952380952381</v>
      </c>
      <c r="V25" s="59">
        <f t="shared" si="1"/>
        <v>0</v>
      </c>
    </row>
    <row r="26" spans="1:22" ht="22.5" customHeight="1">
      <c r="A26" s="87"/>
      <c r="B26" s="7" t="s">
        <v>13</v>
      </c>
      <c r="C26" s="26">
        <f>'ต.ค-มี.ค'!C26+'เม.ย-ก.ย'!C26</f>
        <v>12</v>
      </c>
      <c r="D26" s="26">
        <f>'ต.ค-มี.ค'!D26+'เม.ย-ก.ย'!D26</f>
        <v>11</v>
      </c>
      <c r="E26" s="4">
        <f t="shared" si="2"/>
        <v>6.6428571428571432</v>
      </c>
      <c r="F26" s="3">
        <f>'ต.ค-มี.ค'!F26+'เม.ย-ก.ย'!F26</f>
        <v>7</v>
      </c>
      <c r="G26" s="3">
        <f>'ต.ค-มี.ค'!G26+'เม.ย-ก.ย'!G26</f>
        <v>0</v>
      </c>
      <c r="H26" s="3">
        <f>'ต.ค-มี.ค'!H26+'เม.ย-ก.ย'!H26</f>
        <v>2</v>
      </c>
      <c r="I26" s="3">
        <f>'ต.ค-มี.ค'!I26+'เม.ย-ก.ย'!I26</f>
        <v>0</v>
      </c>
      <c r="J26" s="3">
        <f>'ต.ค-มี.ค'!J26+'เม.ย-ก.ย'!J26</f>
        <v>0</v>
      </c>
      <c r="K26" s="3">
        <f>'ต.ค-มี.ค'!K26+'เม.ย-ก.ย'!K26</f>
        <v>0</v>
      </c>
      <c r="L26" s="3">
        <f>'ต.ค-มี.ค'!L26+'เม.ย-ก.ย'!L26</f>
        <v>0</v>
      </c>
      <c r="M26" s="5">
        <f t="shared" si="3"/>
        <v>2.3571428571428568</v>
      </c>
      <c r="N26" s="28">
        <f t="shared" si="4"/>
        <v>73.80952380952381</v>
      </c>
      <c r="O26" s="3">
        <f>'ต.ค-มี.ค'!O26+'เม.ย-ก.ย'!O26</f>
        <v>0</v>
      </c>
      <c r="P26" s="3">
        <f>'ต.ค-มี.ค'!P26+'เม.ย-ก.ย'!P26</f>
        <v>3</v>
      </c>
      <c r="Q26" s="3">
        <f>'ต.ค-มี.ค'!Q26+'เม.ย-ก.ย'!Q26</f>
        <v>9</v>
      </c>
      <c r="R26" s="3">
        <f>'ต.ค-มี.ค'!R26+'เม.ย-ก.ย'!R26</f>
        <v>5</v>
      </c>
      <c r="S26" s="3">
        <f>'ต.ค-มี.ค'!S26+'เม.ย-ก.ย'!S26</f>
        <v>6</v>
      </c>
      <c r="T26" s="37">
        <f t="shared" si="0"/>
        <v>23</v>
      </c>
      <c r="U26" s="28">
        <f t="shared" si="5"/>
        <v>89.682539682539684</v>
      </c>
      <c r="V26" s="59">
        <f t="shared" si="1"/>
        <v>0</v>
      </c>
    </row>
    <row r="27" spans="1:22" ht="22.5" customHeight="1">
      <c r="A27" s="87"/>
      <c r="B27" s="7" t="s">
        <v>14</v>
      </c>
      <c r="C27" s="26">
        <f>'ต.ค-มี.ค'!C27+'เม.ย-ก.ย'!C27</f>
        <v>9</v>
      </c>
      <c r="D27" s="26">
        <f>'ต.ค-มี.ค'!D27+'เม.ย-ก.ย'!D27</f>
        <v>10</v>
      </c>
      <c r="E27" s="4">
        <f t="shared" si="2"/>
        <v>5.7321428571428568</v>
      </c>
      <c r="F27" s="3">
        <f>'ต.ค-มี.ค'!F27+'เม.ย-ก.ย'!F27</f>
        <v>6</v>
      </c>
      <c r="G27" s="3">
        <f>'ต.ค-มี.ค'!G27+'เม.ย-ก.ย'!G27</f>
        <v>0</v>
      </c>
      <c r="H27" s="3">
        <f>'ต.ค-มี.ค'!H27+'เม.ย-ก.ย'!H27</f>
        <v>0</v>
      </c>
      <c r="I27" s="3">
        <f>'ต.ค-มี.ค'!I27+'เม.ย-ก.ย'!I27</f>
        <v>0</v>
      </c>
      <c r="J27" s="3">
        <f>'ต.ค-มี.ค'!J27+'เม.ย-ก.ย'!J27</f>
        <v>0</v>
      </c>
      <c r="K27" s="3">
        <f>'ต.ค-มี.ค'!K27+'เม.ย-ก.ย'!K27</f>
        <v>1</v>
      </c>
      <c r="L27" s="3">
        <f>'ต.ค-มี.ค'!L27+'เม.ย-ก.ย'!L27</f>
        <v>0</v>
      </c>
      <c r="M27" s="5">
        <f t="shared" si="3"/>
        <v>0.26785714285714324</v>
      </c>
      <c r="N27" s="28">
        <f t="shared" si="4"/>
        <v>81.887755102040813</v>
      </c>
      <c r="O27" s="3">
        <f>'ต.ค-มี.ค'!O27+'เม.ย-ก.ย'!O27</f>
        <v>0</v>
      </c>
      <c r="P27" s="3">
        <f>'ต.ค-มี.ค'!P27+'เม.ย-ก.ย'!P27</f>
        <v>0</v>
      </c>
      <c r="Q27" s="3">
        <f>'ต.ค-มี.ค'!Q27+'เม.ย-ก.ย'!Q27</f>
        <v>10</v>
      </c>
      <c r="R27" s="3">
        <f>'ต.ค-มี.ค'!R27+'เม.ย-ก.ย'!R27</f>
        <v>3</v>
      </c>
      <c r="S27" s="3">
        <f>'ต.ค-มี.ค'!S27+'เม.ย-ก.ย'!S27</f>
        <v>6</v>
      </c>
      <c r="T27" s="37">
        <f t="shared" si="0"/>
        <v>19</v>
      </c>
      <c r="U27" s="28">
        <f t="shared" si="5"/>
        <v>101.70068027210885</v>
      </c>
      <c r="V27" s="59">
        <f t="shared" si="1"/>
        <v>0</v>
      </c>
    </row>
    <row r="28" spans="1:22" ht="22.5" customHeight="1">
      <c r="A28" s="87">
        <v>7</v>
      </c>
      <c r="B28" s="7" t="s">
        <v>12</v>
      </c>
      <c r="C28" s="26">
        <f>'ต.ค-มี.ค'!C28+'เม.ย-ก.ย'!C28</f>
        <v>12</v>
      </c>
      <c r="D28" s="26">
        <f>'ต.ค-มี.ค'!D28+'เม.ย-ก.ย'!D28</f>
        <v>11</v>
      </c>
      <c r="E28" s="4">
        <f t="shared" si="2"/>
        <v>6.6428571428571432</v>
      </c>
      <c r="F28" s="3">
        <f>'ต.ค-มี.ค'!F28+'เม.ย-ก.ย'!F28</f>
        <v>4</v>
      </c>
      <c r="G28" s="3">
        <f>'ต.ค-มี.ค'!G28+'เม.ย-ก.ย'!G28</f>
        <v>0</v>
      </c>
      <c r="H28" s="3">
        <f>'ต.ค-มี.ค'!H28+'เม.ย-ก.ย'!H28</f>
        <v>0</v>
      </c>
      <c r="I28" s="3">
        <f>'ต.ค-มี.ค'!I28+'เม.ย-ก.ย'!I28</f>
        <v>2</v>
      </c>
      <c r="J28" s="3">
        <f>'ต.ค-มี.ค'!J28+'เม.ย-ก.ย'!J28</f>
        <v>0</v>
      </c>
      <c r="K28" s="3">
        <f>'ต.ค-มี.ค'!K28+'เม.ย-ก.ย'!K28</f>
        <v>0</v>
      </c>
      <c r="L28" s="3">
        <f>'ต.ค-มี.ค'!L28+'เม.ย-ก.ย'!L28</f>
        <v>0</v>
      </c>
      <c r="M28" s="5">
        <f t="shared" si="3"/>
        <v>-2.6428571428571432</v>
      </c>
      <c r="N28" s="28">
        <f t="shared" si="4"/>
        <v>110.71428571428572</v>
      </c>
      <c r="O28" s="3">
        <f>'ต.ค-มี.ค'!O28+'เม.ย-ก.ย'!O28</f>
        <v>0</v>
      </c>
      <c r="P28" s="3">
        <f>'ต.ค-มี.ค'!P28+'เม.ย-ก.ย'!P28</f>
        <v>0</v>
      </c>
      <c r="Q28" s="3">
        <f>'ต.ค-มี.ค'!Q28+'เม.ย-ก.ย'!Q28</f>
        <v>12</v>
      </c>
      <c r="R28" s="3">
        <f>'ต.ค-มี.ค'!R28+'เม.ย-ก.ย'!R28</f>
        <v>4</v>
      </c>
      <c r="S28" s="3">
        <f>'ต.ค-มี.ค'!S28+'เม.ย-ก.ย'!S28</f>
        <v>7</v>
      </c>
      <c r="T28" s="37">
        <f t="shared" si="0"/>
        <v>23</v>
      </c>
      <c r="U28" s="28">
        <f t="shared" si="5"/>
        <v>142.85714285714286</v>
      </c>
      <c r="V28" s="59">
        <f t="shared" si="1"/>
        <v>0</v>
      </c>
    </row>
    <row r="29" spans="1:22" ht="22.5" customHeight="1">
      <c r="A29" s="87"/>
      <c r="B29" s="7" t="s">
        <v>13</v>
      </c>
      <c r="C29" s="26">
        <f>'ต.ค-มี.ค'!C29+'เม.ย-ก.ย'!C29</f>
        <v>12</v>
      </c>
      <c r="D29" s="26">
        <f>'ต.ค-มี.ค'!D29+'เม.ย-ก.ย'!D29</f>
        <v>11</v>
      </c>
      <c r="E29" s="4">
        <f t="shared" si="2"/>
        <v>6.6428571428571432</v>
      </c>
      <c r="F29" s="3">
        <f>'ต.ค-มี.ค'!F29+'เม.ย-ก.ย'!F29</f>
        <v>6</v>
      </c>
      <c r="G29" s="3">
        <f>'ต.ค-มี.ค'!G29+'เม.ย-ก.ย'!G29</f>
        <v>0</v>
      </c>
      <c r="H29" s="3">
        <f>'ต.ค-มี.ค'!H29+'เม.ย-ก.ย'!H29</f>
        <v>1</v>
      </c>
      <c r="I29" s="3">
        <f>'ต.ค-มี.ค'!I29+'เม.ย-ก.ย'!I29</f>
        <v>1</v>
      </c>
      <c r="J29" s="3">
        <f>'ต.ค-มี.ค'!J29+'เม.ย-ก.ย'!J29</f>
        <v>0</v>
      </c>
      <c r="K29" s="3">
        <f>'ต.ค-มี.ค'!K29+'เม.ย-ก.ย'!K29</f>
        <v>0</v>
      </c>
      <c r="L29" s="3">
        <f>'ต.ค-มี.ค'!L29+'เม.ย-ก.ย'!L29</f>
        <v>0</v>
      </c>
      <c r="M29" s="5">
        <f t="shared" si="3"/>
        <v>0.35714285714285676</v>
      </c>
      <c r="N29" s="28">
        <f t="shared" si="4"/>
        <v>83.035714285714292</v>
      </c>
      <c r="O29" s="3">
        <f>'ต.ค-มี.ค'!O29+'เม.ย-ก.ย'!O29</f>
        <v>0</v>
      </c>
      <c r="P29" s="3">
        <f>'ต.ค-มี.ค'!P29+'เม.ย-ก.ย'!P29</f>
        <v>2</v>
      </c>
      <c r="Q29" s="3">
        <f>'ต.ค-มี.ค'!Q29+'เม.ย-ก.ย'!Q29</f>
        <v>8</v>
      </c>
      <c r="R29" s="3">
        <f>'ต.ค-มี.ค'!R29+'เม.ย-ก.ย'!R29</f>
        <v>6</v>
      </c>
      <c r="S29" s="3">
        <f>'ต.ค-มี.ค'!S29+'เม.ย-ก.ย'!S29</f>
        <v>7</v>
      </c>
      <c r="T29" s="37">
        <f t="shared" si="0"/>
        <v>23</v>
      </c>
      <c r="U29" s="28">
        <f t="shared" si="5"/>
        <v>107.14285714285714</v>
      </c>
      <c r="V29" s="59">
        <f t="shared" si="1"/>
        <v>0</v>
      </c>
    </row>
    <row r="30" spans="1:22" ht="22.5" customHeight="1">
      <c r="A30" s="87"/>
      <c r="B30" s="7" t="s">
        <v>14</v>
      </c>
      <c r="C30" s="26">
        <f>'ต.ค-มี.ค'!C30+'เม.ย-ก.ย'!C30</f>
        <v>14</v>
      </c>
      <c r="D30" s="26">
        <f>'ต.ค-มี.ค'!D30+'เม.ย-ก.ย'!D30</f>
        <v>12</v>
      </c>
      <c r="E30" s="4">
        <f t="shared" si="2"/>
        <v>7.3928571428571432</v>
      </c>
      <c r="F30" s="3">
        <f>'ต.ค-มี.ค'!F30+'เม.ย-ก.ย'!F30</f>
        <v>5</v>
      </c>
      <c r="G30" s="3">
        <f>'ต.ค-มี.ค'!G30+'เม.ย-ก.ย'!G30</f>
        <v>0</v>
      </c>
      <c r="H30" s="3">
        <f>'ต.ค-มี.ค'!H30+'เม.ย-ก.ย'!H30</f>
        <v>0</v>
      </c>
      <c r="I30" s="3">
        <f>'ต.ค-มี.ค'!I30+'เม.ย-ก.ย'!I30</f>
        <v>1</v>
      </c>
      <c r="J30" s="3">
        <f>'ต.ค-มี.ค'!J30+'เม.ย-ก.ย'!J30</f>
        <v>0</v>
      </c>
      <c r="K30" s="3">
        <f>'ต.ค-มี.ค'!K30+'เม.ย-ก.ย'!K30</f>
        <v>0</v>
      </c>
      <c r="L30" s="3">
        <f>'ต.ค-มี.ค'!L30+'เม.ย-ก.ย'!L30</f>
        <v>0</v>
      </c>
      <c r="M30" s="5">
        <f t="shared" si="3"/>
        <v>-2.3928571428571432</v>
      </c>
      <c r="N30" s="28">
        <f t="shared" si="4"/>
        <v>123.21428571428572</v>
      </c>
      <c r="O30" s="3">
        <f>'ต.ค-มี.ค'!O30+'เม.ย-ก.ย'!O30</f>
        <v>0</v>
      </c>
      <c r="P30" s="3">
        <f>'ต.ค-มี.ค'!P30+'เม.ย-ก.ย'!P30</f>
        <v>0</v>
      </c>
      <c r="Q30" s="3">
        <f>'ต.ค-มี.ค'!Q30+'เม.ย-ก.ย'!Q30</f>
        <v>12</v>
      </c>
      <c r="R30" s="3">
        <f>'ต.ค-มี.ค'!R30+'เม.ย-ก.ย'!R30</f>
        <v>7</v>
      </c>
      <c r="S30" s="3">
        <f>'ต.ค-มี.ค'!S30+'เม.ย-ก.ย'!S30</f>
        <v>7</v>
      </c>
      <c r="T30" s="37">
        <f t="shared" si="0"/>
        <v>26</v>
      </c>
      <c r="U30" s="28">
        <f t="shared" si="5"/>
        <v>160.71428571428572</v>
      </c>
      <c r="V30" s="59">
        <f t="shared" si="1"/>
        <v>0</v>
      </c>
    </row>
    <row r="31" spans="1:22" ht="22.5" customHeight="1">
      <c r="A31" s="87">
        <v>8</v>
      </c>
      <c r="B31" s="7" t="s">
        <v>12</v>
      </c>
      <c r="C31" s="26">
        <f>'ต.ค-มี.ค'!C31+'เม.ย-ก.ย'!C31</f>
        <v>14</v>
      </c>
      <c r="D31" s="26">
        <f>'ต.ค-มี.ค'!D31+'เม.ย-ก.ย'!D31</f>
        <v>13</v>
      </c>
      <c r="E31" s="4">
        <f t="shared" si="2"/>
        <v>7.8214285714285712</v>
      </c>
      <c r="F31" s="3">
        <f>'ต.ค-มี.ค'!F31+'เม.ย-ก.ย'!F31</f>
        <v>6</v>
      </c>
      <c r="G31" s="3">
        <f>'ต.ค-มี.ค'!G31+'เม.ย-ก.ย'!G31</f>
        <v>0</v>
      </c>
      <c r="H31" s="3">
        <f>'ต.ค-มี.ค'!H31+'เม.ย-ก.ย'!H31</f>
        <v>0</v>
      </c>
      <c r="I31" s="3">
        <f>'ต.ค-มี.ค'!I31+'เม.ย-ก.ย'!I31</f>
        <v>0</v>
      </c>
      <c r="J31" s="3">
        <f>'ต.ค-มี.ค'!J31+'เม.ย-ก.ย'!J31</f>
        <v>0</v>
      </c>
      <c r="K31" s="3">
        <f>'ต.ค-มี.ค'!K31+'เม.ย-ก.ย'!K31</f>
        <v>0</v>
      </c>
      <c r="L31" s="3">
        <f>'ต.ค-มี.ค'!L31+'เม.ย-ก.ย'!L31</f>
        <v>0</v>
      </c>
      <c r="M31" s="5">
        <f t="shared" si="3"/>
        <v>-1.8214285714285712</v>
      </c>
      <c r="N31" s="28">
        <f t="shared" si="4"/>
        <v>130.35714285714286</v>
      </c>
      <c r="O31" s="3">
        <f>'ต.ค-มี.ค'!O31+'เม.ย-ก.ย'!O31</f>
        <v>0</v>
      </c>
      <c r="P31" s="3">
        <f>'ต.ค-มี.ค'!P31+'เม.ย-ก.ย'!P31</f>
        <v>0</v>
      </c>
      <c r="Q31" s="3">
        <f>'ต.ค-มี.ค'!Q31+'เม.ย-ก.ย'!Q31</f>
        <v>11</v>
      </c>
      <c r="R31" s="3">
        <f>'ต.ค-มี.ค'!R31+'เม.ย-ก.ย'!R31</f>
        <v>8</v>
      </c>
      <c r="S31" s="3">
        <f>'ต.ค-มี.ค'!S31+'เม.ย-ก.ย'!S31</f>
        <v>8</v>
      </c>
      <c r="T31" s="37">
        <f t="shared" si="0"/>
        <v>27</v>
      </c>
      <c r="U31" s="28">
        <f t="shared" si="5"/>
        <v>171.82539682539684</v>
      </c>
      <c r="V31" s="59">
        <f t="shared" si="1"/>
        <v>0</v>
      </c>
    </row>
    <row r="32" spans="1:22" ht="22.5" customHeight="1">
      <c r="A32" s="87"/>
      <c r="B32" s="7" t="s">
        <v>13</v>
      </c>
      <c r="C32" s="26">
        <f>'ต.ค-มี.ค'!C32+'เม.ย-ก.ย'!C32</f>
        <v>16</v>
      </c>
      <c r="D32" s="26">
        <f>'ต.ค-มี.ค'!D32+'เม.ย-ก.ย'!D32</f>
        <v>13</v>
      </c>
      <c r="E32" s="4">
        <f t="shared" si="2"/>
        <v>8.1428571428571423</v>
      </c>
      <c r="F32" s="3">
        <f>'ต.ค-มี.ค'!F32+'เม.ย-ก.ย'!F32</f>
        <v>7</v>
      </c>
      <c r="G32" s="3">
        <f>'ต.ค-มี.ค'!G32+'เม.ย-ก.ย'!G32</f>
        <v>0</v>
      </c>
      <c r="H32" s="3">
        <f>'ต.ค-มี.ค'!H32+'เม.ย-ก.ย'!H32</f>
        <v>1</v>
      </c>
      <c r="I32" s="3">
        <f>'ต.ค-มี.ค'!I32+'เม.ย-ก.ย'!I32</f>
        <v>0</v>
      </c>
      <c r="J32" s="3">
        <f>'ต.ค-มี.ค'!J32+'เม.ย-ก.ย'!J32</f>
        <v>0</v>
      </c>
      <c r="K32" s="3">
        <f>'ต.ค-มี.ค'!K32+'เม.ย-ก.ย'!K32</f>
        <v>0</v>
      </c>
      <c r="L32" s="3">
        <f>'ต.ค-มี.ค'!L32+'เม.ย-ก.ย'!L32</f>
        <v>0</v>
      </c>
      <c r="M32" s="5">
        <f t="shared" si="3"/>
        <v>-0.14285714285714235</v>
      </c>
      <c r="N32" s="28">
        <f t="shared" si="4"/>
        <v>101.78571428571428</v>
      </c>
      <c r="O32" s="3">
        <f>'ต.ค-มี.ค'!O32+'เม.ย-ก.ย'!O32</f>
        <v>0</v>
      </c>
      <c r="P32" s="3">
        <f>'ต.ค-มี.ค'!P32+'เม.ย-ก.ย'!P32</f>
        <v>2</v>
      </c>
      <c r="Q32" s="3">
        <f>'ต.ค-มี.ค'!Q32+'เม.ย-ก.ย'!Q32</f>
        <v>14</v>
      </c>
      <c r="R32" s="3">
        <f>'ต.ค-มี.ค'!R32+'เม.ย-ก.ย'!R32</f>
        <v>5</v>
      </c>
      <c r="S32" s="3">
        <f>'ต.ค-มี.ค'!S32+'เม.ย-ก.ย'!S32</f>
        <v>8</v>
      </c>
      <c r="T32" s="37">
        <f t="shared" si="0"/>
        <v>29</v>
      </c>
      <c r="U32" s="28">
        <f t="shared" si="5"/>
        <v>129.46428571428572</v>
      </c>
      <c r="V32" s="59">
        <f t="shared" si="1"/>
        <v>0</v>
      </c>
    </row>
    <row r="33" spans="1:22" ht="22.5" customHeight="1">
      <c r="A33" s="87"/>
      <c r="B33" s="7" t="s">
        <v>14</v>
      </c>
      <c r="C33" s="26">
        <f>'ต.ค-มี.ค'!C33+'เม.ย-ก.ย'!C33</f>
        <v>14</v>
      </c>
      <c r="D33" s="26">
        <f>'ต.ค-มี.ค'!D33+'เม.ย-ก.ย'!D33</f>
        <v>13</v>
      </c>
      <c r="E33" s="4">
        <f t="shared" si="2"/>
        <v>7.8214285714285712</v>
      </c>
      <c r="F33" s="3">
        <f>'ต.ค-มี.ค'!F33+'เม.ย-ก.ย'!F33</f>
        <v>6</v>
      </c>
      <c r="G33" s="3">
        <f>'ต.ค-มี.ค'!G33+'เม.ย-ก.ย'!G33</f>
        <v>0</v>
      </c>
      <c r="H33" s="3">
        <f>'ต.ค-มี.ค'!H33+'เม.ย-ก.ย'!H33</f>
        <v>1</v>
      </c>
      <c r="I33" s="3">
        <f>'ต.ค-มี.ค'!I33+'เม.ย-ก.ย'!I33</f>
        <v>0</v>
      </c>
      <c r="J33" s="3">
        <f>'ต.ค-มี.ค'!J33+'เม.ย-ก.ย'!J33</f>
        <v>0</v>
      </c>
      <c r="K33" s="3">
        <f>'ต.ค-มี.ค'!K33+'เม.ย-ก.ย'!K33</f>
        <v>0</v>
      </c>
      <c r="L33" s="3">
        <f>'ต.ค-มี.ค'!L33+'เม.ย-ก.ย'!L33</f>
        <v>0</v>
      </c>
      <c r="M33" s="5">
        <f t="shared" si="3"/>
        <v>-0.82142857142857117</v>
      </c>
      <c r="N33" s="28">
        <f t="shared" si="4"/>
        <v>111.73469387755102</v>
      </c>
      <c r="O33" s="3">
        <f>'ต.ค-มี.ค'!O33+'เม.ย-ก.ย'!O33</f>
        <v>0</v>
      </c>
      <c r="P33" s="3">
        <f>'ต.ค-มี.ค'!P33+'เม.ย-ก.ย'!P33</f>
        <v>0</v>
      </c>
      <c r="Q33" s="3">
        <f>'ต.ค-มี.ค'!Q33+'เม.ย-ก.ย'!Q33</f>
        <v>14</v>
      </c>
      <c r="R33" s="3">
        <f>'ต.ค-มี.ค'!R33+'เม.ย-ก.ย'!R33</f>
        <v>5</v>
      </c>
      <c r="S33" s="3">
        <f>'ต.ค-มี.ค'!S33+'เม.ย-ก.ย'!S33</f>
        <v>8</v>
      </c>
      <c r="T33" s="37">
        <f t="shared" si="0"/>
        <v>27</v>
      </c>
      <c r="U33" s="28">
        <f t="shared" si="5"/>
        <v>143.19727891156464</v>
      </c>
      <c r="V33" s="59">
        <f t="shared" si="1"/>
        <v>0</v>
      </c>
    </row>
    <row r="34" spans="1:22" ht="22.5" customHeight="1">
      <c r="A34" s="87">
        <v>9</v>
      </c>
      <c r="B34" s="7" t="s">
        <v>12</v>
      </c>
      <c r="C34" s="26">
        <f>'ต.ค-มี.ค'!C34+'เม.ย-ก.ย'!C34</f>
        <v>15</v>
      </c>
      <c r="D34" s="26">
        <f>'ต.ค-มี.ค'!D34+'เม.ย-ก.ย'!D34</f>
        <v>13</v>
      </c>
      <c r="E34" s="4">
        <f t="shared" si="2"/>
        <v>7.9821428571428568</v>
      </c>
      <c r="F34" s="3">
        <f>'ต.ค-มี.ค'!F34+'เม.ย-ก.ย'!F34</f>
        <v>6</v>
      </c>
      <c r="G34" s="3">
        <f>'ต.ค-มี.ค'!G34+'เม.ย-ก.ย'!G34</f>
        <v>0</v>
      </c>
      <c r="H34" s="3">
        <f>'ต.ค-มี.ค'!H34+'เม.ย-ก.ย'!H34</f>
        <v>0</v>
      </c>
      <c r="I34" s="3">
        <f>'ต.ค-มี.ค'!I34+'เม.ย-ก.ย'!I34</f>
        <v>0</v>
      </c>
      <c r="J34" s="3">
        <f>'ต.ค-มี.ค'!J34+'เม.ย-ก.ย'!J34</f>
        <v>0</v>
      </c>
      <c r="K34" s="3">
        <f>'ต.ค-มี.ค'!K34+'เม.ย-ก.ย'!K34</f>
        <v>0</v>
      </c>
      <c r="L34" s="3">
        <f>'ต.ค-มี.ค'!L34+'เม.ย-ก.ย'!L34</f>
        <v>0</v>
      </c>
      <c r="M34" s="5">
        <f t="shared" si="3"/>
        <v>-1.9821428571428568</v>
      </c>
      <c r="N34" s="28">
        <f t="shared" si="4"/>
        <v>133.03571428571428</v>
      </c>
      <c r="O34" s="3">
        <f>'ต.ค-มี.ค'!O34+'เม.ย-ก.ย'!O34</f>
        <v>0</v>
      </c>
      <c r="P34" s="3">
        <f>'ต.ค-มี.ค'!P34+'เม.ย-ก.ย'!P34</f>
        <v>0</v>
      </c>
      <c r="Q34" s="3">
        <f>'ต.ค-มี.ค'!Q34+'เม.ย-ก.ย'!Q34</f>
        <v>15</v>
      </c>
      <c r="R34" s="3">
        <f>'ต.ค-มี.ค'!R34+'เม.ย-ก.ย'!R34</f>
        <v>5</v>
      </c>
      <c r="S34" s="3">
        <f>'ต.ค-มี.ค'!S34+'เม.ย-ก.ย'!S34</f>
        <v>8</v>
      </c>
      <c r="T34" s="37">
        <f t="shared" si="0"/>
        <v>28</v>
      </c>
      <c r="U34" s="28">
        <f t="shared" si="5"/>
        <v>171.42857142857142</v>
      </c>
      <c r="V34" s="59">
        <f t="shared" si="1"/>
        <v>0</v>
      </c>
    </row>
    <row r="35" spans="1:22" ht="22.5" customHeight="1">
      <c r="A35" s="87"/>
      <c r="B35" s="7" t="s">
        <v>13</v>
      </c>
      <c r="C35" s="26">
        <f>'ต.ค-มี.ค'!C35+'เม.ย-ก.ย'!C35</f>
        <v>15</v>
      </c>
      <c r="D35" s="26">
        <f>'ต.ค-มี.ค'!D35+'เม.ย-ก.ย'!D35</f>
        <v>14</v>
      </c>
      <c r="E35" s="4">
        <f t="shared" si="2"/>
        <v>8.4107142857142865</v>
      </c>
      <c r="F35" s="3">
        <f>'ต.ค-มี.ค'!F35+'เม.ย-ก.ย'!F35</f>
        <v>4</v>
      </c>
      <c r="G35" s="3">
        <f>'ต.ค-มี.ค'!G35+'เม.ย-ก.ย'!G35</f>
        <v>0</v>
      </c>
      <c r="H35" s="3">
        <f>'ต.ค-มี.ค'!H35+'เม.ย-ก.ย'!H35</f>
        <v>1</v>
      </c>
      <c r="I35" s="3">
        <f>'ต.ค-มี.ค'!I35+'เม.ย-ก.ย'!I35</f>
        <v>2</v>
      </c>
      <c r="J35" s="3">
        <f>'ต.ค-มี.ค'!J35+'เม.ย-ก.ย'!J35</f>
        <v>0</v>
      </c>
      <c r="K35" s="3">
        <f>'ต.ค-มี.ค'!K35+'เม.ย-ก.ย'!K35</f>
        <v>0</v>
      </c>
      <c r="L35" s="3">
        <f>'ต.ค-มี.ค'!L35+'เม.ย-ก.ย'!L35</f>
        <v>0</v>
      </c>
      <c r="M35" s="5">
        <f t="shared" si="3"/>
        <v>-3.4107142857142865</v>
      </c>
      <c r="N35" s="28">
        <f t="shared" si="4"/>
        <v>120.15306122448979</v>
      </c>
      <c r="O35" s="3">
        <f>'ต.ค-มี.ค'!O35+'เม.ย-ก.ย'!O35</f>
        <v>0</v>
      </c>
      <c r="P35" s="3">
        <f>'ต.ค-มี.ค'!P35+'เม.ย-ก.ย'!P35</f>
        <v>0</v>
      </c>
      <c r="Q35" s="3">
        <f>'ต.ค-มี.ค'!Q35+'เม.ย-ก.ย'!Q35</f>
        <v>16</v>
      </c>
      <c r="R35" s="3">
        <f>'ต.ค-มี.ค'!R35+'เม.ย-ก.ย'!R35</f>
        <v>4</v>
      </c>
      <c r="S35" s="3">
        <f>'ต.ค-มี.ค'!S35+'เม.ย-ก.ย'!S35</f>
        <v>9</v>
      </c>
      <c r="T35" s="37">
        <f t="shared" si="0"/>
        <v>29</v>
      </c>
      <c r="U35" s="28">
        <f t="shared" si="5"/>
        <v>153.74149659863946</v>
      </c>
      <c r="V35" s="59">
        <f t="shared" si="1"/>
        <v>0</v>
      </c>
    </row>
    <row r="36" spans="1:22" ht="22.5" customHeight="1">
      <c r="A36" s="87"/>
      <c r="B36" s="7" t="s">
        <v>14</v>
      </c>
      <c r="C36" s="26">
        <f>'ต.ค-มี.ค'!C36+'เม.ย-ก.ย'!C36</f>
        <v>15</v>
      </c>
      <c r="D36" s="26">
        <f>'ต.ค-มี.ค'!D36+'เม.ย-ก.ย'!D36</f>
        <v>14</v>
      </c>
      <c r="E36" s="4">
        <f t="shared" si="2"/>
        <v>8.4107142857142865</v>
      </c>
      <c r="F36" s="3">
        <f>'ต.ค-มี.ค'!F36+'เม.ย-ก.ย'!F36</f>
        <v>6</v>
      </c>
      <c r="G36" s="3">
        <f>'ต.ค-มี.ค'!G36+'เม.ย-ก.ย'!G36</f>
        <v>0</v>
      </c>
      <c r="H36" s="3">
        <f>'ต.ค-มี.ค'!H36+'เม.ย-ก.ย'!H36</f>
        <v>0</v>
      </c>
      <c r="I36" s="3">
        <f>'ต.ค-มี.ค'!I36+'เม.ย-ก.ย'!I36</f>
        <v>0</v>
      </c>
      <c r="J36" s="3">
        <f>'ต.ค-มี.ค'!J36+'เม.ย-ก.ย'!J36</f>
        <v>0</v>
      </c>
      <c r="K36" s="3">
        <f>'ต.ค-มี.ค'!K36+'เม.ย-ก.ย'!K36</f>
        <v>0</v>
      </c>
      <c r="L36" s="3">
        <f>'ต.ค-มี.ค'!L36+'เม.ย-ก.ย'!L36</f>
        <v>0</v>
      </c>
      <c r="M36" s="5">
        <f t="shared" si="3"/>
        <v>-2.4107142857142865</v>
      </c>
      <c r="N36" s="28">
        <f t="shared" si="4"/>
        <v>140.17857142857142</v>
      </c>
      <c r="O36" s="3">
        <f>'ต.ค-มี.ค'!O36+'เม.ย-ก.ย'!O36</f>
        <v>0</v>
      </c>
      <c r="P36" s="3">
        <f>'ต.ค-มี.ค'!P36+'เม.ย-ก.ย'!P36</f>
        <v>0</v>
      </c>
      <c r="Q36" s="3">
        <f>'ต.ค-มี.ค'!Q36+'เม.ย-ก.ย'!Q36</f>
        <v>16</v>
      </c>
      <c r="R36" s="3">
        <f>'ต.ค-มี.ค'!R36+'เม.ย-ก.ย'!R36</f>
        <v>4</v>
      </c>
      <c r="S36" s="3">
        <f>'ต.ค-มี.ค'!S36+'เม.ย-ก.ย'!S36</f>
        <v>9</v>
      </c>
      <c r="T36" s="37">
        <f t="shared" si="0"/>
        <v>29</v>
      </c>
      <c r="U36" s="28">
        <f t="shared" si="5"/>
        <v>179.36507936507934</v>
      </c>
      <c r="V36" s="59">
        <f t="shared" si="1"/>
        <v>0</v>
      </c>
    </row>
    <row r="37" spans="1:22" ht="22.5" customHeight="1">
      <c r="A37" s="87">
        <v>10</v>
      </c>
      <c r="B37" s="7" t="s">
        <v>12</v>
      </c>
      <c r="C37" s="26">
        <f>'ต.ค-มี.ค'!C37+'เม.ย-ก.ย'!C37</f>
        <v>15</v>
      </c>
      <c r="D37" s="26">
        <f>'ต.ค-มี.ค'!D37+'เม.ย-ก.ย'!D37</f>
        <v>14</v>
      </c>
      <c r="E37" s="4">
        <f t="shared" si="2"/>
        <v>8.4107142857142865</v>
      </c>
      <c r="F37" s="3">
        <f>'ต.ค-มี.ค'!F37+'เม.ย-ก.ย'!F37</f>
        <v>6</v>
      </c>
      <c r="G37" s="3">
        <f>'ต.ค-มี.ค'!G37+'เม.ย-ก.ย'!G37</f>
        <v>0</v>
      </c>
      <c r="H37" s="3">
        <f>'ต.ค-มี.ค'!H37+'เม.ย-ก.ย'!H37</f>
        <v>0</v>
      </c>
      <c r="I37" s="3">
        <f>'ต.ค-มี.ค'!I37+'เม.ย-ก.ย'!I37</f>
        <v>0</v>
      </c>
      <c r="J37" s="3">
        <f>'ต.ค-มี.ค'!J37+'เม.ย-ก.ย'!J37</f>
        <v>0</v>
      </c>
      <c r="K37" s="3">
        <f>'ต.ค-มี.ค'!K37+'เม.ย-ก.ย'!K37</f>
        <v>0</v>
      </c>
      <c r="L37" s="3">
        <f>'ต.ค-มี.ค'!L37+'เม.ย-ก.ย'!L37</f>
        <v>0</v>
      </c>
      <c r="M37" s="5">
        <f t="shared" si="3"/>
        <v>-2.4107142857142865</v>
      </c>
      <c r="N37" s="28">
        <f t="shared" si="4"/>
        <v>140.17857142857142</v>
      </c>
      <c r="O37" s="3">
        <f>'ต.ค-มี.ค'!O37+'เม.ย-ก.ย'!O37</f>
        <v>0</v>
      </c>
      <c r="P37" s="3">
        <f>'ต.ค-มี.ค'!P37+'เม.ย-ก.ย'!P37</f>
        <v>0</v>
      </c>
      <c r="Q37" s="3">
        <f>'ต.ค-มี.ค'!Q37+'เม.ย-ก.ย'!Q37</f>
        <v>16</v>
      </c>
      <c r="R37" s="3">
        <f>'ต.ค-มี.ค'!R37+'เม.ย-ก.ย'!R37</f>
        <v>4</v>
      </c>
      <c r="S37" s="3">
        <f>'ต.ค-มี.ค'!S37+'เม.ย-ก.ย'!S37</f>
        <v>9</v>
      </c>
      <c r="T37" s="37">
        <f t="shared" si="0"/>
        <v>29</v>
      </c>
      <c r="U37" s="28">
        <f t="shared" si="5"/>
        <v>179.36507936507934</v>
      </c>
      <c r="V37" s="59">
        <f t="shared" si="1"/>
        <v>0</v>
      </c>
    </row>
    <row r="38" spans="1:22" ht="22.5" customHeight="1">
      <c r="A38" s="87"/>
      <c r="B38" s="7" t="s">
        <v>13</v>
      </c>
      <c r="C38" s="26">
        <f>'ต.ค-มี.ค'!C38+'เม.ย-ก.ย'!C38</f>
        <v>15</v>
      </c>
      <c r="D38" s="26">
        <f>'ต.ค-มี.ค'!D38+'เม.ย-ก.ย'!D38</f>
        <v>14</v>
      </c>
      <c r="E38" s="4">
        <f t="shared" si="2"/>
        <v>8.4107142857142865</v>
      </c>
      <c r="F38" s="3">
        <f>'ต.ค-มี.ค'!F38+'เม.ย-ก.ย'!F38</f>
        <v>6</v>
      </c>
      <c r="G38" s="3">
        <f>'ต.ค-มี.ค'!G38+'เม.ย-ก.ย'!G38</f>
        <v>0</v>
      </c>
      <c r="H38" s="3">
        <f>'ต.ค-มี.ค'!H38+'เม.ย-ก.ย'!H38</f>
        <v>0</v>
      </c>
      <c r="I38" s="3">
        <f>'ต.ค-มี.ค'!I38+'เม.ย-ก.ย'!I38</f>
        <v>1</v>
      </c>
      <c r="J38" s="3">
        <f>'ต.ค-มี.ค'!J38+'เม.ย-ก.ย'!J38</f>
        <v>0</v>
      </c>
      <c r="K38" s="3">
        <f>'ต.ค-มี.ค'!K38+'เม.ย-ก.ย'!K38</f>
        <v>0</v>
      </c>
      <c r="L38" s="3">
        <f>'ต.ค-มี.ค'!L38+'เม.ย-ก.ย'!L38</f>
        <v>0</v>
      </c>
      <c r="M38" s="5">
        <f t="shared" si="3"/>
        <v>-2.4107142857142865</v>
      </c>
      <c r="N38" s="28">
        <f t="shared" si="4"/>
        <v>120.15306122448979</v>
      </c>
      <c r="O38" s="3">
        <f>'ต.ค-มี.ค'!O38+'เม.ย-ก.ย'!O38</f>
        <v>0</v>
      </c>
      <c r="P38" s="3">
        <f>'ต.ค-มี.ค'!P38+'เม.ย-ก.ย'!P38</f>
        <v>4</v>
      </c>
      <c r="Q38" s="3">
        <f>'ต.ค-มี.ค'!Q38+'เม.ย-ก.ย'!Q38</f>
        <v>18</v>
      </c>
      <c r="R38" s="3">
        <f>'ต.ค-มี.ค'!R38+'เม.ย-ก.ย'!R38</f>
        <v>2</v>
      </c>
      <c r="S38" s="3">
        <f>'ต.ค-มี.ค'!S38+'เม.ย-ก.ย'!S38</f>
        <v>9</v>
      </c>
      <c r="T38" s="37">
        <f t="shared" si="0"/>
        <v>33</v>
      </c>
      <c r="U38" s="28">
        <f t="shared" si="5"/>
        <v>160.54421768707482</v>
      </c>
      <c r="V38" s="59">
        <f t="shared" si="1"/>
        <v>-4</v>
      </c>
    </row>
    <row r="39" spans="1:22" ht="22.5" customHeight="1">
      <c r="A39" s="87"/>
      <c r="B39" s="7" t="s">
        <v>14</v>
      </c>
      <c r="C39" s="26">
        <f>'ต.ค-มี.ค'!C39+'เม.ย-ก.ย'!C39</f>
        <v>17</v>
      </c>
      <c r="D39" s="26">
        <f>'ต.ค-มี.ค'!D39+'เม.ย-ก.ย'!D39</f>
        <v>12</v>
      </c>
      <c r="E39" s="4">
        <f t="shared" si="2"/>
        <v>7.875</v>
      </c>
      <c r="F39" s="3">
        <f>'ต.ค-มี.ค'!F39+'เม.ย-ก.ย'!F39</f>
        <v>5</v>
      </c>
      <c r="G39" s="3">
        <f>'ต.ค-มี.ค'!G39+'เม.ย-ก.ย'!G39</f>
        <v>0</v>
      </c>
      <c r="H39" s="3">
        <f>'ต.ค-มี.ค'!H39+'เม.ย-ก.ย'!H39</f>
        <v>0</v>
      </c>
      <c r="I39" s="3">
        <f>'ต.ค-มี.ค'!I39+'เม.ย-ก.ย'!I39</f>
        <v>1</v>
      </c>
      <c r="J39" s="3">
        <f>'ต.ค-มี.ค'!J39+'เม.ย-ก.ย'!J39</f>
        <v>0</v>
      </c>
      <c r="K39" s="3">
        <f>'ต.ค-มี.ค'!K39+'เม.ย-ก.ย'!K39</f>
        <v>1</v>
      </c>
      <c r="L39" s="3">
        <f>'ต.ค-มี.ค'!L39+'เม.ย-ก.ย'!L39</f>
        <v>0</v>
      </c>
      <c r="M39" s="5">
        <f t="shared" si="3"/>
        <v>-2.875</v>
      </c>
      <c r="N39" s="28">
        <f t="shared" si="4"/>
        <v>112.5</v>
      </c>
      <c r="O39" s="3">
        <f>'ต.ค-มี.ค'!O39+'เม.ย-ก.ย'!O39</f>
        <v>0</v>
      </c>
      <c r="P39" s="3">
        <f>'ต.ค-มี.ค'!P39+'เม.ย-ก.ย'!P39</f>
        <v>0</v>
      </c>
      <c r="Q39" s="3">
        <f>'ต.ค-มี.ค'!Q39+'เม.ย-ก.ย'!Q39</f>
        <v>18</v>
      </c>
      <c r="R39" s="3">
        <f>'ต.ค-มี.ค'!R39+'เม.ย-ก.ย'!R39</f>
        <v>5</v>
      </c>
      <c r="S39" s="3">
        <f>'ต.ค-มี.ค'!S39+'เม.ย-ก.ย'!S39</f>
        <v>5</v>
      </c>
      <c r="T39" s="37">
        <f t="shared" si="0"/>
        <v>28</v>
      </c>
      <c r="U39" s="28">
        <f t="shared" si="5"/>
        <v>133.67346938775512</v>
      </c>
      <c r="V39" s="59">
        <f t="shared" si="1"/>
        <v>1</v>
      </c>
    </row>
    <row r="40" spans="1:22" ht="22.5" customHeight="1">
      <c r="A40" s="87">
        <v>11</v>
      </c>
      <c r="B40" s="7" t="s">
        <v>12</v>
      </c>
      <c r="C40" s="26">
        <f>'ต.ค-มี.ค'!C40+'เม.ย-ก.ย'!C40</f>
        <v>16</v>
      </c>
      <c r="D40" s="26">
        <f>'ต.ค-มี.ค'!D40+'เม.ย-ก.ย'!D40</f>
        <v>13</v>
      </c>
      <c r="E40" s="4">
        <f t="shared" si="2"/>
        <v>8.1428571428571423</v>
      </c>
      <c r="F40" s="3">
        <f>'ต.ค-มี.ค'!F40+'เม.ย-ก.ย'!F40</f>
        <v>6</v>
      </c>
      <c r="G40" s="3">
        <f>'ต.ค-มี.ค'!G40+'เม.ย-ก.ย'!G40</f>
        <v>0</v>
      </c>
      <c r="H40" s="3">
        <f>'ต.ค-มี.ค'!H40+'เม.ย-ก.ย'!H40</f>
        <v>0</v>
      </c>
      <c r="I40" s="3">
        <f>'ต.ค-มี.ค'!I40+'เม.ย-ก.ย'!I40</f>
        <v>0</v>
      </c>
      <c r="J40" s="3">
        <f>'ต.ค-มี.ค'!J40+'เม.ย-ก.ย'!J40</f>
        <v>0</v>
      </c>
      <c r="K40" s="3">
        <f>'ต.ค-มี.ค'!K40+'เม.ย-ก.ย'!K40</f>
        <v>0</v>
      </c>
      <c r="L40" s="3">
        <f>'ต.ค-มี.ค'!L40+'เม.ย-ก.ย'!L40</f>
        <v>0</v>
      </c>
      <c r="M40" s="5">
        <f t="shared" si="3"/>
        <v>-2.1428571428571423</v>
      </c>
      <c r="N40" s="28">
        <f t="shared" si="4"/>
        <v>135.71428571428572</v>
      </c>
      <c r="O40" s="3">
        <f>'ต.ค-มี.ค'!O40+'เม.ย-ก.ย'!O40</f>
        <v>0</v>
      </c>
      <c r="P40" s="3">
        <f>'ต.ค-มี.ค'!P40+'เม.ย-ก.ย'!P40</f>
        <v>0</v>
      </c>
      <c r="Q40" s="3">
        <f>'ต.ค-มี.ค'!Q40+'เม.ย-ก.ย'!Q40</f>
        <v>18</v>
      </c>
      <c r="R40" s="3">
        <f>'ต.ค-มี.ค'!R40+'เม.ย-ก.ย'!R40</f>
        <v>5</v>
      </c>
      <c r="S40" s="3">
        <f>'ต.ค-มี.ค'!S40+'เม.ย-ก.ย'!S40</f>
        <v>6</v>
      </c>
      <c r="T40" s="37">
        <f t="shared" si="0"/>
        <v>29</v>
      </c>
      <c r="U40" s="28">
        <f t="shared" si="5"/>
        <v>165.47619047619045</v>
      </c>
      <c r="V40" s="59">
        <f t="shared" si="1"/>
        <v>0</v>
      </c>
    </row>
    <row r="41" spans="1:22" ht="22.5" customHeight="1">
      <c r="A41" s="87"/>
      <c r="B41" s="7" t="s">
        <v>13</v>
      </c>
      <c r="C41" s="26">
        <f>'ต.ค-มี.ค'!C41+'เม.ย-ก.ย'!C41</f>
        <v>14</v>
      </c>
      <c r="D41" s="26">
        <f>'ต.ค-มี.ค'!D41+'เม.ย-ก.ย'!D41</f>
        <v>13</v>
      </c>
      <c r="E41" s="4">
        <f t="shared" si="2"/>
        <v>7.8214285714285712</v>
      </c>
      <c r="F41" s="3">
        <f>'ต.ค-มี.ค'!F41+'เม.ย-ก.ย'!F41</f>
        <v>6</v>
      </c>
      <c r="G41" s="3">
        <f>'ต.ค-มี.ค'!G41+'เม.ย-ก.ย'!G41</f>
        <v>0</v>
      </c>
      <c r="H41" s="3">
        <f>'ต.ค-มี.ค'!H41+'เม.ย-ก.ย'!H41</f>
        <v>0</v>
      </c>
      <c r="I41" s="3">
        <f>'ต.ค-มี.ค'!I41+'เม.ย-ก.ย'!I41</f>
        <v>0</v>
      </c>
      <c r="J41" s="3">
        <f>'ต.ค-มี.ค'!J41+'เม.ย-ก.ย'!J41</f>
        <v>0</v>
      </c>
      <c r="K41" s="3">
        <f>'ต.ค-มี.ค'!K41+'เม.ย-ก.ย'!K41</f>
        <v>1</v>
      </c>
      <c r="L41" s="3">
        <f>'ต.ค-มี.ค'!L41+'เม.ย-ก.ย'!L41</f>
        <v>0</v>
      </c>
      <c r="M41" s="5">
        <f t="shared" si="3"/>
        <v>-1.8214285714285712</v>
      </c>
      <c r="N41" s="28">
        <f t="shared" si="4"/>
        <v>111.73469387755102</v>
      </c>
      <c r="O41" s="3">
        <f>'ต.ค-มี.ค'!O41+'เม.ย-ก.ย'!O41</f>
        <v>0</v>
      </c>
      <c r="P41" s="3">
        <f>'ต.ค-มี.ค'!P41+'เม.ย-ก.ย'!P41</f>
        <v>3</v>
      </c>
      <c r="Q41" s="3">
        <f>'ต.ค-มี.ค'!Q41+'เม.ย-ก.ย'!Q41</f>
        <v>13</v>
      </c>
      <c r="R41" s="3">
        <f>'ต.ค-มี.ค'!R41+'เม.ย-ก.ย'!R41</f>
        <v>5</v>
      </c>
      <c r="S41" s="3">
        <f>'ต.ค-มี.ค'!S41+'เม.ย-ก.ย'!S41</f>
        <v>6</v>
      </c>
      <c r="T41" s="37">
        <f t="shared" si="0"/>
        <v>27</v>
      </c>
      <c r="U41" s="28">
        <f t="shared" si="5"/>
        <v>130.27210884353741</v>
      </c>
      <c r="V41" s="59">
        <f t="shared" si="1"/>
        <v>0</v>
      </c>
    </row>
    <row r="42" spans="1:22" ht="22.5" customHeight="1">
      <c r="A42" s="87"/>
      <c r="B42" s="7" t="s">
        <v>14</v>
      </c>
      <c r="C42" s="26">
        <f>'ต.ค-มี.ค'!C42+'เม.ย-ก.ย'!C42</f>
        <v>15</v>
      </c>
      <c r="D42" s="26">
        <f>'ต.ค-มี.ค'!D42+'เม.ย-ก.ย'!D42</f>
        <v>13</v>
      </c>
      <c r="E42" s="4">
        <f t="shared" si="2"/>
        <v>7.9821428571428568</v>
      </c>
      <c r="F42" s="3" t="e">
        <f>'ต.ค-มี.ค'!F42+'เม.ย-ก.ย'!F42</f>
        <v>#REF!</v>
      </c>
      <c r="G42" s="3">
        <f>'ต.ค-มี.ค'!G42+'เม.ย-ก.ย'!G42</f>
        <v>0</v>
      </c>
      <c r="H42" s="3">
        <f>'ต.ค-มี.ค'!H42+'เม.ย-ก.ย'!H42</f>
        <v>0</v>
      </c>
      <c r="I42" s="3">
        <f>'ต.ค-มี.ค'!I42+'เม.ย-ก.ย'!I42</f>
        <v>2</v>
      </c>
      <c r="J42" s="3">
        <f>'ต.ค-มี.ค'!J42+'เม.ย-ก.ย'!J42</f>
        <v>0</v>
      </c>
      <c r="K42" s="3">
        <f>'ต.ค-มี.ค'!K42+'เม.ย-ก.ย'!K42</f>
        <v>0</v>
      </c>
      <c r="L42" s="3">
        <f>'ต.ค-มี.ค'!L42+'เม.ย-ก.ย'!L42</f>
        <v>0</v>
      </c>
      <c r="M42" s="5" t="e">
        <f t="shared" si="3"/>
        <v>#REF!</v>
      </c>
      <c r="N42" s="28" t="e">
        <f t="shared" si="4"/>
        <v>#REF!</v>
      </c>
      <c r="O42" s="3">
        <f>'ต.ค-มี.ค'!O42+'เม.ย-ก.ย'!O42</f>
        <v>0</v>
      </c>
      <c r="P42" s="3">
        <f>'ต.ค-มี.ค'!P42+'เม.ย-ก.ย'!P42</f>
        <v>0</v>
      </c>
      <c r="Q42" s="3">
        <f>'ต.ค-มี.ค'!Q42+'เม.ย-ก.ย'!Q42</f>
        <v>15</v>
      </c>
      <c r="R42" s="3">
        <f>'ต.ค-มี.ค'!R42+'เม.ย-ก.ย'!R42</f>
        <v>6</v>
      </c>
      <c r="S42" s="3">
        <f>'ต.ค-มี.ค'!S42+'เม.ย-ก.ย'!S42</f>
        <v>6</v>
      </c>
      <c r="T42" s="37">
        <f t="shared" si="0"/>
        <v>27</v>
      </c>
      <c r="U42" s="28" t="e">
        <f t="shared" si="5"/>
        <v>#REF!</v>
      </c>
      <c r="V42" s="59">
        <f t="shared" si="1"/>
        <v>1</v>
      </c>
    </row>
    <row r="43" spans="1:22" ht="22.5" customHeight="1">
      <c r="A43" s="87">
        <v>12</v>
      </c>
      <c r="B43" s="7" t="s">
        <v>12</v>
      </c>
      <c r="C43" s="26">
        <f>'ต.ค-มี.ค'!C43+'เม.ย-ก.ย'!C43</f>
        <v>14</v>
      </c>
      <c r="D43" s="26">
        <f>'ต.ค-มี.ค'!D43+'เม.ย-ก.ย'!D43</f>
        <v>13</v>
      </c>
      <c r="E43" s="4">
        <f t="shared" si="2"/>
        <v>7.8214285714285712</v>
      </c>
      <c r="F43" s="3">
        <f>'ต.ค-มี.ค'!F43+'เม.ย-ก.ย'!F43</f>
        <v>6</v>
      </c>
      <c r="G43" s="3">
        <f>'ต.ค-มี.ค'!G43+'เม.ย-ก.ย'!G43</f>
        <v>0</v>
      </c>
      <c r="H43" s="3">
        <f>'ต.ค-มี.ค'!H43+'เม.ย-ก.ย'!H43</f>
        <v>0</v>
      </c>
      <c r="I43" s="3">
        <f>'ต.ค-มี.ค'!I43+'เม.ย-ก.ย'!I43</f>
        <v>0</v>
      </c>
      <c r="J43" s="3">
        <f>'ต.ค-มี.ค'!J43+'เม.ย-ก.ย'!J43</f>
        <v>0</v>
      </c>
      <c r="K43" s="3">
        <f>'ต.ค-มี.ค'!K43+'เม.ย-ก.ย'!K43</f>
        <v>0</v>
      </c>
      <c r="L43" s="3">
        <f>'ต.ค-มี.ค'!L43+'เม.ย-ก.ย'!L43</f>
        <v>0</v>
      </c>
      <c r="M43" s="5">
        <f t="shared" si="3"/>
        <v>-1.8214285714285712</v>
      </c>
      <c r="N43" s="28">
        <f t="shared" si="4"/>
        <v>130.35714285714286</v>
      </c>
      <c r="O43" s="3">
        <f>'ต.ค-มี.ค'!O43+'เม.ย-ก.ย'!O43</f>
        <v>0</v>
      </c>
      <c r="P43" s="3">
        <f>'ต.ค-มี.ค'!P43+'เม.ย-ก.ย'!P43</f>
        <v>0</v>
      </c>
      <c r="Q43" s="3">
        <f>'ต.ค-มี.ค'!Q43+'เม.ย-ก.ย'!Q43</f>
        <v>16</v>
      </c>
      <c r="R43" s="3">
        <f>'ต.ค-มี.ค'!R43+'เม.ย-ก.ย'!R43</f>
        <v>4</v>
      </c>
      <c r="S43" s="3">
        <f>'ต.ค-มี.ค'!S43+'เม.ย-ก.ย'!S43</f>
        <v>7</v>
      </c>
      <c r="T43" s="37">
        <f t="shared" si="0"/>
        <v>27</v>
      </c>
      <c r="U43" s="28">
        <f t="shared" si="5"/>
        <v>160.3174603174603</v>
      </c>
      <c r="V43" s="59">
        <f t="shared" si="1"/>
        <v>0</v>
      </c>
    </row>
    <row r="44" spans="1:22" ht="22.5" customHeight="1">
      <c r="A44" s="87"/>
      <c r="B44" s="7" t="s">
        <v>13</v>
      </c>
      <c r="C44" s="26">
        <f>'ต.ค-มี.ค'!C44+'เม.ย-ก.ย'!C44</f>
        <v>14</v>
      </c>
      <c r="D44" s="26">
        <f>'ต.ค-มี.ค'!D44+'เม.ย-ก.ย'!D44</f>
        <v>13</v>
      </c>
      <c r="E44" s="4">
        <f t="shared" si="2"/>
        <v>7.8214285714285712</v>
      </c>
      <c r="F44" s="3">
        <f>'ต.ค-มี.ค'!F44+'เม.ย-ก.ย'!F44</f>
        <v>6</v>
      </c>
      <c r="G44" s="3">
        <f>'ต.ค-มี.ค'!G44+'เม.ย-ก.ย'!G44</f>
        <v>0</v>
      </c>
      <c r="H44" s="3">
        <f>'ต.ค-มี.ค'!H44+'เม.ย-ก.ย'!H44</f>
        <v>0</v>
      </c>
      <c r="I44" s="3">
        <f>'ต.ค-มี.ค'!I44+'เม.ย-ก.ย'!I44</f>
        <v>1</v>
      </c>
      <c r="J44" s="3">
        <f>'ต.ค-มี.ค'!J44+'เม.ย-ก.ย'!J44</f>
        <v>0</v>
      </c>
      <c r="K44" s="3">
        <f>'ต.ค-มี.ค'!K44+'เม.ย-ก.ย'!K44</f>
        <v>1</v>
      </c>
      <c r="L44" s="3">
        <f>'ต.ค-มี.ค'!L44+'เม.ย-ก.ย'!L44</f>
        <v>0</v>
      </c>
      <c r="M44" s="5">
        <f t="shared" si="3"/>
        <v>-1.8214285714285712</v>
      </c>
      <c r="N44" s="28">
        <f t="shared" si="4"/>
        <v>97.767857142857139</v>
      </c>
      <c r="O44" s="3">
        <f>'ต.ค-มี.ค'!O44+'เม.ย-ก.ย'!O44</f>
        <v>0</v>
      </c>
      <c r="P44" s="3">
        <f>'ต.ค-มี.ค'!P44+'เม.ย-ก.ย'!P44</f>
        <v>4</v>
      </c>
      <c r="Q44" s="3">
        <f>'ต.ค-มี.ค'!Q44+'เม.ย-ก.ย'!Q44</f>
        <v>10</v>
      </c>
      <c r="R44" s="3">
        <f>'ต.ค-มี.ค'!R44+'เม.ย-ก.ย'!R44</f>
        <v>4</v>
      </c>
      <c r="S44" s="3">
        <f>'ต.ค-มี.ค'!S44+'เม.ย-ก.ย'!S44</f>
        <v>7</v>
      </c>
      <c r="T44" s="37">
        <f t="shared" si="0"/>
        <v>25</v>
      </c>
      <c r="U44" s="28">
        <f t="shared" si="5"/>
        <v>108.92857142857142</v>
      </c>
      <c r="V44" s="59">
        <f t="shared" si="1"/>
        <v>2</v>
      </c>
    </row>
    <row r="45" spans="1:22" ht="22.5" customHeight="1">
      <c r="A45" s="87"/>
      <c r="B45" s="7" t="s">
        <v>14</v>
      </c>
      <c r="C45" s="26">
        <f>'ต.ค-มี.ค'!C45+'เม.ย-ก.ย'!C45</f>
        <v>13</v>
      </c>
      <c r="D45" s="26">
        <f>'ต.ค-มี.ค'!D45+'เม.ย-ก.ย'!D45</f>
        <v>12</v>
      </c>
      <c r="E45" s="4">
        <f t="shared" si="2"/>
        <v>7.2321428571428568</v>
      </c>
      <c r="F45" s="3">
        <f>'ต.ค-มี.ค'!F45+'เม.ย-ก.ย'!F45</f>
        <v>5</v>
      </c>
      <c r="G45" s="3">
        <f>'ต.ค-มี.ค'!G45+'เม.ย-ก.ย'!G45</f>
        <v>0</v>
      </c>
      <c r="H45" s="3">
        <f>'ต.ค-มี.ค'!H45+'เม.ย-ก.ย'!H45</f>
        <v>0</v>
      </c>
      <c r="I45" s="3">
        <f>'ต.ค-มี.ค'!I45+'เม.ย-ก.ย'!I45</f>
        <v>1</v>
      </c>
      <c r="J45" s="3">
        <f>'ต.ค-มี.ค'!J45+'เม.ย-ก.ย'!J45</f>
        <v>0</v>
      </c>
      <c r="K45" s="3">
        <f>'ต.ค-มี.ค'!K45+'เม.ย-ก.ย'!K45</f>
        <v>1</v>
      </c>
      <c r="L45" s="3">
        <f>'ต.ค-มี.ค'!L45+'เม.ย-ก.ย'!L45</f>
        <v>0</v>
      </c>
      <c r="M45" s="5">
        <f t="shared" si="3"/>
        <v>-2.2321428571428568</v>
      </c>
      <c r="N45" s="28">
        <f t="shared" si="4"/>
        <v>103.31632653061224</v>
      </c>
      <c r="O45" s="3">
        <f>'ต.ค-มี.ค'!O45+'เม.ย-ก.ย'!O45</f>
        <v>0</v>
      </c>
      <c r="P45" s="3">
        <f>'ต.ค-มี.ค'!P45+'เม.ย-ก.ย'!P45</f>
        <v>0</v>
      </c>
      <c r="Q45" s="3">
        <f>'ต.ค-มี.ค'!Q45+'เม.ย-ก.ย'!Q45</f>
        <v>15</v>
      </c>
      <c r="R45" s="3">
        <f>'ต.ค-มี.ค'!R45+'เม.ย-ก.ย'!R45</f>
        <v>3</v>
      </c>
      <c r="S45" s="3">
        <f>'ต.ค-มี.ค'!S45+'เม.ย-ก.ย'!S45</f>
        <v>7</v>
      </c>
      <c r="T45" s="37">
        <f t="shared" si="0"/>
        <v>25</v>
      </c>
      <c r="U45" s="28">
        <f t="shared" si="5"/>
        <v>128.57142857142858</v>
      </c>
      <c r="V45" s="59">
        <f t="shared" si="1"/>
        <v>0</v>
      </c>
    </row>
    <row r="46" spans="1:22" ht="22.5" customHeight="1">
      <c r="A46" s="87">
        <v>13</v>
      </c>
      <c r="B46" s="7" t="s">
        <v>12</v>
      </c>
      <c r="C46" s="26">
        <f>'ต.ค-มี.ค'!C46+'เม.ย-ก.ย'!C46</f>
        <v>13</v>
      </c>
      <c r="D46" s="26">
        <f>'ต.ค-มี.ค'!D46+'เม.ย-ก.ย'!D46</f>
        <v>12</v>
      </c>
      <c r="E46" s="4">
        <f t="shared" si="2"/>
        <v>7.2321428571428568</v>
      </c>
      <c r="F46" s="3">
        <f>'ต.ค-มี.ค'!F46+'เม.ย-ก.ย'!F46</f>
        <v>5</v>
      </c>
      <c r="G46" s="3">
        <f>'ต.ค-มี.ค'!G46+'เม.ย-ก.ย'!G46</f>
        <v>0</v>
      </c>
      <c r="H46" s="3">
        <f>'ต.ค-มี.ค'!H46+'เม.ย-ก.ย'!H46</f>
        <v>0</v>
      </c>
      <c r="I46" s="3">
        <f>'ต.ค-มี.ค'!I46+'เม.ย-ก.ย'!I46</f>
        <v>1</v>
      </c>
      <c r="J46" s="3">
        <f>'ต.ค-มี.ค'!J46+'เม.ย-ก.ย'!J46</f>
        <v>0</v>
      </c>
      <c r="K46" s="3">
        <f>'ต.ค-มี.ค'!K46+'เม.ย-ก.ย'!K46</f>
        <v>0</v>
      </c>
      <c r="L46" s="3">
        <f>'ต.ค-มี.ค'!L46+'เม.ย-ก.ย'!L46</f>
        <v>0</v>
      </c>
      <c r="M46" s="5">
        <f t="shared" si="3"/>
        <v>-2.2321428571428568</v>
      </c>
      <c r="N46" s="28">
        <f t="shared" si="4"/>
        <v>120.53571428571428</v>
      </c>
      <c r="O46" s="3">
        <f>'ต.ค-มี.ค'!O46+'เม.ย-ก.ย'!O46</f>
        <v>0</v>
      </c>
      <c r="P46" s="3">
        <f>'ต.ค-มี.ค'!P46+'เม.ย-ก.ย'!P46</f>
        <v>0</v>
      </c>
      <c r="Q46" s="3">
        <f>'ต.ค-มี.ค'!Q46+'เม.ย-ก.ย'!Q46</f>
        <v>16</v>
      </c>
      <c r="R46" s="3">
        <f>'ต.ค-มี.ค'!R46+'เม.ย-ก.ย'!R46</f>
        <v>2</v>
      </c>
      <c r="S46" s="3">
        <f>'ต.ค-มี.ค'!S46+'เม.ย-ก.ย'!S46</f>
        <v>7</v>
      </c>
      <c r="T46" s="37">
        <f t="shared" si="0"/>
        <v>25</v>
      </c>
      <c r="U46" s="28">
        <f t="shared" si="5"/>
        <v>148.41269841269843</v>
      </c>
      <c r="V46" s="59">
        <f t="shared" si="1"/>
        <v>0</v>
      </c>
    </row>
    <row r="47" spans="1:22" ht="22.5" customHeight="1">
      <c r="A47" s="87"/>
      <c r="B47" s="7" t="s">
        <v>13</v>
      </c>
      <c r="C47" s="26">
        <f>'ต.ค-มี.ค'!C47+'เม.ย-ก.ย'!C47</f>
        <v>13</v>
      </c>
      <c r="D47" s="26">
        <f>'ต.ค-มี.ค'!D47+'เม.ย-ก.ย'!D47</f>
        <v>10</v>
      </c>
      <c r="E47" s="4">
        <f t="shared" si="2"/>
        <v>6.375</v>
      </c>
      <c r="F47" s="3">
        <f>'ต.ค-มี.ค'!F47+'เม.ย-ก.ย'!F47</f>
        <v>5</v>
      </c>
      <c r="G47" s="3">
        <f>'ต.ค-มี.ค'!G47+'เม.ย-ก.ย'!G47</f>
        <v>0</v>
      </c>
      <c r="H47" s="3">
        <f>'ต.ค-มี.ค'!H47+'เม.ย-ก.ย'!H47</f>
        <v>0</v>
      </c>
      <c r="I47" s="3">
        <f>'ต.ค-มี.ค'!I47+'เม.ย-ก.ย'!I47</f>
        <v>0</v>
      </c>
      <c r="J47" s="3">
        <f>'ต.ค-มี.ค'!J47+'เม.ย-ก.ย'!J47</f>
        <v>0</v>
      </c>
      <c r="K47" s="3">
        <f>'ต.ค-มี.ค'!K47+'เม.ย-ก.ย'!K47</f>
        <v>1</v>
      </c>
      <c r="L47" s="3">
        <f>'ต.ค-มี.ค'!L47+'เม.ย-ก.ย'!L47</f>
        <v>0</v>
      </c>
      <c r="M47" s="5">
        <f t="shared" si="3"/>
        <v>-1.375</v>
      </c>
      <c r="N47" s="28">
        <f t="shared" si="4"/>
        <v>106.25</v>
      </c>
      <c r="O47" s="3">
        <f>'ต.ค-มี.ค'!O47+'เม.ย-ก.ย'!O47</f>
        <v>0</v>
      </c>
      <c r="P47" s="3">
        <f>'ต.ค-มี.ค'!P47+'เม.ย-ก.ย'!P47</f>
        <v>1</v>
      </c>
      <c r="Q47" s="3">
        <f>'ต.ค-มี.ค'!Q47+'เม.ย-ก.ย'!Q47</f>
        <v>13</v>
      </c>
      <c r="R47" s="3">
        <f>'ต.ค-มี.ค'!R47+'เม.ย-ก.ย'!R47</f>
        <v>2</v>
      </c>
      <c r="S47" s="3">
        <f>'ต.ค-มี.ค'!S47+'เม.ย-ก.ย'!S47</f>
        <v>7</v>
      </c>
      <c r="T47" s="37">
        <f t="shared" si="0"/>
        <v>23</v>
      </c>
      <c r="U47" s="28">
        <f t="shared" si="5"/>
        <v>138.0952380952381</v>
      </c>
      <c r="V47" s="59">
        <f t="shared" si="1"/>
        <v>0</v>
      </c>
    </row>
    <row r="48" spans="1:22" ht="22.5" customHeight="1">
      <c r="A48" s="87"/>
      <c r="B48" s="7" t="s">
        <v>14</v>
      </c>
      <c r="C48" s="26">
        <f>'ต.ค-มี.ค'!C48+'เม.ย-ก.ย'!C48</f>
        <v>15</v>
      </c>
      <c r="D48" s="26">
        <f>'ต.ค-มี.ค'!D48+'เม.ย-ก.ย'!D48</f>
        <v>10</v>
      </c>
      <c r="E48" s="4">
        <f t="shared" si="2"/>
        <v>6.6964285714285712</v>
      </c>
      <c r="F48" s="3">
        <f>'ต.ค-มี.ค'!F48+'เม.ย-ก.ย'!F48</f>
        <v>6</v>
      </c>
      <c r="G48" s="3">
        <f>'ต.ค-มี.ค'!G48+'เม.ย-ก.ย'!G48</f>
        <v>0</v>
      </c>
      <c r="H48" s="3">
        <f>'ต.ค-มี.ค'!H48+'เม.ย-ก.ย'!H48</f>
        <v>1</v>
      </c>
      <c r="I48" s="3">
        <f>'ต.ค-มี.ค'!I48+'เม.ย-ก.ย'!I48</f>
        <v>0</v>
      </c>
      <c r="J48" s="3">
        <f>'ต.ค-มี.ค'!J48+'เม.ย-ก.ย'!J48</f>
        <v>0</v>
      </c>
      <c r="K48" s="3">
        <f>'ต.ค-มี.ค'!K48+'เม.ย-ก.ย'!K48</f>
        <v>0</v>
      </c>
      <c r="L48" s="3">
        <f>'ต.ค-มี.ค'!L48+'เม.ย-ก.ย'!L48</f>
        <v>0</v>
      </c>
      <c r="M48" s="5">
        <f t="shared" si="3"/>
        <v>0.30357142857142883</v>
      </c>
      <c r="N48" s="28">
        <f t="shared" si="4"/>
        <v>95.66326530612244</v>
      </c>
      <c r="O48" s="3">
        <f>'ต.ค-มี.ค'!O48+'เม.ย-ก.ย'!O48</f>
        <v>0</v>
      </c>
      <c r="P48" s="3">
        <f>'ต.ค-มี.ค'!P48+'เม.ย-ก.ย'!P48</f>
        <v>0</v>
      </c>
      <c r="Q48" s="3">
        <f>'ต.ค-มี.ค'!Q48+'เม.ย-ก.ย'!Q48</f>
        <v>17</v>
      </c>
      <c r="R48" s="3">
        <f>'ต.ค-มี.ค'!R48+'เม.ย-ก.ย'!R48</f>
        <v>3</v>
      </c>
      <c r="S48" s="3">
        <f>'ต.ค-มี.ค'!S48+'เม.ย-ก.ย'!S48</f>
        <v>5</v>
      </c>
      <c r="T48" s="37">
        <f t="shared" si="0"/>
        <v>25</v>
      </c>
      <c r="U48" s="28">
        <f t="shared" si="5"/>
        <v>119.72789115646259</v>
      </c>
      <c r="V48" s="59">
        <f t="shared" si="1"/>
        <v>0</v>
      </c>
    </row>
    <row r="49" spans="1:22" ht="22.5" customHeight="1">
      <c r="A49" s="87">
        <v>14</v>
      </c>
      <c r="B49" s="7" t="s">
        <v>12</v>
      </c>
      <c r="C49" s="26">
        <f>'ต.ค-มี.ค'!C49+'เม.ย-ก.ย'!C49</f>
        <v>15</v>
      </c>
      <c r="D49" s="26">
        <f>'ต.ค-มี.ค'!D49+'เม.ย-ก.ย'!D49</f>
        <v>10</v>
      </c>
      <c r="E49" s="4">
        <f t="shared" si="2"/>
        <v>6.6964285714285712</v>
      </c>
      <c r="F49" s="3">
        <f>'ต.ค-มี.ค'!F49+'เม.ย-ก.ย'!F49</f>
        <v>6</v>
      </c>
      <c r="G49" s="3">
        <f>'ต.ค-มี.ค'!G49+'เม.ย-ก.ย'!G49</f>
        <v>0</v>
      </c>
      <c r="H49" s="3">
        <f>'ต.ค-มี.ค'!H49+'เม.ย-ก.ย'!H49</f>
        <v>0</v>
      </c>
      <c r="I49" s="3">
        <f>'ต.ค-มี.ค'!I49+'เม.ย-ก.ย'!I49</f>
        <v>0</v>
      </c>
      <c r="J49" s="3">
        <f>'ต.ค-มี.ค'!J49+'เม.ย-ก.ย'!J49</f>
        <v>0</v>
      </c>
      <c r="K49" s="3">
        <f>'ต.ค-มี.ค'!K49+'เม.ย-ก.ย'!K49</f>
        <v>0</v>
      </c>
      <c r="L49" s="3">
        <f>'ต.ค-มี.ค'!L49+'เม.ย-ก.ย'!L49</f>
        <v>0</v>
      </c>
      <c r="M49" s="5">
        <f t="shared" si="3"/>
        <v>-0.69642857142857117</v>
      </c>
      <c r="N49" s="28">
        <f t="shared" si="4"/>
        <v>111.60714285714286</v>
      </c>
      <c r="O49" s="3">
        <f>'ต.ค-มี.ค'!O49+'เม.ย-ก.ย'!O49</f>
        <v>0</v>
      </c>
      <c r="P49" s="3">
        <f>'ต.ค-มี.ค'!P49+'เม.ย-ก.ย'!P49</f>
        <v>0</v>
      </c>
      <c r="Q49" s="3">
        <f>'ต.ค-มี.ค'!Q49+'เม.ย-ก.ย'!Q49</f>
        <v>17</v>
      </c>
      <c r="R49" s="3">
        <f>'ต.ค-มี.ค'!R49+'เม.ย-ก.ย'!R49</f>
        <v>3</v>
      </c>
      <c r="S49" s="3">
        <f>'ต.ค-มี.ค'!S49+'เม.ย-ก.ย'!S49</f>
        <v>5</v>
      </c>
      <c r="T49" s="37">
        <f t="shared" si="0"/>
        <v>25</v>
      </c>
      <c r="U49" s="28">
        <f t="shared" si="5"/>
        <v>139.68253968253967</v>
      </c>
      <c r="V49" s="59">
        <f t="shared" si="1"/>
        <v>0</v>
      </c>
    </row>
    <row r="50" spans="1:22" ht="22.5" customHeight="1">
      <c r="A50" s="87"/>
      <c r="B50" s="7" t="s">
        <v>13</v>
      </c>
      <c r="C50" s="26">
        <f>'ต.ค-มี.ค'!C50+'เม.ย-ก.ย'!C50</f>
        <v>16</v>
      </c>
      <c r="D50" s="26">
        <f>'ต.ค-มี.ค'!D50+'เม.ย-ก.ย'!D50</f>
        <v>11</v>
      </c>
      <c r="E50" s="4">
        <f t="shared" si="2"/>
        <v>7.2857142857142856</v>
      </c>
      <c r="F50" s="3">
        <f>'ต.ค-มี.ค'!F50+'เม.ย-ก.ย'!F50</f>
        <v>4</v>
      </c>
      <c r="G50" s="3">
        <f>'ต.ค-มี.ค'!G50+'เม.ย-ก.ย'!G50</f>
        <v>0</v>
      </c>
      <c r="H50" s="3">
        <f>'ต.ค-มี.ค'!H50+'เม.ย-ก.ย'!H50</f>
        <v>0</v>
      </c>
      <c r="I50" s="3">
        <f>'ต.ค-มี.ค'!I50+'เม.ย-ก.ย'!I50</f>
        <v>2</v>
      </c>
      <c r="J50" s="3">
        <f>'ต.ค-มี.ค'!J50+'เม.ย-ก.ย'!J50</f>
        <v>0</v>
      </c>
      <c r="K50" s="3">
        <f>'ต.ค-มี.ค'!K50+'เม.ย-ก.ย'!K50</f>
        <v>2</v>
      </c>
      <c r="L50" s="3">
        <f>'ต.ค-มี.ค'!L50+'เม.ย-ก.ย'!L50</f>
        <v>0</v>
      </c>
      <c r="M50" s="5">
        <f t="shared" si="3"/>
        <v>-3.2857142857142856</v>
      </c>
      <c r="N50" s="28">
        <f t="shared" si="4"/>
        <v>91.071428571428569</v>
      </c>
      <c r="O50" s="3">
        <f>'ต.ค-มี.ค'!O50+'เม.ย-ก.ย'!O50</f>
        <v>0</v>
      </c>
      <c r="P50" s="3">
        <f>'ต.ค-มี.ค'!P50+'เม.ย-ก.ย'!P50</f>
        <v>4</v>
      </c>
      <c r="Q50" s="3">
        <f>'ต.ค-มี.ค'!Q50+'เม.ย-ก.ย'!Q50</f>
        <v>14</v>
      </c>
      <c r="R50" s="3">
        <f>'ต.ค-มี.ค'!R50+'เม.ย-ก.ย'!R50</f>
        <v>3</v>
      </c>
      <c r="S50" s="3">
        <f>'ต.ค-มี.ค'!S50+'เม.ย-ก.ย'!S50</f>
        <v>6</v>
      </c>
      <c r="T50" s="37">
        <f t="shared" si="0"/>
        <v>27</v>
      </c>
      <c r="U50" s="28">
        <f t="shared" si="5"/>
        <v>110.41666666666667</v>
      </c>
      <c r="V50" s="59">
        <f t="shared" si="1"/>
        <v>0</v>
      </c>
    </row>
    <row r="51" spans="1:22" ht="22.5" customHeight="1">
      <c r="A51" s="87"/>
      <c r="B51" s="7" t="s">
        <v>14</v>
      </c>
      <c r="C51" s="26">
        <f>'ต.ค-มี.ค'!C51+'เม.ย-ก.ย'!C51</f>
        <v>13</v>
      </c>
      <c r="D51" s="26">
        <f>'ต.ค-มี.ค'!D51+'เม.ย-ก.ย'!D51</f>
        <v>11</v>
      </c>
      <c r="E51" s="4">
        <f t="shared" si="2"/>
        <v>6.8035714285714288</v>
      </c>
      <c r="F51" s="3">
        <f>'ต.ค-มี.ค'!F51+'เม.ย-ก.ย'!F51</f>
        <v>6</v>
      </c>
      <c r="G51" s="3">
        <f>'ต.ค-มี.ค'!G51+'เม.ย-ก.ย'!G51</f>
        <v>0</v>
      </c>
      <c r="H51" s="3">
        <f>'ต.ค-มี.ค'!H51+'เม.ย-ก.ย'!H51</f>
        <v>1</v>
      </c>
      <c r="I51" s="3">
        <f>'ต.ค-มี.ค'!I51+'เม.ย-ก.ย'!I51</f>
        <v>0</v>
      </c>
      <c r="J51" s="3">
        <f>'ต.ค-มี.ค'!J51+'เม.ย-ก.ย'!J51</f>
        <v>0</v>
      </c>
      <c r="K51" s="3">
        <f>'ต.ค-มี.ค'!K51+'เม.ย-ก.ย'!K51</f>
        <v>0</v>
      </c>
      <c r="L51" s="3">
        <f>'ต.ค-มี.ค'!L51+'เม.ย-ก.ย'!L51</f>
        <v>0</v>
      </c>
      <c r="M51" s="5">
        <f t="shared" si="3"/>
        <v>0.19642857142857117</v>
      </c>
      <c r="N51" s="28">
        <f t="shared" si="4"/>
        <v>97.193877551020407</v>
      </c>
      <c r="O51" s="3">
        <f>'ต.ค-มี.ค'!O51+'เม.ย-ก.ย'!O51</f>
        <v>0</v>
      </c>
      <c r="P51" s="3">
        <f>'ต.ค-มี.ค'!P51+'เม.ย-ก.ย'!P51</f>
        <v>0</v>
      </c>
      <c r="Q51" s="3">
        <f>'ต.ค-มี.ค'!Q51+'เม.ย-ก.ย'!Q51</f>
        <v>15</v>
      </c>
      <c r="R51" s="3">
        <f>'ต.ค-มี.ค'!R51+'เม.ย-ก.ย'!R51</f>
        <v>5</v>
      </c>
      <c r="S51" s="3">
        <f>'ต.ค-มี.ค'!S51+'เม.ย-ก.ย'!S51</f>
        <v>4</v>
      </c>
      <c r="T51" s="37">
        <f t="shared" si="0"/>
        <v>24</v>
      </c>
      <c r="U51" s="28">
        <f t="shared" si="5"/>
        <v>114.28571428571428</v>
      </c>
      <c r="V51" s="59">
        <f t="shared" si="1"/>
        <v>0</v>
      </c>
    </row>
    <row r="52" spans="1:22" ht="22.5" customHeight="1">
      <c r="A52" s="87">
        <v>15</v>
      </c>
      <c r="B52" s="7" t="s">
        <v>12</v>
      </c>
      <c r="C52" s="26">
        <f>'ต.ค-มี.ค'!C52+'เม.ย-ก.ย'!C52</f>
        <v>13</v>
      </c>
      <c r="D52" s="26">
        <f>'ต.ค-มี.ค'!D52+'เม.ย-ก.ย'!D52</f>
        <v>10</v>
      </c>
      <c r="E52" s="4">
        <f t="shared" si="2"/>
        <v>6.375</v>
      </c>
      <c r="F52" s="3">
        <f>'ต.ค-มี.ค'!F52+'เม.ย-ก.ย'!F52</f>
        <v>6</v>
      </c>
      <c r="G52" s="3">
        <f>'ต.ค-มี.ค'!G52+'เม.ย-ก.ย'!G52</f>
        <v>0</v>
      </c>
      <c r="H52" s="3">
        <f>'ต.ค-มี.ค'!H52+'เม.ย-ก.ย'!H52</f>
        <v>0</v>
      </c>
      <c r="I52" s="3">
        <f>'ต.ค-มี.ค'!I52+'เม.ย-ก.ย'!I52</f>
        <v>0</v>
      </c>
      <c r="J52" s="3">
        <f>'ต.ค-มี.ค'!J52+'เม.ย-ก.ย'!J52</f>
        <v>0</v>
      </c>
      <c r="K52" s="3">
        <f>'ต.ค-มี.ค'!K52+'เม.ย-ก.ย'!K52</f>
        <v>0</v>
      </c>
      <c r="L52" s="3">
        <f>'ต.ค-มี.ค'!L52+'เม.ย-ก.ย'!L52</f>
        <v>0</v>
      </c>
      <c r="M52" s="5">
        <f t="shared" si="3"/>
        <v>-0.375</v>
      </c>
      <c r="N52" s="28">
        <f t="shared" si="4"/>
        <v>106.25</v>
      </c>
      <c r="O52" s="3">
        <f>'ต.ค-มี.ค'!O52+'เม.ย-ก.ย'!O52</f>
        <v>0</v>
      </c>
      <c r="P52" s="3">
        <f>'ต.ค-มี.ค'!P52+'เม.ย-ก.ย'!P52</f>
        <v>0</v>
      </c>
      <c r="Q52" s="3">
        <f>'ต.ค-มี.ค'!Q52+'เม.ย-ก.ย'!Q52</f>
        <v>15</v>
      </c>
      <c r="R52" s="3">
        <f>'ต.ค-มี.ค'!R52+'เม.ย-ก.ย'!R52</f>
        <v>5</v>
      </c>
      <c r="S52" s="3">
        <f>'ต.ค-มี.ค'!S52+'เม.ย-ก.ย'!S52</f>
        <v>4</v>
      </c>
      <c r="T52" s="37">
        <f t="shared" si="0"/>
        <v>24</v>
      </c>
      <c r="U52" s="28">
        <f t="shared" si="5"/>
        <v>133.33333333333331</v>
      </c>
      <c r="V52" s="59">
        <f t="shared" si="1"/>
        <v>-1</v>
      </c>
    </row>
    <row r="53" spans="1:22" ht="22.5" customHeight="1">
      <c r="A53" s="87"/>
      <c r="B53" s="7" t="s">
        <v>13</v>
      </c>
      <c r="C53" s="26">
        <f>'ต.ค-มี.ค'!C53+'เม.ย-ก.ย'!C53</f>
        <v>14</v>
      </c>
      <c r="D53" s="26">
        <f>'ต.ค-มี.ค'!D53+'เม.ย-ก.ย'!D53</f>
        <v>10</v>
      </c>
      <c r="E53" s="4">
        <f t="shared" si="2"/>
        <v>6.5357142857142856</v>
      </c>
      <c r="F53" s="3">
        <f>'ต.ค-มี.ค'!F53+'เม.ย-ก.ย'!F53</f>
        <v>5</v>
      </c>
      <c r="G53" s="3">
        <f>'ต.ค-มี.ค'!G53+'เม.ย-ก.ย'!G53</f>
        <v>0</v>
      </c>
      <c r="H53" s="3">
        <f>'ต.ค-มี.ค'!H53+'เม.ย-ก.ย'!H53</f>
        <v>0</v>
      </c>
      <c r="I53" s="3">
        <f>'ต.ค-มี.ค'!I53+'เม.ย-ก.ย'!I53</f>
        <v>1</v>
      </c>
      <c r="J53" s="3">
        <f>'ต.ค-มี.ค'!J53+'เม.ย-ก.ย'!J53</f>
        <v>0</v>
      </c>
      <c r="K53" s="3">
        <f>'ต.ค-มี.ค'!K53+'เม.ย-ก.ย'!K53</f>
        <v>0</v>
      </c>
      <c r="L53" s="3">
        <f>'ต.ค-มี.ค'!L53+'เม.ย-ก.ย'!L53</f>
        <v>0</v>
      </c>
      <c r="M53" s="5">
        <f t="shared" si="3"/>
        <v>-1.5357142857142856</v>
      </c>
      <c r="N53" s="28">
        <f t="shared" si="4"/>
        <v>108.92857142857142</v>
      </c>
      <c r="O53" s="3">
        <f>'ต.ค-มี.ค'!O53+'เม.ย-ก.ย'!O53</f>
        <v>0</v>
      </c>
      <c r="P53" s="3">
        <f>'ต.ค-มี.ค'!P53+'เม.ย-ก.ย'!P53</f>
        <v>4</v>
      </c>
      <c r="Q53" s="3">
        <f>'ต.ค-มี.ค'!Q53+'เม.ย-ก.ย'!Q53</f>
        <v>12</v>
      </c>
      <c r="R53" s="3">
        <f>'ต.ค-มี.ค'!R53+'เม.ย-ก.ย'!R53</f>
        <v>4</v>
      </c>
      <c r="S53" s="3">
        <f>'ต.ค-มี.ค'!S53+'เม.ย-ก.ย'!S53</f>
        <v>4</v>
      </c>
      <c r="T53" s="37">
        <f t="shared" si="0"/>
        <v>24</v>
      </c>
      <c r="U53" s="28">
        <f t="shared" si="5"/>
        <v>125.39682539682539</v>
      </c>
      <c r="V53" s="59">
        <f t="shared" si="1"/>
        <v>0</v>
      </c>
    </row>
    <row r="54" spans="1:22" ht="22.5" customHeight="1">
      <c r="A54" s="87"/>
      <c r="B54" s="7" t="s">
        <v>14</v>
      </c>
      <c r="C54" s="26">
        <f>'ต.ค-มี.ค'!C54+'เม.ย-ก.ย'!C54</f>
        <v>13</v>
      </c>
      <c r="D54" s="26">
        <f>'ต.ค-มี.ค'!D54+'เม.ย-ก.ย'!D54</f>
        <v>8</v>
      </c>
      <c r="E54" s="4">
        <f t="shared" si="2"/>
        <v>5.5178571428571432</v>
      </c>
      <c r="F54" s="3">
        <f>'ต.ค-มี.ค'!F54+'เม.ย-ก.ย'!F54</f>
        <v>6</v>
      </c>
      <c r="G54" s="3">
        <f>'ต.ค-มี.ค'!G54+'เม.ย-ก.ย'!G54</f>
        <v>0</v>
      </c>
      <c r="H54" s="3">
        <f>'ต.ค-มี.ค'!H54+'เม.ย-ก.ย'!H54</f>
        <v>1</v>
      </c>
      <c r="I54" s="3">
        <f>'ต.ค-มี.ค'!I54+'เม.ย-ก.ย'!I54</f>
        <v>0</v>
      </c>
      <c r="J54" s="3">
        <f>'ต.ค-มี.ค'!J54+'เม.ย-ก.ย'!J54</f>
        <v>0</v>
      </c>
      <c r="K54" s="3">
        <f>'ต.ค-มี.ค'!K54+'เม.ย-ก.ย'!K54</f>
        <v>0</v>
      </c>
      <c r="L54" s="3">
        <f>'ต.ค-มี.ค'!L54+'เม.ย-ก.ย'!L54</f>
        <v>0</v>
      </c>
      <c r="M54" s="5">
        <f t="shared" si="3"/>
        <v>1.4821428571428568</v>
      </c>
      <c r="N54" s="28">
        <f t="shared" si="4"/>
        <v>78.826530612244895</v>
      </c>
      <c r="O54" s="3">
        <f>'ต.ค-มี.ค'!O54+'เม.ย-ก.ย'!O54</f>
        <v>0</v>
      </c>
      <c r="P54" s="3">
        <f>'ต.ค-มี.ค'!P54+'เม.ย-ก.ย'!P54</f>
        <v>0</v>
      </c>
      <c r="Q54" s="3">
        <f>'ต.ค-มี.ค'!Q54+'เม.ย-ก.ย'!Q54</f>
        <v>13</v>
      </c>
      <c r="R54" s="3">
        <f>'ต.ค-มี.ค'!R54+'เม.ย-ก.ย'!R54</f>
        <v>2</v>
      </c>
      <c r="S54" s="3">
        <f>'ต.ค-มี.ค'!S54+'เม.ย-ก.ย'!S54</f>
        <v>6</v>
      </c>
      <c r="T54" s="37">
        <f t="shared" si="0"/>
        <v>21</v>
      </c>
      <c r="U54" s="28">
        <f t="shared" si="5"/>
        <v>107.82312925170068</v>
      </c>
      <c r="V54" s="59">
        <f t="shared" si="1"/>
        <v>0</v>
      </c>
    </row>
    <row r="55" spans="1:22" ht="22.5" customHeight="1">
      <c r="A55" s="87">
        <v>16</v>
      </c>
      <c r="B55" s="7" t="s">
        <v>12</v>
      </c>
      <c r="C55" s="26">
        <f>'ต.ค-มี.ค'!C55+'เม.ย-ก.ย'!C55</f>
        <v>13</v>
      </c>
      <c r="D55" s="26">
        <f>'ต.ค-มี.ค'!D55+'เม.ย-ก.ย'!D55</f>
        <v>8</v>
      </c>
      <c r="E55" s="4">
        <f t="shared" si="2"/>
        <v>5.5178571428571432</v>
      </c>
      <c r="F55" s="3">
        <f>'ต.ค-มี.ค'!F55+'เม.ย-ก.ย'!F55</f>
        <v>6</v>
      </c>
      <c r="G55" s="3">
        <f>'ต.ค-มี.ค'!G55+'เม.ย-ก.ย'!G55</f>
        <v>0</v>
      </c>
      <c r="H55" s="3">
        <f>'ต.ค-มี.ค'!H55+'เม.ย-ก.ย'!H55</f>
        <v>0</v>
      </c>
      <c r="I55" s="3">
        <f>'ต.ค-มี.ค'!I55+'เม.ย-ก.ย'!I55</f>
        <v>0</v>
      </c>
      <c r="J55" s="3">
        <f>'ต.ค-มี.ค'!J55+'เม.ย-ก.ย'!J55</f>
        <v>0</v>
      </c>
      <c r="K55" s="3">
        <f>'ต.ค-มี.ค'!K55+'เม.ย-ก.ย'!K55</f>
        <v>0</v>
      </c>
      <c r="L55" s="3">
        <f>'ต.ค-มี.ค'!L55+'เม.ย-ก.ย'!L55</f>
        <v>0</v>
      </c>
      <c r="M55" s="5">
        <f t="shared" si="3"/>
        <v>0.48214285714285676</v>
      </c>
      <c r="N55" s="28">
        <f t="shared" si="4"/>
        <v>91.964285714285708</v>
      </c>
      <c r="O55" s="3">
        <f>'ต.ค-มี.ค'!O55+'เม.ย-ก.ย'!O55</f>
        <v>0</v>
      </c>
      <c r="P55" s="3">
        <f>'ต.ค-มี.ค'!P55+'เม.ย-ก.ย'!P55</f>
        <v>0</v>
      </c>
      <c r="Q55" s="3">
        <f>'ต.ค-มี.ค'!Q55+'เม.ย-ก.ย'!Q55</f>
        <v>14</v>
      </c>
      <c r="R55" s="3">
        <f>'ต.ค-มี.ค'!R55+'เม.ย-ก.ย'!R55</f>
        <v>1</v>
      </c>
      <c r="S55" s="3">
        <f>'ต.ค-มี.ค'!S55+'เม.ย-ก.ย'!S55</f>
        <v>6</v>
      </c>
      <c r="T55" s="37">
        <f t="shared" si="0"/>
        <v>21</v>
      </c>
      <c r="U55" s="28">
        <f t="shared" si="5"/>
        <v>124.20634920634922</v>
      </c>
      <c r="V55" s="59">
        <f t="shared" si="1"/>
        <v>0</v>
      </c>
    </row>
    <row r="56" spans="1:22" ht="22.5" customHeight="1">
      <c r="A56" s="87"/>
      <c r="B56" s="7" t="s">
        <v>13</v>
      </c>
      <c r="C56" s="26">
        <f>'ต.ค-มี.ค'!C56+'เม.ย-ก.ย'!C56</f>
        <v>14</v>
      </c>
      <c r="D56" s="26">
        <f>'ต.ค-มี.ค'!D56+'เม.ย-ก.ย'!D56</f>
        <v>8</v>
      </c>
      <c r="E56" s="4">
        <f t="shared" si="2"/>
        <v>5.6785714285714288</v>
      </c>
      <c r="F56" s="3">
        <f>'ต.ค-มี.ค'!F56+'เม.ย-ก.ย'!F56</f>
        <v>5</v>
      </c>
      <c r="G56" s="3">
        <f>'ต.ค-มี.ค'!G56+'เม.ย-ก.ย'!G56</f>
        <v>0</v>
      </c>
      <c r="H56" s="3">
        <f>'ต.ค-มี.ค'!H56+'เม.ย-ก.ย'!H56</f>
        <v>0</v>
      </c>
      <c r="I56" s="3">
        <f>'ต.ค-มี.ค'!I56+'เม.ย-ก.ย'!I56</f>
        <v>1</v>
      </c>
      <c r="J56" s="3">
        <f>'ต.ค-มี.ค'!J56+'เม.ย-ก.ย'!J56</f>
        <v>0</v>
      </c>
      <c r="K56" s="3">
        <f>'ต.ค-มี.ค'!K56+'เม.ย-ก.ย'!K56</f>
        <v>1</v>
      </c>
      <c r="L56" s="3">
        <f>'ต.ค-มี.ค'!L56+'เม.ย-ก.ย'!L56</f>
        <v>0</v>
      </c>
      <c r="M56" s="5">
        <f t="shared" si="3"/>
        <v>-0.67857142857142883</v>
      </c>
      <c r="N56" s="28">
        <f t="shared" si="4"/>
        <v>81.122448979591837</v>
      </c>
      <c r="O56" s="3">
        <f>'ต.ค-มี.ค'!O56+'เม.ย-ก.ย'!O56</f>
        <v>0</v>
      </c>
      <c r="P56" s="3">
        <f>'ต.ค-มี.ค'!P56+'เม.ย-ก.ย'!P56</f>
        <v>3</v>
      </c>
      <c r="Q56" s="3">
        <f>'ต.ค-มี.ค'!Q56+'เม.ย-ก.ย'!Q56</f>
        <v>12</v>
      </c>
      <c r="R56" s="3">
        <f>'ต.ค-มี.ค'!R56+'เม.ย-ก.ย'!R56</f>
        <v>1</v>
      </c>
      <c r="S56" s="3">
        <f>'ต.ค-มี.ค'!S56+'เม.ย-ก.ย'!S56</f>
        <v>6</v>
      </c>
      <c r="T56" s="37">
        <f t="shared" si="0"/>
        <v>22</v>
      </c>
      <c r="U56" s="28">
        <f t="shared" si="5"/>
        <v>106.12244897959184</v>
      </c>
      <c r="V56" s="59">
        <f t="shared" si="1"/>
        <v>0</v>
      </c>
    </row>
    <row r="57" spans="1:22" ht="22.5" customHeight="1">
      <c r="A57" s="87"/>
      <c r="B57" s="7" t="s">
        <v>14</v>
      </c>
      <c r="C57" s="26">
        <f>'ต.ค-มี.ค'!C57+'เม.ย-ก.ย'!C57</f>
        <v>13</v>
      </c>
      <c r="D57" s="26">
        <f>'ต.ค-มี.ค'!D57+'เม.ย-ก.ย'!D57</f>
        <v>8</v>
      </c>
      <c r="E57" s="4">
        <f t="shared" si="2"/>
        <v>5.5178571428571432</v>
      </c>
      <c r="F57" s="3">
        <f>'ต.ค-มี.ค'!F57+'เม.ย-ก.ย'!F57</f>
        <v>6</v>
      </c>
      <c r="G57" s="3">
        <f>'ต.ค-มี.ค'!G57+'เม.ย-ก.ย'!G57</f>
        <v>0</v>
      </c>
      <c r="H57" s="3">
        <f>'ต.ค-มี.ค'!H57+'เม.ย-ก.ย'!H57</f>
        <v>0</v>
      </c>
      <c r="I57" s="3">
        <f>'ต.ค-มี.ค'!I57+'เม.ย-ก.ย'!I57</f>
        <v>0</v>
      </c>
      <c r="J57" s="3">
        <f>'ต.ค-มี.ค'!J57+'เม.ย-ก.ย'!J57</f>
        <v>0</v>
      </c>
      <c r="K57" s="3">
        <f>'ต.ค-มี.ค'!K57+'เม.ย-ก.ย'!K57</f>
        <v>0</v>
      </c>
      <c r="L57" s="3">
        <f>'ต.ค-มี.ค'!L57+'เม.ย-ก.ย'!L57</f>
        <v>0</v>
      </c>
      <c r="M57" s="5">
        <f t="shared" si="3"/>
        <v>0.48214285714285676</v>
      </c>
      <c r="N57" s="28">
        <f t="shared" si="4"/>
        <v>91.964285714285708</v>
      </c>
      <c r="O57" s="3">
        <f>'ต.ค-มี.ค'!O57+'เม.ย-ก.ย'!O57</f>
        <v>0</v>
      </c>
      <c r="P57" s="3">
        <f>'ต.ค-มี.ค'!P57+'เม.ย-ก.ย'!P57</f>
        <v>0</v>
      </c>
      <c r="Q57" s="3">
        <f>'ต.ค-มี.ค'!Q57+'เม.ย-ก.ย'!Q57</f>
        <v>13</v>
      </c>
      <c r="R57" s="3">
        <f>'ต.ค-มี.ค'!R57+'เม.ย-ก.ย'!R57</f>
        <v>4</v>
      </c>
      <c r="S57" s="3">
        <f>'ต.ค-มี.ค'!S57+'เม.ย-ก.ย'!S57</f>
        <v>4</v>
      </c>
      <c r="T57" s="37">
        <f t="shared" si="0"/>
        <v>21</v>
      </c>
      <c r="U57" s="28">
        <f t="shared" si="5"/>
        <v>118.65079365079364</v>
      </c>
      <c r="V57" s="59">
        <f t="shared" si="1"/>
        <v>0</v>
      </c>
    </row>
    <row r="58" spans="1:22" ht="22.5" customHeight="1">
      <c r="A58" s="87">
        <v>17</v>
      </c>
      <c r="B58" s="7" t="s">
        <v>12</v>
      </c>
      <c r="C58" s="26">
        <f>'ต.ค-มี.ค'!C58+'เม.ย-ก.ย'!C58</f>
        <v>13</v>
      </c>
      <c r="D58" s="26">
        <f>'ต.ค-มี.ค'!D58+'เม.ย-ก.ย'!D58</f>
        <v>8</v>
      </c>
      <c r="E58" s="4">
        <f t="shared" si="2"/>
        <v>5.5178571428571432</v>
      </c>
      <c r="F58" s="3">
        <f>'ต.ค-มี.ค'!F58+'เม.ย-ก.ย'!F58</f>
        <v>6</v>
      </c>
      <c r="G58" s="3">
        <f>'ต.ค-มี.ค'!G58+'เม.ย-ก.ย'!G58</f>
        <v>0</v>
      </c>
      <c r="H58" s="3">
        <f>'ต.ค-มี.ค'!H58+'เม.ย-ก.ย'!H58</f>
        <v>0</v>
      </c>
      <c r="I58" s="3">
        <f>'ต.ค-มี.ค'!I58+'เม.ย-ก.ย'!I58</f>
        <v>0</v>
      </c>
      <c r="J58" s="3">
        <f>'ต.ค-มี.ค'!J58+'เม.ย-ก.ย'!J58</f>
        <v>0</v>
      </c>
      <c r="K58" s="3">
        <f>'ต.ค-มี.ค'!K58+'เม.ย-ก.ย'!K58</f>
        <v>0</v>
      </c>
      <c r="L58" s="3">
        <f>'ต.ค-มี.ค'!L58+'เม.ย-ก.ย'!L58</f>
        <v>0</v>
      </c>
      <c r="M58" s="5">
        <f t="shared" si="3"/>
        <v>0.48214285714285676</v>
      </c>
      <c r="N58" s="28">
        <f t="shared" si="4"/>
        <v>91.964285714285708</v>
      </c>
      <c r="O58" s="3">
        <f>'ต.ค-มี.ค'!O58+'เม.ย-ก.ย'!O58</f>
        <v>0</v>
      </c>
      <c r="P58" s="3">
        <f>'ต.ค-มี.ค'!P58+'เม.ย-ก.ย'!P58</f>
        <v>0</v>
      </c>
      <c r="Q58" s="3">
        <f>'ต.ค-มี.ค'!Q58+'เม.ย-ก.ย'!Q58</f>
        <v>13</v>
      </c>
      <c r="R58" s="3">
        <f>'ต.ค-มี.ค'!R58+'เม.ย-ก.ย'!R58</f>
        <v>4</v>
      </c>
      <c r="S58" s="3">
        <f>'ต.ค-มี.ค'!S58+'เม.ย-ก.ย'!S58</f>
        <v>4</v>
      </c>
      <c r="T58" s="37">
        <f t="shared" si="0"/>
        <v>21</v>
      </c>
      <c r="U58" s="28">
        <f t="shared" si="5"/>
        <v>118.65079365079364</v>
      </c>
      <c r="V58" s="59">
        <f t="shared" si="1"/>
        <v>0</v>
      </c>
    </row>
    <row r="59" spans="1:22" ht="22.5" customHeight="1">
      <c r="A59" s="87"/>
      <c r="B59" s="7" t="s">
        <v>13</v>
      </c>
      <c r="C59" s="26">
        <f>'ต.ค-มี.ค'!C59+'เม.ย-ก.ย'!C59</f>
        <v>13</v>
      </c>
      <c r="D59" s="26">
        <f>'ต.ค-มี.ค'!D59+'เม.ย-ก.ย'!D59</f>
        <v>7</v>
      </c>
      <c r="E59" s="4">
        <f t="shared" si="2"/>
        <v>5.0892857142857144</v>
      </c>
      <c r="F59" s="3">
        <f>'ต.ค-มี.ค'!F59+'เม.ย-ก.ย'!F59</f>
        <v>5</v>
      </c>
      <c r="G59" s="3">
        <f>'ต.ค-มี.ค'!G59+'เม.ย-ก.ย'!G59</f>
        <v>0</v>
      </c>
      <c r="H59" s="3">
        <f>'ต.ค-มี.ค'!H59+'เม.ย-ก.ย'!H59</f>
        <v>1</v>
      </c>
      <c r="I59" s="3">
        <f>'ต.ค-มี.ค'!I59+'เม.ย-ก.ย'!I59</f>
        <v>1</v>
      </c>
      <c r="J59" s="3">
        <f>'ต.ค-มี.ค'!J59+'เม.ย-ก.ย'!J59</f>
        <v>0</v>
      </c>
      <c r="K59" s="3">
        <f>'ต.ค-มี.ค'!K59+'เม.ย-ก.ย'!K59</f>
        <v>0</v>
      </c>
      <c r="L59" s="3">
        <f>'ต.ค-มี.ค'!L59+'เม.ย-ก.ย'!L59</f>
        <v>0</v>
      </c>
      <c r="M59" s="5">
        <f t="shared" si="3"/>
        <v>0.91071428571428559</v>
      </c>
      <c r="N59" s="28">
        <f t="shared" si="4"/>
        <v>72.704081632653057</v>
      </c>
      <c r="O59" s="3">
        <f>'ต.ค-มี.ค'!O59+'เม.ย-ก.ย'!O59</f>
        <v>0</v>
      </c>
      <c r="P59" s="3">
        <f>'ต.ค-มี.ค'!P59+'เม.ย-ก.ย'!P59</f>
        <v>2</v>
      </c>
      <c r="Q59" s="3">
        <f>'ต.ค-มี.ค'!Q59+'เม.ย-ก.ย'!Q59</f>
        <v>11</v>
      </c>
      <c r="R59" s="3">
        <f>'ต.ค-มี.ค'!R59+'เม.ย-ก.ย'!R59</f>
        <v>2</v>
      </c>
      <c r="S59" s="3">
        <f>'ต.ค-มี.ค'!S59+'เม.ย-ก.ย'!S59</f>
        <v>4</v>
      </c>
      <c r="T59" s="37">
        <f t="shared" si="0"/>
        <v>19</v>
      </c>
      <c r="U59" s="28">
        <f t="shared" si="5"/>
        <v>88.775510204081627</v>
      </c>
      <c r="V59" s="59">
        <f t="shared" si="1"/>
        <v>1</v>
      </c>
    </row>
    <row r="60" spans="1:22" ht="22.5" customHeight="1">
      <c r="A60" s="87"/>
      <c r="B60" s="7" t="s">
        <v>14</v>
      </c>
      <c r="C60" s="26">
        <f>'ต.ค-มี.ค'!C60+'เม.ย-ก.ย'!C60</f>
        <v>12</v>
      </c>
      <c r="D60" s="26">
        <f>'ต.ค-มี.ค'!D60+'เม.ย-ก.ย'!D60</f>
        <v>8</v>
      </c>
      <c r="E60" s="4">
        <f t="shared" si="2"/>
        <v>5.3571428571428568</v>
      </c>
      <c r="F60" s="3">
        <f>'ต.ค-มี.ค'!F60+'เม.ย-ก.ย'!F60</f>
        <v>5</v>
      </c>
      <c r="G60" s="3">
        <f>'ต.ค-มี.ค'!G60+'เม.ย-ก.ย'!G60</f>
        <v>0</v>
      </c>
      <c r="H60" s="3">
        <f>'ต.ค-มี.ค'!H60+'เม.ย-ก.ย'!H60</f>
        <v>1</v>
      </c>
      <c r="I60" s="3">
        <f>'ต.ค-มี.ค'!I60+'เม.ย-ก.ย'!I60</f>
        <v>0</v>
      </c>
      <c r="J60" s="3">
        <f>'ต.ค-มี.ค'!J60+'เม.ย-ก.ย'!J60</f>
        <v>0</v>
      </c>
      <c r="K60" s="3">
        <f>'ต.ค-มี.ค'!K60+'เม.ย-ก.ย'!K60</f>
        <v>0</v>
      </c>
      <c r="L60" s="3">
        <f>'ต.ค-มี.ค'!L60+'เม.ย-ก.ย'!L60</f>
        <v>0</v>
      </c>
      <c r="M60" s="5">
        <f t="shared" si="3"/>
        <v>0.64285714285714324</v>
      </c>
      <c r="N60" s="28">
        <f t="shared" si="4"/>
        <v>89.285714285714292</v>
      </c>
      <c r="O60" s="3">
        <f>'ต.ค-มี.ค'!O60+'เม.ย-ก.ย'!O60</f>
        <v>0</v>
      </c>
      <c r="P60" s="3">
        <f>'ต.ค-มี.ค'!P60+'เม.ย-ก.ย'!P60</f>
        <v>0</v>
      </c>
      <c r="Q60" s="3">
        <f>'ต.ค-มี.ค'!Q60+'เม.ย-ก.ย'!Q60</f>
        <v>13</v>
      </c>
      <c r="R60" s="3">
        <f>'ต.ค-มี.ค'!R60+'เม.ย-ก.ย'!R60</f>
        <v>2</v>
      </c>
      <c r="S60" s="3">
        <f>'ต.ค-มี.ค'!S60+'เม.ย-ก.ย'!S60</f>
        <v>5</v>
      </c>
      <c r="T60" s="37">
        <f t="shared" si="0"/>
        <v>20</v>
      </c>
      <c r="U60" s="28">
        <f t="shared" si="5"/>
        <v>116.26984126984128</v>
      </c>
      <c r="V60" s="59">
        <f t="shared" si="1"/>
        <v>0</v>
      </c>
    </row>
    <row r="61" spans="1:22" ht="22.5" customHeight="1">
      <c r="A61" s="87">
        <v>18</v>
      </c>
      <c r="B61" s="7" t="s">
        <v>12</v>
      </c>
      <c r="C61" s="26">
        <f>'ต.ค-มี.ค'!C61+'เม.ย-ก.ย'!C61</f>
        <v>12</v>
      </c>
      <c r="D61" s="26">
        <f>'ต.ค-มี.ค'!D61+'เม.ย-ก.ย'!D61</f>
        <v>8</v>
      </c>
      <c r="E61" s="4">
        <f t="shared" si="2"/>
        <v>5.3571428571428568</v>
      </c>
      <c r="F61" s="3">
        <f>'ต.ค-มี.ค'!F61+'เม.ย-ก.ย'!F61</f>
        <v>6</v>
      </c>
      <c r="G61" s="3">
        <f>'ต.ค-มี.ค'!G61+'เม.ย-ก.ย'!G61</f>
        <v>0</v>
      </c>
      <c r="H61" s="3">
        <f>'ต.ค-มี.ค'!H61+'เม.ย-ก.ย'!H61</f>
        <v>0</v>
      </c>
      <c r="I61" s="3">
        <f>'ต.ค-มี.ค'!I61+'เม.ย-ก.ย'!I61</f>
        <v>0</v>
      </c>
      <c r="J61" s="3">
        <f>'ต.ค-มี.ค'!J61+'เม.ย-ก.ย'!J61</f>
        <v>0</v>
      </c>
      <c r="K61" s="3">
        <f>'ต.ค-มี.ค'!K61+'เม.ย-ก.ย'!K61</f>
        <v>0</v>
      </c>
      <c r="L61" s="3">
        <f>'ต.ค-มี.ค'!L61+'เม.ย-ก.ย'!L61</f>
        <v>0</v>
      </c>
      <c r="M61" s="5">
        <f t="shared" si="3"/>
        <v>0.64285714285714324</v>
      </c>
      <c r="N61" s="28">
        <f t="shared" si="4"/>
        <v>89.285714285714292</v>
      </c>
      <c r="O61" s="3">
        <f>'ต.ค-มี.ค'!O61+'เม.ย-ก.ย'!O61</f>
        <v>0</v>
      </c>
      <c r="P61" s="3">
        <f>'ต.ค-มี.ค'!P61+'เม.ย-ก.ย'!P61</f>
        <v>0</v>
      </c>
      <c r="Q61" s="3">
        <f>'ต.ค-มี.ค'!Q61+'เม.ย-ก.ย'!Q61</f>
        <v>15</v>
      </c>
      <c r="R61" s="3">
        <f>'ต.ค-มี.ค'!R61+'เม.ย-ก.ย'!R61</f>
        <v>0</v>
      </c>
      <c r="S61" s="3">
        <f>'ต.ค-มี.ค'!S61+'เม.ย-ก.ย'!S61</f>
        <v>5</v>
      </c>
      <c r="T61" s="37">
        <f t="shared" si="0"/>
        <v>20</v>
      </c>
      <c r="U61" s="28">
        <f t="shared" si="5"/>
        <v>113.09523809523809</v>
      </c>
      <c r="V61" s="59">
        <f t="shared" si="1"/>
        <v>0</v>
      </c>
    </row>
    <row r="62" spans="1:22" ht="22.5" customHeight="1">
      <c r="A62" s="87"/>
      <c r="B62" s="7" t="s">
        <v>13</v>
      </c>
      <c r="C62" s="26">
        <f>'ต.ค-มี.ค'!C62+'เม.ย-ก.ย'!C62</f>
        <v>13</v>
      </c>
      <c r="D62" s="26">
        <f>'ต.ค-มี.ค'!D62+'เม.ย-ก.ย'!D62</f>
        <v>8</v>
      </c>
      <c r="E62" s="4">
        <f t="shared" si="2"/>
        <v>5.5178571428571432</v>
      </c>
      <c r="F62" s="3">
        <f>'ต.ค-มี.ค'!F62+'เม.ย-ก.ย'!F62</f>
        <v>6</v>
      </c>
      <c r="G62" s="3">
        <f>'ต.ค-มี.ค'!G62+'เม.ย-ก.ย'!G62</f>
        <v>0</v>
      </c>
      <c r="H62" s="3">
        <f>'ต.ค-มี.ค'!H62+'เม.ย-ก.ย'!H62</f>
        <v>1</v>
      </c>
      <c r="I62" s="3">
        <f>'ต.ค-มี.ค'!I62+'เม.ย-ก.ย'!I62</f>
        <v>1</v>
      </c>
      <c r="J62" s="3">
        <f>'ต.ค-มี.ค'!J62+'เม.ย-ก.ย'!J62</f>
        <v>0</v>
      </c>
      <c r="K62" s="3">
        <f>'ต.ค-มี.ค'!K62+'เม.ย-ก.ย'!K62</f>
        <v>1</v>
      </c>
      <c r="L62" s="3">
        <f>'ต.ค-มี.ค'!L62+'เม.ย-ก.ย'!L62</f>
        <v>0</v>
      </c>
      <c r="M62" s="5">
        <f t="shared" si="3"/>
        <v>1.4821428571428568</v>
      </c>
      <c r="N62" s="28">
        <f t="shared" si="4"/>
        <v>61.30952380952381</v>
      </c>
      <c r="O62" s="3">
        <f>'ต.ค-มี.ค'!O62+'เม.ย-ก.ย'!O62</f>
        <v>0</v>
      </c>
      <c r="P62" s="3">
        <f>'ต.ค-มี.ค'!P62+'เม.ย-ก.ย'!P62</f>
        <v>4</v>
      </c>
      <c r="Q62" s="3">
        <f>'ต.ค-มี.ค'!Q62+'เม.ย-ก.ย'!Q62</f>
        <v>14</v>
      </c>
      <c r="R62" s="3">
        <f>'ต.ค-มี.ค'!R62+'เม.ย-ก.ย'!R62</f>
        <v>0</v>
      </c>
      <c r="S62" s="3">
        <f>'ต.ค-มี.ค'!S62+'เม.ย-ก.ย'!S62</f>
        <v>3</v>
      </c>
      <c r="T62" s="37">
        <f t="shared" si="0"/>
        <v>21</v>
      </c>
      <c r="U62" s="28">
        <f t="shared" si="5"/>
        <v>67.195767195767203</v>
      </c>
      <c r="V62" s="59">
        <f t="shared" si="1"/>
        <v>0</v>
      </c>
    </row>
    <row r="63" spans="1:22" ht="22.5" customHeight="1">
      <c r="A63" s="87"/>
      <c r="B63" s="7" t="s">
        <v>14</v>
      </c>
      <c r="C63" s="26">
        <f>'ต.ค-มี.ค'!C63+'เม.ย-ก.ย'!C63</f>
        <v>12</v>
      </c>
      <c r="D63" s="26">
        <f>'ต.ค-มี.ค'!D63+'เม.ย-ก.ย'!D63</f>
        <v>7</v>
      </c>
      <c r="E63" s="4">
        <f t="shared" si="2"/>
        <v>4.9285714285714288</v>
      </c>
      <c r="F63" s="3">
        <f>'ต.ค-มี.ค'!F63+'เม.ย-ก.ย'!F63</f>
        <v>5</v>
      </c>
      <c r="G63" s="3">
        <f>'ต.ค-มี.ค'!G63+'เม.ย-ก.ย'!G63</f>
        <v>0</v>
      </c>
      <c r="H63" s="3">
        <f>'ต.ค-มี.ค'!H63+'เม.ย-ก.ย'!H63</f>
        <v>0</v>
      </c>
      <c r="I63" s="3">
        <f>'ต.ค-มี.ค'!I63+'เม.ย-ก.ย'!I63</f>
        <v>0</v>
      </c>
      <c r="J63" s="3">
        <f>'ต.ค-มี.ค'!J63+'เม.ย-ก.ย'!J63</f>
        <v>0</v>
      </c>
      <c r="K63" s="3">
        <f>'ต.ค-มี.ค'!K63+'เม.ย-ก.ย'!K63</f>
        <v>1</v>
      </c>
      <c r="L63" s="3">
        <f>'ต.ค-มี.ค'!L63+'เม.ย-ก.ย'!L63</f>
        <v>0</v>
      </c>
      <c r="M63" s="5">
        <f t="shared" si="3"/>
        <v>7.1428571428571175E-2</v>
      </c>
      <c r="N63" s="28">
        <f t="shared" si="4"/>
        <v>82.142857142857139</v>
      </c>
      <c r="O63" s="3">
        <f>'ต.ค-มี.ค'!O63+'เม.ย-ก.ย'!O63</f>
        <v>0</v>
      </c>
      <c r="P63" s="3">
        <f>'ต.ค-มี.ค'!P63+'เม.ย-ก.ย'!P63</f>
        <v>0</v>
      </c>
      <c r="Q63" s="3">
        <f>'ต.ค-มี.ค'!Q63+'เม.ย-ก.ย'!Q63</f>
        <v>15</v>
      </c>
      <c r="R63" s="3">
        <f>'ต.ค-มี.ค'!R63+'เม.ย-ก.ย'!R63</f>
        <v>0</v>
      </c>
      <c r="S63" s="3">
        <f>'ต.ค-มี.ค'!S63+'เม.ย-ก.ย'!S63</f>
        <v>4</v>
      </c>
      <c r="T63" s="37">
        <f t="shared" si="0"/>
        <v>19</v>
      </c>
      <c r="U63" s="28">
        <f t="shared" si="5"/>
        <v>103.57142857142858</v>
      </c>
      <c r="V63" s="59">
        <f t="shared" si="1"/>
        <v>0</v>
      </c>
    </row>
    <row r="64" spans="1:22" ht="22.5" customHeight="1">
      <c r="A64" s="87">
        <v>19</v>
      </c>
      <c r="B64" s="7" t="s">
        <v>12</v>
      </c>
      <c r="C64" s="26">
        <f>'ต.ค-มี.ค'!C64+'เม.ย-ก.ย'!C64</f>
        <v>12</v>
      </c>
      <c r="D64" s="26">
        <f>'ต.ค-มี.ค'!D64+'เม.ย-ก.ย'!D64</f>
        <v>9</v>
      </c>
      <c r="E64" s="4">
        <f t="shared" si="2"/>
        <v>5.7857142857142856</v>
      </c>
      <c r="F64" s="3">
        <f>'ต.ค-มี.ค'!F64+'เม.ย-ก.ย'!F64</f>
        <v>4</v>
      </c>
      <c r="G64" s="3">
        <f>'ต.ค-มี.ค'!G64+'เม.ย-ก.ย'!G64</f>
        <v>0</v>
      </c>
      <c r="H64" s="3">
        <f>'ต.ค-มี.ค'!H64+'เม.ย-ก.ย'!H64</f>
        <v>0</v>
      </c>
      <c r="I64" s="3">
        <f>'ต.ค-มี.ค'!I64+'เม.ย-ก.ย'!I64</f>
        <v>2</v>
      </c>
      <c r="J64" s="3">
        <f>'ต.ค-มี.ค'!J64+'เม.ย-ก.ย'!J64</f>
        <v>0</v>
      </c>
      <c r="K64" s="3">
        <f>'ต.ค-มี.ค'!K64+'เม.ย-ก.ย'!K64</f>
        <v>0</v>
      </c>
      <c r="L64" s="3">
        <f>'ต.ค-มี.ค'!L64+'เม.ย-ก.ย'!L64</f>
        <v>0</v>
      </c>
      <c r="M64" s="5">
        <f t="shared" si="3"/>
        <v>-1.7857142857142856</v>
      </c>
      <c r="N64" s="28">
        <f t="shared" si="4"/>
        <v>96.428571428571431</v>
      </c>
      <c r="O64" s="3">
        <f>'ต.ค-มี.ค'!O64+'เม.ย-ก.ย'!O64</f>
        <v>0</v>
      </c>
      <c r="P64" s="3">
        <f>'ต.ค-มี.ค'!P64+'เม.ย-ก.ย'!P64</f>
        <v>0</v>
      </c>
      <c r="Q64" s="3">
        <f>'ต.ค-มี.ค'!Q64+'เม.ย-ก.ย'!Q64</f>
        <v>15</v>
      </c>
      <c r="R64" s="3">
        <f>'ต.ค-มี.ค'!R64+'เม.ย-ก.ย'!R64</f>
        <v>0</v>
      </c>
      <c r="S64" s="3">
        <f>'ต.ค-มี.ค'!S64+'เม.ย-ก.ย'!S64</f>
        <v>6</v>
      </c>
      <c r="T64" s="37">
        <f t="shared" si="0"/>
        <v>21</v>
      </c>
      <c r="U64" s="28">
        <f t="shared" si="5"/>
        <v>122.61904761904762</v>
      </c>
      <c r="V64" s="59">
        <f t="shared" si="1"/>
        <v>0</v>
      </c>
    </row>
    <row r="65" spans="1:22" ht="22.5" customHeight="1">
      <c r="A65" s="87"/>
      <c r="B65" s="7" t="s">
        <v>13</v>
      </c>
      <c r="C65" s="26">
        <f>'ต.ค-มี.ค'!C65+'เม.ย-ก.ย'!C65</f>
        <v>13</v>
      </c>
      <c r="D65" s="26">
        <f>'ต.ค-มี.ค'!D65+'เม.ย-ก.ย'!D65</f>
        <v>9</v>
      </c>
      <c r="E65" s="4">
        <f t="shared" si="2"/>
        <v>5.9464285714285712</v>
      </c>
      <c r="F65" s="3">
        <f>'ต.ค-มี.ค'!F65+'เม.ย-ก.ย'!F65</f>
        <v>7</v>
      </c>
      <c r="G65" s="3">
        <f>'ต.ค-มี.ค'!G65+'เม.ย-ก.ย'!G65</f>
        <v>0</v>
      </c>
      <c r="H65" s="3">
        <f>'ต.ค-มี.ค'!H65+'เม.ย-ก.ย'!H65</f>
        <v>0</v>
      </c>
      <c r="I65" s="3">
        <f>'ต.ค-มี.ค'!I65+'เม.ย-ก.ย'!I65</f>
        <v>0</v>
      </c>
      <c r="J65" s="3">
        <f>'ต.ค-มี.ค'!J65+'เม.ย-ก.ย'!J65</f>
        <v>0</v>
      </c>
      <c r="K65" s="3">
        <f>'ต.ค-มี.ค'!K65+'เม.ย-ก.ย'!K65</f>
        <v>2</v>
      </c>
      <c r="L65" s="3">
        <f>'ต.ค-มี.ค'!L65+'เม.ย-ก.ย'!L65</f>
        <v>0</v>
      </c>
      <c r="M65" s="5">
        <f t="shared" si="3"/>
        <v>1.0535714285714288</v>
      </c>
      <c r="N65" s="28">
        <f t="shared" si="4"/>
        <v>66.071428571428569</v>
      </c>
      <c r="O65" s="3">
        <f>'ต.ค-มี.ค'!O65+'เม.ย-ก.ย'!O65</f>
        <v>0</v>
      </c>
      <c r="P65" s="3">
        <f>'ต.ค-มี.ค'!P65+'เม.ย-ก.ย'!P65</f>
        <v>2</v>
      </c>
      <c r="Q65" s="3">
        <f>'ต.ค-มี.ค'!Q65+'เม.ย-ก.ย'!Q65</f>
        <v>14</v>
      </c>
      <c r="R65" s="3">
        <f>'ต.ค-มี.ค'!R65+'เม.ย-ก.ย'!R65</f>
        <v>0</v>
      </c>
      <c r="S65" s="3">
        <f>'ต.ค-มี.ค'!S65+'เม.ย-ก.ย'!S65</f>
        <v>6</v>
      </c>
      <c r="T65" s="37">
        <f t="shared" si="0"/>
        <v>22</v>
      </c>
      <c r="U65" s="28">
        <f t="shared" si="5"/>
        <v>82.539682539682531</v>
      </c>
      <c r="V65" s="59">
        <f t="shared" si="1"/>
        <v>0</v>
      </c>
    </row>
    <row r="66" spans="1:22" ht="22.5" customHeight="1">
      <c r="A66" s="87"/>
      <c r="B66" s="7" t="s">
        <v>14</v>
      </c>
      <c r="C66" s="26">
        <f>'ต.ค-มี.ค'!C66+'เม.ย-ก.ย'!C66</f>
        <v>11</v>
      </c>
      <c r="D66" s="26">
        <f>'ต.ค-มี.ค'!D66+'เม.ย-ก.ย'!D66</f>
        <v>10</v>
      </c>
      <c r="E66" s="4">
        <f t="shared" si="2"/>
        <v>6.0535714285714288</v>
      </c>
      <c r="F66" s="3">
        <f>'ต.ค-มี.ค'!F66+'เม.ย-ก.ย'!F66</f>
        <v>5</v>
      </c>
      <c r="G66" s="3">
        <f>'ต.ค-มี.ค'!G66+'เม.ย-ก.ย'!G66</f>
        <v>0</v>
      </c>
      <c r="H66" s="3">
        <f>'ต.ค-มี.ค'!H66+'เม.ย-ก.ย'!H66</f>
        <v>1</v>
      </c>
      <c r="I66" s="3">
        <f>'ต.ค-มี.ค'!I66+'เม.ย-ก.ย'!I66</f>
        <v>1</v>
      </c>
      <c r="J66" s="3">
        <f>'ต.ค-มี.ค'!J66+'เม.ย-ก.ย'!J66</f>
        <v>0</v>
      </c>
      <c r="K66" s="3">
        <f>'ต.ค-มี.ค'!K66+'เม.ย-ก.ย'!K66</f>
        <v>0</v>
      </c>
      <c r="L66" s="3">
        <f>'ต.ค-มี.ค'!L66+'เม.ย-ก.ย'!L66</f>
        <v>0</v>
      </c>
      <c r="M66" s="5">
        <f t="shared" si="3"/>
        <v>-5.3571428571428825E-2</v>
      </c>
      <c r="N66" s="28">
        <f t="shared" si="4"/>
        <v>86.479591836734699</v>
      </c>
      <c r="O66" s="3">
        <f>'ต.ค-มี.ค'!O66+'เม.ย-ก.ย'!O66</f>
        <v>0</v>
      </c>
      <c r="P66" s="3">
        <f>'ต.ค-มี.ค'!P66+'เม.ย-ก.ย'!P66</f>
        <v>0</v>
      </c>
      <c r="Q66" s="3">
        <f>'ต.ค-มี.ค'!Q66+'เม.ย-ก.ย'!Q66</f>
        <v>13</v>
      </c>
      <c r="R66" s="3">
        <f>'ต.ค-มี.ค'!R66+'เม.ย-ก.ย'!R66</f>
        <v>0</v>
      </c>
      <c r="S66" s="3">
        <f>'ต.ค-มี.ค'!S66+'เม.ย-ก.ย'!S66</f>
        <v>8</v>
      </c>
      <c r="T66" s="37">
        <f t="shared" si="0"/>
        <v>21</v>
      </c>
      <c r="U66" s="28">
        <f t="shared" si="5"/>
        <v>113.94557823129252</v>
      </c>
      <c r="V66" s="59">
        <f t="shared" si="1"/>
        <v>0</v>
      </c>
    </row>
    <row r="67" spans="1:22" ht="22.5" customHeight="1">
      <c r="A67" s="87">
        <v>20</v>
      </c>
      <c r="B67" s="7" t="s">
        <v>12</v>
      </c>
      <c r="C67" s="26">
        <f>'ต.ค-มี.ค'!C67+'เม.ย-ก.ย'!C67</f>
        <v>11</v>
      </c>
      <c r="D67" s="26">
        <f>'ต.ค-มี.ค'!D67+'เม.ย-ก.ย'!D67</f>
        <v>10</v>
      </c>
      <c r="E67" s="4">
        <f t="shared" si="2"/>
        <v>6.0535714285714288</v>
      </c>
      <c r="F67" s="3">
        <f>'ต.ค-มี.ค'!F67+'เม.ย-ก.ย'!F67</f>
        <v>6</v>
      </c>
      <c r="G67" s="3">
        <f>'ต.ค-มี.ค'!G67+'เม.ย-ก.ย'!G67</f>
        <v>0</v>
      </c>
      <c r="H67" s="3">
        <f>'ต.ค-มี.ค'!H67+'เม.ย-ก.ย'!H67</f>
        <v>0</v>
      </c>
      <c r="I67" s="3">
        <f>'ต.ค-มี.ค'!I67+'เม.ย-ก.ย'!I67</f>
        <v>0</v>
      </c>
      <c r="J67" s="3">
        <f>'ต.ค-มี.ค'!J67+'เม.ย-ก.ย'!J67</f>
        <v>0</v>
      </c>
      <c r="K67" s="3">
        <f>'ต.ค-มี.ค'!K67+'เม.ย-ก.ย'!K67</f>
        <v>0</v>
      </c>
      <c r="L67" s="3">
        <f>'ต.ค-มี.ค'!L67+'เม.ย-ก.ย'!L67</f>
        <v>0</v>
      </c>
      <c r="M67" s="5">
        <f t="shared" si="3"/>
        <v>-5.3571428571428825E-2</v>
      </c>
      <c r="N67" s="28">
        <f t="shared" si="4"/>
        <v>100.89285714285714</v>
      </c>
      <c r="O67" s="3">
        <f>'ต.ค-มี.ค'!O67+'เม.ย-ก.ย'!O67</f>
        <v>0</v>
      </c>
      <c r="P67" s="3">
        <f>'ต.ค-มี.ค'!P67+'เม.ย-ก.ย'!P67</f>
        <v>0</v>
      </c>
      <c r="Q67" s="3">
        <f>'ต.ค-มี.ค'!Q67+'เม.ย-ก.ย'!Q67</f>
        <v>13</v>
      </c>
      <c r="R67" s="3">
        <f>'ต.ค-มี.ค'!R67+'เม.ย-ก.ย'!R67</f>
        <v>0</v>
      </c>
      <c r="S67" s="3">
        <f>'ต.ค-มี.ค'!S67+'เม.ย-ก.ย'!S67</f>
        <v>8</v>
      </c>
      <c r="T67" s="37">
        <f t="shared" si="0"/>
        <v>21</v>
      </c>
      <c r="U67" s="28">
        <f t="shared" si="5"/>
        <v>132.93650793650795</v>
      </c>
      <c r="V67" s="59">
        <f t="shared" si="1"/>
        <v>0</v>
      </c>
    </row>
    <row r="68" spans="1:22" ht="22.5" customHeight="1">
      <c r="A68" s="87"/>
      <c r="B68" s="7" t="s">
        <v>13</v>
      </c>
      <c r="C68" s="26">
        <f>'ต.ค-มี.ค'!C68+'เม.ย-ก.ย'!C68</f>
        <v>10</v>
      </c>
      <c r="D68" s="26">
        <f>'ต.ค-มี.ค'!D68+'เม.ย-ก.ย'!D68</f>
        <v>10</v>
      </c>
      <c r="E68" s="4">
        <f t="shared" si="2"/>
        <v>5.8928571428571432</v>
      </c>
      <c r="F68" s="3">
        <f>'ต.ค-มี.ค'!F68+'เม.ย-ก.ย'!F68</f>
        <v>5</v>
      </c>
      <c r="G68" s="3">
        <f>'ต.ค-มี.ค'!G68+'เม.ย-ก.ย'!G68</f>
        <v>0</v>
      </c>
      <c r="H68" s="3">
        <f>'ต.ค-มี.ค'!H68+'เม.ย-ก.ย'!H68</f>
        <v>1</v>
      </c>
      <c r="I68" s="3">
        <f>'ต.ค-มี.ค'!I68+'เม.ย-ก.ย'!I68</f>
        <v>2</v>
      </c>
      <c r="J68" s="3">
        <f>'ต.ค-มี.ค'!J68+'เม.ย-ก.ย'!J68</f>
        <v>0</v>
      </c>
      <c r="K68" s="3">
        <f>'ต.ค-มี.ค'!K68+'เม.ย-ก.ย'!K68</f>
        <v>1</v>
      </c>
      <c r="L68" s="3">
        <f>'ต.ค-มี.ค'!L68+'เม.ย-ก.ย'!L68</f>
        <v>0</v>
      </c>
      <c r="M68" s="5">
        <f t="shared" si="3"/>
        <v>0.10714285714285676</v>
      </c>
      <c r="N68" s="28">
        <f t="shared" si="4"/>
        <v>65.476190476190482</v>
      </c>
      <c r="O68" s="3">
        <f>'ต.ค-มี.ค'!O68+'เม.ย-ก.ย'!O68</f>
        <v>0</v>
      </c>
      <c r="P68" s="3">
        <f>'ต.ค-มี.ค'!P68+'เม.ย-ก.ย'!P68</f>
        <v>1</v>
      </c>
      <c r="Q68" s="3">
        <f>'ต.ค-มี.ค'!Q68+'เม.ย-ก.ย'!Q68</f>
        <v>11</v>
      </c>
      <c r="R68" s="3">
        <f>'ต.ค-มี.ค'!R68+'เม.ย-ก.ย'!R68</f>
        <v>0</v>
      </c>
      <c r="S68" s="3">
        <f>'ต.ค-มี.ค'!S68+'เม.ย-ก.ย'!S68</f>
        <v>8</v>
      </c>
      <c r="T68" s="37">
        <f t="shared" si="0"/>
        <v>20</v>
      </c>
      <c r="U68" s="28">
        <f t="shared" si="5"/>
        <v>84.656084656084658</v>
      </c>
      <c r="V68" s="59">
        <f t="shared" si="1"/>
        <v>0</v>
      </c>
    </row>
    <row r="69" spans="1:22" ht="22.5" customHeight="1">
      <c r="A69" s="87"/>
      <c r="B69" s="7" t="s">
        <v>14</v>
      </c>
      <c r="C69" s="26">
        <f>'ต.ค-มี.ค'!C69+'เม.ย-ก.ย'!C69</f>
        <v>9</v>
      </c>
      <c r="D69" s="26">
        <f>'ต.ค-มี.ค'!D69+'เม.ย-ก.ย'!D69</f>
        <v>10</v>
      </c>
      <c r="E69" s="4">
        <f t="shared" si="2"/>
        <v>5.7321428571428568</v>
      </c>
      <c r="F69" s="3">
        <f>'ต.ค-มี.ค'!F69+'เม.ย-ก.ย'!F69</f>
        <v>5</v>
      </c>
      <c r="G69" s="3">
        <f>'ต.ค-มี.ค'!G69+'เม.ย-ก.ย'!G69</f>
        <v>0</v>
      </c>
      <c r="H69" s="3">
        <f>'ต.ค-มี.ค'!H69+'เม.ย-ก.ย'!H69</f>
        <v>1</v>
      </c>
      <c r="I69" s="3">
        <f>'ต.ค-มี.ค'!I69+'เม.ย-ก.ย'!I69</f>
        <v>0</v>
      </c>
      <c r="J69" s="3">
        <f>'ต.ค-มี.ค'!J69+'เม.ย-ก.ย'!J69</f>
        <v>0</v>
      </c>
      <c r="K69" s="3">
        <f>'ต.ค-มี.ค'!K69+'เม.ย-ก.ย'!K69</f>
        <v>0</v>
      </c>
      <c r="L69" s="3">
        <f>'ต.ค-มี.ค'!L69+'เม.ย-ก.ย'!L69</f>
        <v>0</v>
      </c>
      <c r="M69" s="5">
        <f t="shared" si="3"/>
        <v>0.26785714285714324</v>
      </c>
      <c r="N69" s="28">
        <f t="shared" si="4"/>
        <v>95.535714285714292</v>
      </c>
      <c r="O69" s="3">
        <f>'ต.ค-มี.ค'!O69+'เม.ย-ก.ย'!O69</f>
        <v>0</v>
      </c>
      <c r="P69" s="3">
        <f>'ต.ค-มี.ค'!P69+'เม.ย-ก.ย'!P69</f>
        <v>0</v>
      </c>
      <c r="Q69" s="3">
        <f>'ต.ค-มี.ค'!Q69+'เม.ย-ก.ย'!Q69</f>
        <v>11</v>
      </c>
      <c r="R69" s="3">
        <f>'ต.ค-มี.ค'!R69+'เม.ย-ก.ย'!R69</f>
        <v>0</v>
      </c>
      <c r="S69" s="3">
        <f>'ต.ค-มี.ค'!S69+'เม.ย-ก.ย'!S69</f>
        <v>8</v>
      </c>
      <c r="T69" s="37">
        <f t="shared" si="0"/>
        <v>19</v>
      </c>
      <c r="U69" s="28">
        <f t="shared" si="5"/>
        <v>124.20634920634922</v>
      </c>
      <c r="V69" s="59">
        <f t="shared" si="1"/>
        <v>0</v>
      </c>
    </row>
    <row r="70" spans="1:22" ht="22.5" customHeight="1">
      <c r="A70" s="87">
        <v>21</v>
      </c>
      <c r="B70" s="7" t="s">
        <v>12</v>
      </c>
      <c r="C70" s="26">
        <f>'ต.ค-มี.ค'!C70+'เม.ย-ก.ย'!C70</f>
        <v>11</v>
      </c>
      <c r="D70" s="26">
        <f>'ต.ค-มี.ค'!D70+'เม.ย-ก.ย'!D70</f>
        <v>10</v>
      </c>
      <c r="E70" s="4">
        <f t="shared" si="2"/>
        <v>6.0535714285714288</v>
      </c>
      <c r="F70" s="3">
        <f>'ต.ค-มี.ค'!F70+'เม.ย-ก.ย'!F70</f>
        <v>6</v>
      </c>
      <c r="G70" s="3">
        <f>'ต.ค-มี.ค'!G70+'เม.ย-ก.ย'!G70</f>
        <v>0</v>
      </c>
      <c r="H70" s="3">
        <f>'ต.ค-มี.ค'!H70+'เม.ย-ก.ย'!H70</f>
        <v>0</v>
      </c>
      <c r="I70" s="3">
        <f>'ต.ค-มี.ค'!I70+'เม.ย-ก.ย'!I70</f>
        <v>0</v>
      </c>
      <c r="J70" s="3">
        <f>'ต.ค-มี.ค'!J70+'เม.ย-ก.ย'!J70</f>
        <v>0</v>
      </c>
      <c r="K70" s="3">
        <f>'ต.ค-มี.ค'!K70+'เม.ย-ก.ย'!K70</f>
        <v>0</v>
      </c>
      <c r="L70" s="3">
        <f>'ต.ค-มี.ค'!L70+'เม.ย-ก.ย'!L70</f>
        <v>0</v>
      </c>
      <c r="M70" s="5">
        <f t="shared" si="3"/>
        <v>-5.3571428571428825E-2</v>
      </c>
      <c r="N70" s="28">
        <f t="shared" si="4"/>
        <v>100.89285714285714</v>
      </c>
      <c r="O70" s="3">
        <f>'ต.ค-มี.ค'!O70+'เม.ย-ก.ย'!O70</f>
        <v>0</v>
      </c>
      <c r="P70" s="3">
        <f>'ต.ค-มี.ค'!P70+'เม.ย-ก.ย'!P70</f>
        <v>0</v>
      </c>
      <c r="Q70" s="3">
        <f>'ต.ค-มี.ค'!Q70+'เม.ย-ก.ย'!Q70</f>
        <v>12</v>
      </c>
      <c r="R70" s="3">
        <f>'ต.ค-มี.ค'!R70+'เม.ย-ก.ย'!R70</f>
        <v>1</v>
      </c>
      <c r="S70" s="3">
        <f>'ต.ค-มี.ค'!S70+'เม.ย-ก.ย'!S70</f>
        <v>8</v>
      </c>
      <c r="T70" s="37">
        <f t="shared" si="0"/>
        <v>21</v>
      </c>
      <c r="U70" s="28">
        <f t="shared" si="5"/>
        <v>134.52380952380955</v>
      </c>
      <c r="V70" s="59">
        <f t="shared" si="1"/>
        <v>0</v>
      </c>
    </row>
    <row r="71" spans="1:22" ht="22.5" customHeight="1">
      <c r="A71" s="87"/>
      <c r="B71" s="7" t="s">
        <v>13</v>
      </c>
      <c r="C71" s="26">
        <f>'ต.ค-มี.ค'!C71+'เม.ย-ก.ย'!C71</f>
        <v>11</v>
      </c>
      <c r="D71" s="26">
        <f>'ต.ค-มี.ค'!D71+'เม.ย-ก.ย'!D71</f>
        <v>8</v>
      </c>
      <c r="E71" s="4">
        <f t="shared" si="2"/>
        <v>5.1964285714285712</v>
      </c>
      <c r="F71" s="3">
        <f>'ต.ค-มี.ค'!F71+'เม.ย-ก.ย'!F71</f>
        <v>6</v>
      </c>
      <c r="G71" s="3">
        <f>'ต.ค-มี.ค'!G71+'เม.ย-ก.ย'!G71</f>
        <v>0</v>
      </c>
      <c r="H71" s="3">
        <f>'ต.ค-มี.ค'!H71+'เม.ย-ก.ย'!H71</f>
        <v>2</v>
      </c>
      <c r="I71" s="3">
        <f>'ต.ค-มี.ค'!I71+'เม.ย-ก.ย'!I71</f>
        <v>0</v>
      </c>
      <c r="J71" s="3">
        <f>'ต.ค-มี.ค'!J71+'เม.ย-ก.ย'!J71</f>
        <v>0</v>
      </c>
      <c r="K71" s="3">
        <f>'ต.ค-มี.ค'!K71+'เม.ย-ก.ย'!K71</f>
        <v>0</v>
      </c>
      <c r="L71" s="3">
        <f>'ต.ค-มี.ค'!L71+'เม.ย-ก.ย'!L71</f>
        <v>0</v>
      </c>
      <c r="M71" s="5">
        <f t="shared" si="3"/>
        <v>2.8035714285714288</v>
      </c>
      <c r="N71" s="28">
        <f t="shared" si="4"/>
        <v>64.955357142857139</v>
      </c>
      <c r="O71" s="3">
        <f>'ต.ค-มี.ค'!O71+'เม.ย-ก.ย'!O71</f>
        <v>0</v>
      </c>
      <c r="P71" s="3">
        <f>'ต.ค-มี.ค'!P71+'เม.ย-ก.ย'!P71</f>
        <v>3</v>
      </c>
      <c r="Q71" s="3">
        <f>'ต.ค-มี.ค'!Q71+'เม.ย-ก.ย'!Q71</f>
        <v>9</v>
      </c>
      <c r="R71" s="3">
        <f>'ต.ค-มี.ค'!R71+'เม.ย-ก.ย'!R71</f>
        <v>0</v>
      </c>
      <c r="S71" s="3">
        <f>'ต.ค-มี.ค'!S71+'เม.ย-ก.ย'!S71</f>
        <v>7</v>
      </c>
      <c r="T71" s="37">
        <f t="shared" si="0"/>
        <v>19</v>
      </c>
      <c r="U71" s="28">
        <f t="shared" si="5"/>
        <v>85.714285714285708</v>
      </c>
      <c r="V71" s="59">
        <f t="shared" si="1"/>
        <v>0</v>
      </c>
    </row>
    <row r="72" spans="1:22" ht="22.5" customHeight="1">
      <c r="A72" s="87"/>
      <c r="B72" s="7" t="s">
        <v>14</v>
      </c>
      <c r="C72" s="26">
        <f>'ต.ค-มี.ค'!C72+'เม.ย-ก.ย'!C72</f>
        <v>10</v>
      </c>
      <c r="D72" s="26">
        <f>'ต.ค-มี.ค'!D72+'เม.ย-ก.ย'!D72</f>
        <v>7</v>
      </c>
      <c r="E72" s="4">
        <f t="shared" si="2"/>
        <v>4.6071428571428568</v>
      </c>
      <c r="F72" s="3">
        <f>'ต.ค-มี.ค'!F72+'เม.ย-ก.ย'!F72</f>
        <v>6</v>
      </c>
      <c r="G72" s="3">
        <f>'ต.ค-มี.ค'!G72+'เม.ย-ก.ย'!G72</f>
        <v>0</v>
      </c>
      <c r="H72" s="3">
        <f>'ต.ค-มี.ค'!H72+'เม.ย-ก.ย'!H72</f>
        <v>1</v>
      </c>
      <c r="I72" s="3">
        <f>'ต.ค-มี.ค'!I72+'เม.ย-ก.ย'!I72</f>
        <v>0</v>
      </c>
      <c r="J72" s="3">
        <f>'ต.ค-มี.ค'!J72+'เม.ย-ก.ย'!J72</f>
        <v>0</v>
      </c>
      <c r="K72" s="3">
        <f>'ต.ค-มี.ค'!K72+'เม.ย-ก.ย'!K72</f>
        <v>0</v>
      </c>
      <c r="L72" s="3">
        <f>'ต.ค-มี.ค'!L72+'เม.ย-ก.ย'!L72</f>
        <v>0</v>
      </c>
      <c r="M72" s="5">
        <f t="shared" si="3"/>
        <v>2.3928571428571432</v>
      </c>
      <c r="N72" s="28">
        <f t="shared" si="4"/>
        <v>65.816326530612244</v>
      </c>
      <c r="O72" s="3">
        <f>'ต.ค-มี.ค'!O72+'เม.ย-ก.ย'!O72</f>
        <v>0</v>
      </c>
      <c r="P72" s="3">
        <f>'ต.ค-มี.ค'!P72+'เม.ย-ก.ย'!P72</f>
        <v>0</v>
      </c>
      <c r="Q72" s="3">
        <f>'ต.ค-มี.ค'!Q72+'เม.ย-ก.ย'!Q72</f>
        <v>9</v>
      </c>
      <c r="R72" s="3">
        <f>'ต.ค-มี.ค'!R72+'เม.ย-ก.ย'!R72</f>
        <v>1</v>
      </c>
      <c r="S72" s="3">
        <f>'ต.ค-มี.ค'!S72+'เม.ย-ก.ย'!S72</f>
        <v>7</v>
      </c>
      <c r="T72" s="37">
        <f t="shared" si="0"/>
        <v>17</v>
      </c>
      <c r="U72" s="28">
        <f t="shared" si="5"/>
        <v>95.918367346938766</v>
      </c>
      <c r="V72" s="59">
        <f t="shared" si="1"/>
        <v>0</v>
      </c>
    </row>
    <row r="73" spans="1:22" ht="22.5" customHeight="1">
      <c r="A73" s="87">
        <v>22</v>
      </c>
      <c r="B73" s="7" t="s">
        <v>12</v>
      </c>
      <c r="C73" s="26">
        <f>'ต.ค-มี.ค'!C73+'เม.ย-ก.ย'!C73</f>
        <v>9</v>
      </c>
      <c r="D73" s="26">
        <f>'ต.ค-มี.ค'!D73+'เม.ย-ก.ย'!D73</f>
        <v>7</v>
      </c>
      <c r="E73" s="4">
        <f t="shared" si="2"/>
        <v>4.4464285714285712</v>
      </c>
      <c r="F73" s="3">
        <f>'ต.ค-มี.ค'!F73+'เม.ย-ก.ย'!F73</f>
        <v>6</v>
      </c>
      <c r="G73" s="3">
        <f>'ต.ค-มี.ค'!G73+'เม.ย-ก.ย'!G73</f>
        <v>0</v>
      </c>
      <c r="H73" s="3">
        <f>'ต.ค-มี.ค'!H73+'เม.ย-ก.ย'!H73</f>
        <v>0</v>
      </c>
      <c r="I73" s="3">
        <f>'ต.ค-มี.ค'!I73+'เม.ย-ก.ย'!I73</f>
        <v>0</v>
      </c>
      <c r="J73" s="3">
        <f>'ต.ค-มี.ค'!J73+'เม.ย-ก.ย'!J73</f>
        <v>0</v>
      </c>
      <c r="K73" s="3">
        <f>'ต.ค-มี.ค'!K73+'เม.ย-ก.ย'!K73</f>
        <v>0</v>
      </c>
      <c r="L73" s="3">
        <f>'ต.ค-มี.ค'!L73+'เม.ย-ก.ย'!L73</f>
        <v>0</v>
      </c>
      <c r="M73" s="5">
        <f t="shared" si="3"/>
        <v>1.5535714285714288</v>
      </c>
      <c r="N73" s="28">
        <f t="shared" si="4"/>
        <v>74.107142857142861</v>
      </c>
      <c r="O73" s="3">
        <f>'ต.ค-มี.ค'!O73+'เม.ย-ก.ย'!O73</f>
        <v>0</v>
      </c>
      <c r="P73" s="3">
        <f>'ต.ค-มี.ค'!P73+'เม.ย-ก.ย'!P73</f>
        <v>0</v>
      </c>
      <c r="Q73" s="3">
        <f>'ต.ค-มี.ค'!Q73+'เม.ย-ก.ย'!Q73</f>
        <v>9</v>
      </c>
      <c r="R73" s="3">
        <f>'ต.ค-มี.ค'!R73+'เม.ย-ก.ย'!R73</f>
        <v>0</v>
      </c>
      <c r="S73" s="3">
        <f>'ต.ค-มี.ค'!S73+'เม.ย-ก.ย'!S73</f>
        <v>7</v>
      </c>
      <c r="T73" s="37">
        <f t="shared" si="0"/>
        <v>16</v>
      </c>
      <c r="U73" s="28">
        <f t="shared" si="5"/>
        <v>105.95238095238095</v>
      </c>
      <c r="V73" s="59">
        <f t="shared" si="1"/>
        <v>0</v>
      </c>
    </row>
    <row r="74" spans="1:22" ht="22.5" customHeight="1">
      <c r="A74" s="87"/>
      <c r="B74" s="7" t="s">
        <v>13</v>
      </c>
      <c r="C74" s="26">
        <f>'ต.ค-มี.ค'!C74+'เม.ย-ก.ย'!C74</f>
        <v>11</v>
      </c>
      <c r="D74" s="26">
        <f>'ต.ค-มี.ค'!D74+'เม.ย-ก.ย'!D74</f>
        <v>7</v>
      </c>
      <c r="E74" s="4">
        <f t="shared" si="2"/>
        <v>4.7678571428571432</v>
      </c>
      <c r="F74" s="3">
        <f>'ต.ค-มี.ค'!F74+'เม.ย-ก.ย'!F74</f>
        <v>5</v>
      </c>
      <c r="G74" s="3">
        <f>'ต.ค-มี.ค'!G74+'เม.ย-ก.ย'!G74</f>
        <v>0</v>
      </c>
      <c r="H74" s="3">
        <f>'ต.ค-มี.ค'!H74+'เม.ย-ก.ย'!H74</f>
        <v>1</v>
      </c>
      <c r="I74" s="3">
        <f>'ต.ค-มี.ค'!I74+'เม.ย-ก.ย'!I74</f>
        <v>1</v>
      </c>
      <c r="J74" s="3">
        <f>'ต.ค-มี.ค'!J74+'เม.ย-ก.ย'!J74</f>
        <v>0</v>
      </c>
      <c r="K74" s="3">
        <f>'ต.ค-มี.ค'!K74+'เม.ย-ก.ย'!K74</f>
        <v>0</v>
      </c>
      <c r="L74" s="3">
        <f>'ต.ค-มี.ค'!L74+'เม.ย-ก.ย'!L74</f>
        <v>0</v>
      </c>
      <c r="M74" s="5">
        <f t="shared" si="3"/>
        <v>1.2321428571428568</v>
      </c>
      <c r="N74" s="28">
        <f t="shared" si="4"/>
        <v>68.112244897959187</v>
      </c>
      <c r="O74" s="3">
        <f>'ต.ค-มี.ค'!O74+'เม.ย-ก.ย'!O74</f>
        <v>0</v>
      </c>
      <c r="P74" s="3">
        <f>'ต.ค-มี.ค'!P74+'เม.ย-ก.ย'!P74</f>
        <v>1</v>
      </c>
      <c r="Q74" s="3">
        <f>'ต.ค-มี.ค'!Q74+'เม.ย-ก.ย'!Q74</f>
        <v>10</v>
      </c>
      <c r="R74" s="3">
        <f>'ต.ค-มี.ค'!R74+'เม.ย-ก.ย'!R74</f>
        <v>0</v>
      </c>
      <c r="S74" s="3">
        <f>'ต.ค-มี.ค'!S74+'เม.ย-ก.ย'!S74</f>
        <v>7</v>
      </c>
      <c r="T74" s="37">
        <f t="shared" ref="T74:T81" si="6">SUM(O74:S74)</f>
        <v>18</v>
      </c>
      <c r="U74" s="28">
        <f t="shared" si="5"/>
        <v>96.938775510204081</v>
      </c>
      <c r="V74" s="59">
        <f t="shared" ref="V74:V106" si="7">C74+D74-T74</f>
        <v>0</v>
      </c>
    </row>
    <row r="75" spans="1:22" ht="22.5" customHeight="1">
      <c r="A75" s="87"/>
      <c r="B75" s="7" t="s">
        <v>14</v>
      </c>
      <c r="C75" s="26">
        <f>'ต.ค-มี.ค'!C75+'เม.ย-ก.ย'!C75</f>
        <v>11</v>
      </c>
      <c r="D75" s="26">
        <f>'ต.ค-มี.ค'!D75+'เม.ย-ก.ย'!D75</f>
        <v>9</v>
      </c>
      <c r="E75" s="4">
        <f t="shared" ref="E75:E102" si="8">((($B$3*C75)+(12*D75))*$E$4)/7</f>
        <v>5.625</v>
      </c>
      <c r="F75" s="3">
        <f>'ต.ค-มี.ค'!F75+'เม.ย-ก.ย'!F75</f>
        <v>5</v>
      </c>
      <c r="G75" s="3">
        <f>'ต.ค-มี.ค'!G75+'เม.ย-ก.ย'!G75</f>
        <v>0</v>
      </c>
      <c r="H75" s="3">
        <f>'ต.ค-มี.ค'!H75+'เม.ย-ก.ย'!H75</f>
        <v>1</v>
      </c>
      <c r="I75" s="3">
        <f>'ต.ค-มี.ค'!I75+'เม.ย-ก.ย'!I75</f>
        <v>0</v>
      </c>
      <c r="J75" s="3">
        <f>'ต.ค-มี.ค'!J75+'เม.ย-ก.ย'!J75</f>
        <v>0</v>
      </c>
      <c r="K75" s="3">
        <f>'ต.ค-มี.ค'!K75+'เม.ย-ก.ย'!K75</f>
        <v>0</v>
      </c>
      <c r="L75" s="3">
        <f>'ต.ค-มี.ค'!L75+'เม.ย-ก.ย'!L75</f>
        <v>0</v>
      </c>
      <c r="M75" s="5">
        <f t="shared" ref="M75:M106" si="9">(F75+G75+H75+L75)-E75</f>
        <v>0.375</v>
      </c>
      <c r="N75" s="28">
        <f t="shared" ref="N75:N105" si="10">(((C75*4.5)+(12*D75))*$E$4)/((F75+G75+H75+I75+J75+K75+L75)*7)*100</f>
        <v>93.75</v>
      </c>
      <c r="O75" s="3">
        <f>'ต.ค-มี.ค'!O75+'เม.ย-ก.ย'!O75</f>
        <v>0</v>
      </c>
      <c r="P75" s="3">
        <f>'ต.ค-มี.ค'!P75+'เม.ย-ก.ย'!P75</f>
        <v>0</v>
      </c>
      <c r="Q75" s="3">
        <f>'ต.ค-มี.ค'!Q75+'เม.ย-ก.ย'!Q75</f>
        <v>11</v>
      </c>
      <c r="R75" s="3">
        <f>'ต.ค-มี.ค'!R75+'เม.ย-ก.ย'!R75</f>
        <v>0</v>
      </c>
      <c r="S75" s="3">
        <f>'ต.ค-มี.ค'!S75+'เม.ย-ก.ย'!S75</f>
        <v>9</v>
      </c>
      <c r="T75" s="37">
        <f t="shared" si="6"/>
        <v>20</v>
      </c>
      <c r="U75" s="28">
        <f t="shared" ref="U75:U106" si="11">((((O75*1.5+(P75*3.5)+(Q75*5.5)+(R75*7.5)+(S75*12)))/3)/((F75+G75+H75+I75+J75+K75+L75)*7))*100</f>
        <v>133.73015873015873</v>
      </c>
      <c r="V75" s="59">
        <f t="shared" si="7"/>
        <v>0</v>
      </c>
    </row>
    <row r="76" spans="1:22" ht="22.5" customHeight="1">
      <c r="A76" s="87">
        <v>23</v>
      </c>
      <c r="B76" s="7" t="s">
        <v>12</v>
      </c>
      <c r="C76" s="26">
        <f>'ต.ค-มี.ค'!C76+'เม.ย-ก.ย'!C76</f>
        <v>11</v>
      </c>
      <c r="D76" s="26">
        <f>'ต.ค-มี.ค'!D76+'เม.ย-ก.ย'!D76</f>
        <v>9</v>
      </c>
      <c r="E76" s="4">
        <f t="shared" si="8"/>
        <v>5.625</v>
      </c>
      <c r="F76" s="3">
        <f>'ต.ค-มี.ค'!F76+'เม.ย-ก.ย'!F76</f>
        <v>6</v>
      </c>
      <c r="G76" s="3">
        <f>'ต.ค-มี.ค'!G76+'เม.ย-ก.ย'!G76</f>
        <v>0</v>
      </c>
      <c r="H76" s="3">
        <f>'ต.ค-มี.ค'!H76+'เม.ย-ก.ย'!H76</f>
        <v>0</v>
      </c>
      <c r="I76" s="3">
        <f>'ต.ค-มี.ค'!I76+'เม.ย-ก.ย'!I76</f>
        <v>0</v>
      </c>
      <c r="J76" s="3">
        <f>'ต.ค-มี.ค'!J76+'เม.ย-ก.ย'!J76</f>
        <v>0</v>
      </c>
      <c r="K76" s="3">
        <f>'ต.ค-มี.ค'!K76+'เม.ย-ก.ย'!K76</f>
        <v>0</v>
      </c>
      <c r="L76" s="3">
        <f>'ต.ค-มี.ค'!L76+'เม.ย-ก.ย'!L76</f>
        <v>0</v>
      </c>
      <c r="M76" s="5">
        <f t="shared" si="9"/>
        <v>0.375</v>
      </c>
      <c r="N76" s="28">
        <f t="shared" si="10"/>
        <v>93.75</v>
      </c>
      <c r="O76" s="3">
        <f>'ต.ค-มี.ค'!O76+'เม.ย-ก.ย'!O76</f>
        <v>0</v>
      </c>
      <c r="P76" s="3">
        <f>'ต.ค-มี.ค'!P76+'เม.ย-ก.ย'!P76</f>
        <v>0</v>
      </c>
      <c r="Q76" s="3">
        <f>'ต.ค-มี.ค'!Q76+'เม.ย-ก.ย'!Q76</f>
        <v>10</v>
      </c>
      <c r="R76" s="3">
        <f>'ต.ค-มี.ค'!R76+'เม.ย-ก.ย'!R76</f>
        <v>1</v>
      </c>
      <c r="S76" s="3">
        <f>'ต.ค-มี.ค'!S76+'เม.ย-ก.ย'!S76</f>
        <v>9</v>
      </c>
      <c r="T76" s="37">
        <f t="shared" si="6"/>
        <v>20</v>
      </c>
      <c r="U76" s="28">
        <f t="shared" si="11"/>
        <v>135.31746031746033</v>
      </c>
      <c r="V76" s="59">
        <f t="shared" si="7"/>
        <v>0</v>
      </c>
    </row>
    <row r="77" spans="1:22" ht="22.5" customHeight="1">
      <c r="A77" s="87"/>
      <c r="B77" s="7" t="s">
        <v>13</v>
      </c>
      <c r="C77" s="26">
        <f>'ต.ค-มี.ค'!C77+'เม.ย-ก.ย'!C77</f>
        <v>11</v>
      </c>
      <c r="D77" s="26">
        <f>'ต.ค-มี.ค'!D77+'เม.ย-ก.ย'!D77</f>
        <v>10</v>
      </c>
      <c r="E77" s="4">
        <f t="shared" si="8"/>
        <v>6.0535714285714288</v>
      </c>
      <c r="F77" s="3">
        <f>'ต.ค-มี.ค'!F77+'เม.ย-ก.ย'!F77</f>
        <v>5</v>
      </c>
      <c r="G77" s="3">
        <f>'ต.ค-มี.ค'!G77+'เม.ย-ก.ย'!G77</f>
        <v>0</v>
      </c>
      <c r="H77" s="3">
        <f>'ต.ค-มี.ค'!H77+'เม.ย-ก.ย'!H77</f>
        <v>2</v>
      </c>
      <c r="I77" s="3">
        <f>'ต.ค-มี.ค'!I77+'เม.ย-ก.ย'!I77</f>
        <v>1</v>
      </c>
      <c r="J77" s="3">
        <f>'ต.ค-มี.ค'!J77+'เม.ย-ก.ย'!J77</f>
        <v>0</v>
      </c>
      <c r="K77" s="3">
        <f>'ต.ค-มี.ค'!K77+'เม.ย-ก.ย'!K77</f>
        <v>0</v>
      </c>
      <c r="L77" s="3">
        <f>'ต.ค-มี.ค'!L77+'เม.ย-ก.ย'!L77</f>
        <v>0</v>
      </c>
      <c r="M77" s="5">
        <f t="shared" si="9"/>
        <v>0.94642857142857117</v>
      </c>
      <c r="N77" s="28">
        <f t="shared" si="10"/>
        <v>75.669642857142861</v>
      </c>
      <c r="O77" s="3">
        <f>'ต.ค-มี.ค'!O77+'เม.ย-ก.ย'!O77</f>
        <v>0</v>
      </c>
      <c r="P77" s="3">
        <f>'ต.ค-มี.ค'!P77+'เม.ย-ก.ย'!P77</f>
        <v>3</v>
      </c>
      <c r="Q77" s="3">
        <f>'ต.ค-มี.ค'!Q77+'เม.ย-ก.ย'!Q77</f>
        <v>7</v>
      </c>
      <c r="R77" s="3">
        <f>'ต.ค-มี.ค'!R77+'เม.ย-ก.ย'!R77</f>
        <v>1</v>
      </c>
      <c r="S77" s="3">
        <f>'ต.ค-มี.ค'!S77+'เม.ย-ก.ย'!S77</f>
        <v>10</v>
      </c>
      <c r="T77" s="37">
        <f t="shared" si="6"/>
        <v>21</v>
      </c>
      <c r="U77" s="28">
        <f t="shared" si="11"/>
        <v>105.05952380952381</v>
      </c>
      <c r="V77" s="59">
        <f t="shared" si="7"/>
        <v>0</v>
      </c>
    </row>
    <row r="78" spans="1:22" ht="22.5" customHeight="1">
      <c r="A78" s="87"/>
      <c r="B78" s="7" t="s">
        <v>14</v>
      </c>
      <c r="C78" s="26">
        <f>'ต.ค-มี.ค'!C78+'เม.ย-ก.ย'!C78</f>
        <v>8</v>
      </c>
      <c r="D78" s="26">
        <f>'ต.ค-มี.ค'!D78+'เม.ย-ก.ย'!D78</f>
        <v>12</v>
      </c>
      <c r="E78" s="4">
        <f t="shared" si="8"/>
        <v>6.4285714285714288</v>
      </c>
      <c r="F78" s="3">
        <f>'ต.ค-มี.ค'!F78+'เม.ย-ก.ย'!F78</f>
        <v>6</v>
      </c>
      <c r="G78" s="3">
        <f>'ต.ค-มี.ค'!G78+'เม.ย-ก.ย'!G78</f>
        <v>0</v>
      </c>
      <c r="H78" s="3">
        <f>'ต.ค-มี.ค'!H78+'เม.ย-ก.ย'!H78</f>
        <v>0</v>
      </c>
      <c r="I78" s="3">
        <f>'ต.ค-มี.ค'!I78+'เม.ย-ก.ย'!I78</f>
        <v>0</v>
      </c>
      <c r="J78" s="3">
        <f>'ต.ค-มี.ค'!J78+'เม.ย-ก.ย'!J78</f>
        <v>0</v>
      </c>
      <c r="K78" s="3">
        <f>'ต.ค-มี.ค'!K78+'เม.ย-ก.ย'!K78</f>
        <v>0</v>
      </c>
      <c r="L78" s="3">
        <f>'ต.ค-มี.ค'!L78+'เม.ย-ก.ย'!L78</f>
        <v>0</v>
      </c>
      <c r="M78" s="5">
        <f t="shared" si="9"/>
        <v>-0.42857142857142883</v>
      </c>
      <c r="N78" s="28">
        <f t="shared" si="10"/>
        <v>107.14285714285714</v>
      </c>
      <c r="O78" s="3">
        <f>'ต.ค-มี.ค'!O78+'เม.ย-ก.ย'!O78</f>
        <v>0</v>
      </c>
      <c r="P78" s="3">
        <f>'ต.ค-มี.ค'!P78+'เม.ย-ก.ย'!P78</f>
        <v>0</v>
      </c>
      <c r="Q78" s="3">
        <f>'ต.ค-มี.ค'!Q78+'เม.ย-ก.ย'!Q78</f>
        <v>7</v>
      </c>
      <c r="R78" s="3">
        <f>'ต.ค-มี.ค'!R78+'เม.ย-ก.ย'!R78</f>
        <v>2</v>
      </c>
      <c r="S78" s="3">
        <f>'ต.ค-มี.ค'!S78+'เม.ย-ก.ย'!S78</f>
        <v>11</v>
      </c>
      <c r="T78" s="37">
        <f t="shared" si="6"/>
        <v>20</v>
      </c>
      <c r="U78" s="28">
        <f t="shared" si="11"/>
        <v>147.22222222222223</v>
      </c>
      <c r="V78" s="59">
        <f t="shared" si="7"/>
        <v>0</v>
      </c>
    </row>
    <row r="79" spans="1:22" ht="22.5" customHeight="1">
      <c r="A79" s="87">
        <v>24</v>
      </c>
      <c r="B79" s="7" t="s">
        <v>12</v>
      </c>
      <c r="C79" s="26">
        <f>'ต.ค-มี.ค'!C79+'เม.ย-ก.ย'!C79</f>
        <v>8</v>
      </c>
      <c r="D79" s="26">
        <f>'ต.ค-มี.ค'!D79+'เม.ย-ก.ย'!D79</f>
        <v>12</v>
      </c>
      <c r="E79" s="4">
        <f t="shared" si="8"/>
        <v>6.4285714285714288</v>
      </c>
      <c r="F79" s="3">
        <f>'ต.ค-มี.ค'!F79+'เม.ย-ก.ย'!F79</f>
        <v>6</v>
      </c>
      <c r="G79" s="3">
        <f>'ต.ค-มี.ค'!G79+'เม.ย-ก.ย'!G79</f>
        <v>0</v>
      </c>
      <c r="H79" s="3">
        <f>'ต.ค-มี.ค'!H79+'เม.ย-ก.ย'!H79</f>
        <v>0</v>
      </c>
      <c r="I79" s="3">
        <f>'ต.ค-มี.ค'!I79+'เม.ย-ก.ย'!I79</f>
        <v>0</v>
      </c>
      <c r="J79" s="3">
        <f>'ต.ค-มี.ค'!J79+'เม.ย-ก.ย'!J79</f>
        <v>0</v>
      </c>
      <c r="K79" s="3">
        <f>'ต.ค-มี.ค'!K79+'เม.ย-ก.ย'!K79</f>
        <v>0</v>
      </c>
      <c r="L79" s="3">
        <f>'ต.ค-มี.ค'!L79+'เม.ย-ก.ย'!L79</f>
        <v>0</v>
      </c>
      <c r="M79" s="5">
        <f t="shared" si="9"/>
        <v>-0.42857142857142883</v>
      </c>
      <c r="N79" s="28">
        <f t="shared" si="10"/>
        <v>107.14285714285714</v>
      </c>
      <c r="O79" s="3">
        <f>'ต.ค-มี.ค'!O79+'เม.ย-ก.ย'!O79</f>
        <v>0</v>
      </c>
      <c r="P79" s="3">
        <f>'ต.ค-มี.ค'!P79+'เม.ย-ก.ย'!P79</f>
        <v>0</v>
      </c>
      <c r="Q79" s="3">
        <f>'ต.ค-มี.ค'!Q79+'เม.ย-ก.ย'!Q79</f>
        <v>7</v>
      </c>
      <c r="R79" s="3">
        <f>'ต.ค-มี.ค'!R79+'เม.ย-ก.ย'!R79</f>
        <v>2</v>
      </c>
      <c r="S79" s="3">
        <f>'ต.ค-มี.ค'!S79+'เม.ย-ก.ย'!S79</f>
        <v>11</v>
      </c>
      <c r="T79" s="37">
        <f t="shared" si="6"/>
        <v>20</v>
      </c>
      <c r="U79" s="28">
        <f t="shared" si="11"/>
        <v>147.22222222222223</v>
      </c>
      <c r="V79" s="59">
        <f t="shared" si="7"/>
        <v>0</v>
      </c>
    </row>
    <row r="80" spans="1:22" ht="22.5" customHeight="1">
      <c r="A80" s="87"/>
      <c r="B80" s="7" t="s">
        <v>13</v>
      </c>
      <c r="C80" s="26">
        <f>'ต.ค-มี.ค'!C80+'เม.ย-ก.ย'!C80</f>
        <v>10</v>
      </c>
      <c r="D80" s="26">
        <f>'ต.ค-มี.ค'!D80+'เม.ย-ก.ย'!D80</f>
        <v>12</v>
      </c>
      <c r="E80" s="4">
        <f t="shared" si="8"/>
        <v>6.75</v>
      </c>
      <c r="F80" s="3">
        <f>'ต.ค-มี.ค'!F80+'เม.ย-ก.ย'!F80</f>
        <v>5</v>
      </c>
      <c r="G80" s="3">
        <f>'ต.ค-มี.ค'!G80+'เม.ย-ก.ย'!G80</f>
        <v>0</v>
      </c>
      <c r="H80" s="3">
        <f>'ต.ค-มี.ค'!H80+'เม.ย-ก.ย'!H80</f>
        <v>2</v>
      </c>
      <c r="I80" s="3">
        <f>'ต.ค-มี.ค'!I80+'เม.ย-ก.ย'!I80</f>
        <v>2</v>
      </c>
      <c r="J80" s="3">
        <f>'ต.ค-มี.ค'!J80+'เม.ย-ก.ย'!J80</f>
        <v>0</v>
      </c>
      <c r="K80" s="3">
        <f>'ต.ค-มี.ค'!K80+'เม.ย-ก.ย'!K80</f>
        <v>0</v>
      </c>
      <c r="L80" s="3">
        <f>'ต.ค-มี.ค'!L80+'เม.ย-ก.ย'!L80</f>
        <v>0</v>
      </c>
      <c r="M80" s="5">
        <f t="shared" si="9"/>
        <v>0.25</v>
      </c>
      <c r="N80" s="28">
        <f t="shared" si="10"/>
        <v>75</v>
      </c>
      <c r="O80" s="3">
        <f>'ต.ค-มี.ค'!O80+'เม.ย-ก.ย'!O80</f>
        <v>0</v>
      </c>
      <c r="P80" s="3">
        <f>'ต.ค-มี.ค'!P80+'เม.ย-ก.ย'!P80</f>
        <v>0</v>
      </c>
      <c r="Q80" s="3">
        <f>'ต.ค-มี.ค'!Q80+'เม.ย-ก.ย'!Q80</f>
        <v>9</v>
      </c>
      <c r="R80" s="3">
        <f>'ต.ค-มี.ค'!R80+'เม.ย-ก.ย'!R80</f>
        <v>2</v>
      </c>
      <c r="S80" s="3">
        <f>'ต.ค-มี.ค'!S80+'เม.ย-ก.ย'!S80</f>
        <v>11</v>
      </c>
      <c r="T80" s="37">
        <f t="shared" si="6"/>
        <v>22</v>
      </c>
      <c r="U80" s="28">
        <f t="shared" si="11"/>
        <v>103.96825396825398</v>
      </c>
      <c r="V80" s="59">
        <f t="shared" si="7"/>
        <v>0</v>
      </c>
    </row>
    <row r="81" spans="1:22" ht="22.5" customHeight="1">
      <c r="A81" s="87"/>
      <c r="B81" s="7" t="s">
        <v>14</v>
      </c>
      <c r="C81" s="26">
        <f>'ต.ค-มี.ค'!C81+'เม.ย-ก.ย'!C81</f>
        <v>9</v>
      </c>
      <c r="D81" s="26">
        <f>'ต.ค-มี.ค'!D81+'เม.ย-ก.ย'!D81</f>
        <v>12</v>
      </c>
      <c r="E81" s="4">
        <f t="shared" si="8"/>
        <v>6.5892857142857144</v>
      </c>
      <c r="F81" s="3">
        <f>'ต.ค-มี.ค'!F81+'เม.ย-ก.ย'!F81</f>
        <v>2</v>
      </c>
      <c r="G81" s="3">
        <f>'ต.ค-มี.ค'!G81+'เม.ย-ก.ย'!G81</f>
        <v>0</v>
      </c>
      <c r="H81" s="3">
        <f>'ต.ค-มี.ค'!H81+'เม.ย-ก.ย'!H81</f>
        <v>1</v>
      </c>
      <c r="I81" s="3">
        <f>'ต.ค-มี.ค'!I81+'เม.ย-ก.ย'!I81</f>
        <v>4</v>
      </c>
      <c r="J81" s="3">
        <f>'ต.ค-มี.ค'!J81+'เม.ย-ก.ย'!J81</f>
        <v>0</v>
      </c>
      <c r="K81" s="3">
        <f>'ต.ค-มี.ค'!K81+'เม.ย-ก.ย'!K81</f>
        <v>0</v>
      </c>
      <c r="L81" s="3">
        <f>'ต.ค-มี.ค'!L81+'เม.ย-ก.ย'!L81</f>
        <v>0</v>
      </c>
      <c r="M81" s="5">
        <f t="shared" si="9"/>
        <v>-3.5892857142857144</v>
      </c>
      <c r="N81" s="28">
        <f t="shared" si="10"/>
        <v>94.132653061224488</v>
      </c>
      <c r="O81" s="3">
        <f>'ต.ค-มี.ค'!O81+'เม.ย-ก.ย'!O81</f>
        <v>0</v>
      </c>
      <c r="P81" s="3">
        <f>'ต.ค-มี.ค'!P81+'เม.ย-ก.ย'!P81</f>
        <v>0</v>
      </c>
      <c r="Q81" s="3">
        <f>'ต.ค-มี.ค'!Q81+'เม.ย-ก.ย'!Q81</f>
        <v>8</v>
      </c>
      <c r="R81" s="3">
        <f>'ต.ค-มี.ค'!R81+'เม.ย-ก.ย'!R81</f>
        <v>2</v>
      </c>
      <c r="S81" s="3">
        <f>'ต.ค-มี.ค'!S81+'เม.ย-ก.ย'!S81</f>
        <v>11</v>
      </c>
      <c r="T81" s="37">
        <f t="shared" si="6"/>
        <v>21</v>
      </c>
      <c r="U81" s="28">
        <f t="shared" si="11"/>
        <v>129.93197278911563</v>
      </c>
      <c r="V81" s="59">
        <f t="shared" si="7"/>
        <v>0</v>
      </c>
    </row>
    <row r="82" spans="1:22" ht="22.5" customHeight="1">
      <c r="A82" s="87">
        <v>25</v>
      </c>
      <c r="B82" s="7" t="s">
        <v>12</v>
      </c>
      <c r="C82" s="26">
        <f>'ต.ค-มี.ค'!C82+'เม.ย-ก.ย'!C82</f>
        <v>10</v>
      </c>
      <c r="D82" s="26">
        <f>'ต.ค-มี.ค'!D82+'เม.ย-ก.ย'!D82</f>
        <v>12</v>
      </c>
      <c r="E82" s="4">
        <f t="shared" si="8"/>
        <v>6.75</v>
      </c>
      <c r="F82" s="3">
        <f>'ต.ค-มี.ค'!F82+'เม.ย-ก.ย'!F82</f>
        <v>6</v>
      </c>
      <c r="G82" s="3">
        <f>'ต.ค-มี.ค'!G82+'เม.ย-ก.ย'!G82</f>
        <v>0</v>
      </c>
      <c r="H82" s="3">
        <f>'ต.ค-มี.ค'!H82+'เม.ย-ก.ย'!H82</f>
        <v>0</v>
      </c>
      <c r="I82" s="3">
        <f>'ต.ค-มี.ค'!I82+'เม.ย-ก.ย'!I82</f>
        <v>0</v>
      </c>
      <c r="J82" s="3">
        <f>'ต.ค-มี.ค'!J82+'เม.ย-ก.ย'!J82</f>
        <v>0</v>
      </c>
      <c r="K82" s="3">
        <f>'ต.ค-มี.ค'!K82+'เม.ย-ก.ย'!K82</f>
        <v>0</v>
      </c>
      <c r="L82" s="3">
        <f>'ต.ค-มี.ค'!L82+'เม.ย-ก.ย'!L82</f>
        <v>0</v>
      </c>
      <c r="M82" s="5">
        <f t="shared" si="9"/>
        <v>-0.75</v>
      </c>
      <c r="N82" s="28">
        <f t="shared" si="10"/>
        <v>112.5</v>
      </c>
      <c r="O82" s="3">
        <f>'ต.ค-มี.ค'!O82+'เม.ย-ก.ย'!O82</f>
        <v>0</v>
      </c>
      <c r="P82" s="3">
        <f>'ต.ค-มี.ค'!P82+'เม.ย-ก.ย'!P82</f>
        <v>0</v>
      </c>
      <c r="Q82" s="3">
        <f>'ต.ค-มี.ค'!Q82+'เม.ย-ก.ย'!Q82</f>
        <v>8</v>
      </c>
      <c r="R82" s="3">
        <f>'ต.ค-มี.ค'!R82+'เม.ย-ก.ย'!R82</f>
        <v>3</v>
      </c>
      <c r="S82" s="3">
        <f>'ต.ค-มี.ค'!S82+'เม.ย-ก.ย'!S82</f>
        <v>11</v>
      </c>
      <c r="T82" s="37">
        <f>SUM(O82:S82)</f>
        <v>22</v>
      </c>
      <c r="U82" s="28">
        <f t="shared" si="11"/>
        <v>157.53968253968256</v>
      </c>
      <c r="V82" s="59">
        <f t="shared" si="7"/>
        <v>0</v>
      </c>
    </row>
    <row r="83" spans="1:22" ht="22.5" customHeight="1">
      <c r="A83" s="87"/>
      <c r="B83" s="7" t="s">
        <v>13</v>
      </c>
      <c r="C83" s="26">
        <f>'ต.ค-มี.ค'!C83+'เม.ย-ก.ย'!C83</f>
        <v>9</v>
      </c>
      <c r="D83" s="26">
        <f>'ต.ค-มี.ค'!D83+'เม.ย-ก.ย'!D83</f>
        <v>12</v>
      </c>
      <c r="E83" s="4">
        <f t="shared" si="8"/>
        <v>6.5892857142857144</v>
      </c>
      <c r="F83" s="3">
        <f>'ต.ค-มี.ค'!F83+'เม.ย-ก.ย'!F83</f>
        <v>6</v>
      </c>
      <c r="G83" s="3">
        <f>'ต.ค-มี.ค'!G83+'เม.ย-ก.ย'!G83</f>
        <v>0</v>
      </c>
      <c r="H83" s="3">
        <f>'ต.ค-มี.ค'!H83+'เม.ย-ก.ย'!H83</f>
        <v>1</v>
      </c>
      <c r="I83" s="3">
        <f>'ต.ค-มี.ค'!I83+'เม.ย-ก.ย'!I83</f>
        <v>2</v>
      </c>
      <c r="J83" s="3">
        <f>'ต.ค-มี.ค'!J83+'เม.ย-ก.ย'!J83</f>
        <v>0</v>
      </c>
      <c r="K83" s="3">
        <f>'ต.ค-มี.ค'!K83+'เม.ย-ก.ย'!K83</f>
        <v>0</v>
      </c>
      <c r="L83" s="3">
        <f>'ต.ค-มี.ค'!L83+'เม.ย-ก.ย'!L83</f>
        <v>0</v>
      </c>
      <c r="M83" s="5">
        <f t="shared" si="9"/>
        <v>0.41071428571428559</v>
      </c>
      <c r="N83" s="28">
        <f t="shared" si="10"/>
        <v>73.214285714285708</v>
      </c>
      <c r="O83" s="3">
        <f>'ต.ค-มี.ค'!O83+'เม.ย-ก.ย'!O83</f>
        <v>0</v>
      </c>
      <c r="P83" s="3">
        <f>'ต.ค-มี.ค'!P83+'เม.ย-ก.ย'!P83</f>
        <v>1</v>
      </c>
      <c r="Q83" s="3">
        <f>'ต.ค-มี.ค'!Q83+'เม.ย-ก.ย'!Q83</f>
        <v>8</v>
      </c>
      <c r="R83" s="3">
        <f>'ต.ค-มี.ค'!R83+'เม.ย-ก.ย'!R83</f>
        <v>1</v>
      </c>
      <c r="S83" s="3">
        <f>'ต.ค-มี.ค'!S83+'เม.ย-ก.ย'!S83</f>
        <v>11</v>
      </c>
      <c r="T83" s="37">
        <f t="shared" ref="T83:T106" si="12">SUM(O83:S83)</f>
        <v>21</v>
      </c>
      <c r="U83" s="28">
        <f t="shared" si="11"/>
        <v>98.941798941798936</v>
      </c>
      <c r="V83" s="59">
        <f t="shared" si="7"/>
        <v>0</v>
      </c>
    </row>
    <row r="84" spans="1:22" ht="22.5" customHeight="1">
      <c r="A84" s="87"/>
      <c r="B84" s="7" t="s">
        <v>14</v>
      </c>
      <c r="C84" s="26">
        <f>'ต.ค-มี.ค'!C84+'เม.ย-ก.ย'!C84</f>
        <v>10</v>
      </c>
      <c r="D84" s="26">
        <f>'ต.ค-มี.ค'!D84+'เม.ย-ก.ย'!D84</f>
        <v>12</v>
      </c>
      <c r="E84" s="4">
        <f t="shared" si="8"/>
        <v>6.75</v>
      </c>
      <c r="F84" s="3">
        <f>'ต.ค-มี.ค'!F84+'เม.ย-ก.ย'!F84</f>
        <v>6</v>
      </c>
      <c r="G84" s="3">
        <f>'ต.ค-มี.ค'!G84+'เม.ย-ก.ย'!G84</f>
        <v>0</v>
      </c>
      <c r="H84" s="3">
        <f>'ต.ค-มี.ค'!H84+'เม.ย-ก.ย'!H84</f>
        <v>1</v>
      </c>
      <c r="I84" s="3">
        <f>'ต.ค-มี.ค'!I84+'เม.ย-ก.ย'!I84</f>
        <v>0</v>
      </c>
      <c r="J84" s="3">
        <f>'ต.ค-มี.ค'!J84+'เม.ย-ก.ย'!J84</f>
        <v>0</v>
      </c>
      <c r="K84" s="3">
        <f>'ต.ค-มี.ค'!K84+'เม.ย-ก.ย'!K84</f>
        <v>0</v>
      </c>
      <c r="L84" s="3">
        <f>'ต.ค-มี.ค'!L84+'เม.ย-ก.ย'!L84</f>
        <v>0</v>
      </c>
      <c r="M84" s="5">
        <f t="shared" si="9"/>
        <v>0.25</v>
      </c>
      <c r="N84" s="28">
        <f t="shared" si="10"/>
        <v>96.428571428571431</v>
      </c>
      <c r="O84" s="3">
        <f>'ต.ค-มี.ค'!O84+'เม.ย-ก.ย'!O84</f>
        <v>0</v>
      </c>
      <c r="P84" s="3">
        <f>'ต.ค-มี.ค'!P84+'เม.ย-ก.ย'!P84</f>
        <v>0</v>
      </c>
      <c r="Q84" s="3">
        <f>'ต.ค-มี.ค'!Q84+'เม.ย-ก.ย'!Q84</f>
        <v>10</v>
      </c>
      <c r="R84" s="3">
        <f>'ต.ค-มี.ค'!R84+'เม.ย-ก.ย'!R84</f>
        <v>2</v>
      </c>
      <c r="S84" s="3">
        <f>'ต.ค-มี.ค'!S84+'เม.ย-ก.ย'!S84</f>
        <v>10</v>
      </c>
      <c r="T84" s="37">
        <f t="shared" si="12"/>
        <v>22</v>
      </c>
      <c r="U84" s="28">
        <f t="shared" si="11"/>
        <v>129.25170068027211</v>
      </c>
      <c r="V84" s="59">
        <f t="shared" si="7"/>
        <v>0</v>
      </c>
    </row>
    <row r="85" spans="1:22" ht="22.5" customHeight="1">
      <c r="A85" s="87">
        <v>26</v>
      </c>
      <c r="B85" s="7" t="s">
        <v>12</v>
      </c>
      <c r="C85" s="26">
        <f>'ต.ค-มี.ค'!C85+'เม.ย-ก.ย'!C85</f>
        <v>7</v>
      </c>
      <c r="D85" s="26">
        <f>'ต.ค-มี.ค'!D85+'เม.ย-ก.ย'!D85</f>
        <v>13</v>
      </c>
      <c r="E85" s="4">
        <f t="shared" si="8"/>
        <v>6.6964285714285712</v>
      </c>
      <c r="F85" s="3">
        <f>'ต.ค-มี.ค'!F85+'เม.ย-ก.ย'!F85</f>
        <v>6</v>
      </c>
      <c r="G85" s="3">
        <f>'ต.ค-มี.ค'!G85+'เม.ย-ก.ย'!G85</f>
        <v>0</v>
      </c>
      <c r="H85" s="3">
        <f>'ต.ค-มี.ค'!H85+'เม.ย-ก.ย'!H85</f>
        <v>0</v>
      </c>
      <c r="I85" s="3">
        <f>'ต.ค-มี.ค'!I85+'เม.ย-ก.ย'!I85</f>
        <v>0</v>
      </c>
      <c r="J85" s="3">
        <f>'ต.ค-มี.ค'!J85+'เม.ย-ก.ย'!J85</f>
        <v>0</v>
      </c>
      <c r="K85" s="3">
        <f>'ต.ค-มี.ค'!K85+'เม.ย-ก.ย'!K85</f>
        <v>0</v>
      </c>
      <c r="L85" s="3">
        <f>'ต.ค-มี.ค'!L85+'เม.ย-ก.ย'!L85</f>
        <v>0</v>
      </c>
      <c r="M85" s="5">
        <f t="shared" si="9"/>
        <v>-0.69642857142857117</v>
      </c>
      <c r="N85" s="28">
        <f t="shared" si="10"/>
        <v>111.60714285714286</v>
      </c>
      <c r="O85" s="3">
        <f>'ต.ค-มี.ค'!O85+'เม.ย-ก.ย'!O85</f>
        <v>0</v>
      </c>
      <c r="P85" s="3">
        <f>'ต.ค-มี.ค'!P85+'เม.ย-ก.ย'!P85</f>
        <v>0</v>
      </c>
      <c r="Q85" s="3">
        <f>'ต.ค-มี.ค'!Q85+'เม.ย-ก.ย'!Q85</f>
        <v>6</v>
      </c>
      <c r="R85" s="3">
        <f>'ต.ค-มี.ค'!R85+'เม.ย-ก.ย'!R85</f>
        <v>3</v>
      </c>
      <c r="S85" s="3">
        <f>'ต.ค-มี.ค'!S85+'เม.ย-ก.ย'!S85</f>
        <v>11</v>
      </c>
      <c r="T85" s="37">
        <f t="shared" si="12"/>
        <v>20</v>
      </c>
      <c r="U85" s="28">
        <f t="shared" si="11"/>
        <v>148.80952380952382</v>
      </c>
      <c r="V85" s="59">
        <f t="shared" si="7"/>
        <v>0</v>
      </c>
    </row>
    <row r="86" spans="1:22" ht="22.5" customHeight="1">
      <c r="A86" s="87"/>
      <c r="B86" s="7" t="s">
        <v>13</v>
      </c>
      <c r="C86" s="26">
        <f>'ต.ค-มี.ค'!C86+'เม.ย-ก.ย'!C86</f>
        <v>12</v>
      </c>
      <c r="D86" s="26">
        <f>'ต.ค-มี.ค'!D86+'เม.ย-ก.ย'!D86</f>
        <v>13</v>
      </c>
      <c r="E86" s="4">
        <f t="shared" si="8"/>
        <v>7.5</v>
      </c>
      <c r="F86" s="3">
        <f>'ต.ค-มี.ค'!F86+'เม.ย-ก.ย'!F86</f>
        <v>8</v>
      </c>
      <c r="G86" s="3">
        <f>'ต.ค-มี.ค'!G86+'เม.ย-ก.ย'!G86</f>
        <v>0</v>
      </c>
      <c r="H86" s="3">
        <f>'ต.ค-มี.ค'!H86+'เม.ย-ก.ย'!H86</f>
        <v>2</v>
      </c>
      <c r="I86" s="3">
        <f>'ต.ค-มี.ค'!I86+'เม.ย-ก.ย'!I86</f>
        <v>0</v>
      </c>
      <c r="J86" s="3">
        <f>'ต.ค-มี.ค'!J86+'เม.ย-ก.ย'!J86</f>
        <v>0</v>
      </c>
      <c r="K86" s="3">
        <f>'ต.ค-มี.ค'!K86+'เม.ย-ก.ย'!K86</f>
        <v>0</v>
      </c>
      <c r="L86" s="3">
        <f>'ต.ค-มี.ค'!L86+'เม.ย-ก.ย'!L86</f>
        <v>0</v>
      </c>
      <c r="M86" s="5">
        <f t="shared" si="9"/>
        <v>2.5</v>
      </c>
      <c r="N86" s="28">
        <f t="shared" si="10"/>
        <v>75</v>
      </c>
      <c r="O86" s="3">
        <f>'ต.ค-มี.ค'!O86+'เม.ย-ก.ย'!O86</f>
        <v>0</v>
      </c>
      <c r="P86" s="3">
        <f>'ต.ค-มี.ค'!P86+'เม.ย-ก.ย'!P86</f>
        <v>3</v>
      </c>
      <c r="Q86" s="3">
        <f>'ต.ค-มี.ค'!Q86+'เม.ย-ก.ย'!Q86</f>
        <v>10</v>
      </c>
      <c r="R86" s="3">
        <f>'ต.ค-มี.ค'!R86+'เม.ย-ก.ย'!R86</f>
        <v>1</v>
      </c>
      <c r="S86" s="3">
        <f>'ต.ค-มี.ค'!S86+'เม.ย-ก.ย'!S86</f>
        <v>11</v>
      </c>
      <c r="T86" s="37">
        <f t="shared" si="12"/>
        <v>25</v>
      </c>
      <c r="U86" s="28">
        <f t="shared" si="11"/>
        <v>97.61904761904762</v>
      </c>
      <c r="V86" s="59">
        <f t="shared" si="7"/>
        <v>0</v>
      </c>
    </row>
    <row r="87" spans="1:22" ht="22.5" customHeight="1">
      <c r="A87" s="87"/>
      <c r="B87" s="7" t="s">
        <v>14</v>
      </c>
      <c r="C87" s="26">
        <f>'ต.ค-มี.ค'!C87+'เม.ย-ก.ย'!C87</f>
        <v>9</v>
      </c>
      <c r="D87" s="26">
        <f>'ต.ค-มี.ค'!D87+'เม.ย-ก.ย'!D87</f>
        <v>12</v>
      </c>
      <c r="E87" s="4">
        <f t="shared" si="8"/>
        <v>6.5892857142857144</v>
      </c>
      <c r="F87" s="3">
        <f>'ต.ค-มี.ค'!F87+'เม.ย-ก.ย'!F87</f>
        <v>6</v>
      </c>
      <c r="G87" s="3">
        <f>'ต.ค-มี.ค'!G87+'เม.ย-ก.ย'!G87</f>
        <v>0</v>
      </c>
      <c r="H87" s="3">
        <f>'ต.ค-มี.ค'!H87+'เม.ย-ก.ย'!H87</f>
        <v>1</v>
      </c>
      <c r="I87" s="3">
        <f>'ต.ค-มี.ค'!I87+'เม.ย-ก.ย'!I87</f>
        <v>0</v>
      </c>
      <c r="J87" s="3">
        <f>'ต.ค-มี.ค'!J87+'เม.ย-ก.ย'!J87</f>
        <v>0</v>
      </c>
      <c r="K87" s="3">
        <f>'ต.ค-มี.ค'!K87+'เม.ย-ก.ย'!K87</f>
        <v>0</v>
      </c>
      <c r="L87" s="3">
        <f>'ต.ค-มี.ค'!L87+'เม.ย-ก.ย'!L87</f>
        <v>0</v>
      </c>
      <c r="M87" s="5">
        <f t="shared" si="9"/>
        <v>0.41071428571428559</v>
      </c>
      <c r="N87" s="28">
        <f t="shared" si="10"/>
        <v>94.132653061224488</v>
      </c>
      <c r="O87" s="3">
        <f>'ต.ค-มี.ค'!O87+'เม.ย-ก.ย'!O87</f>
        <v>0</v>
      </c>
      <c r="P87" s="3">
        <f>'ต.ค-มี.ค'!P87+'เม.ย-ก.ย'!P87</f>
        <v>0</v>
      </c>
      <c r="Q87" s="3">
        <f>'ต.ค-มี.ค'!Q87+'เม.ย-ก.ย'!Q87</f>
        <v>11</v>
      </c>
      <c r="R87" s="3">
        <f>'ต.ค-มี.ค'!R87+'เม.ย-ก.ย'!R87</f>
        <v>3</v>
      </c>
      <c r="S87" s="3">
        <f>'ต.ค-มี.ค'!S87+'เม.ย-ก.ย'!S87</f>
        <v>7</v>
      </c>
      <c r="T87" s="37">
        <f t="shared" si="12"/>
        <v>21</v>
      </c>
      <c r="U87" s="28">
        <f t="shared" si="11"/>
        <v>113.60544217687074</v>
      </c>
      <c r="V87" s="59">
        <f t="shared" si="7"/>
        <v>0</v>
      </c>
    </row>
    <row r="88" spans="1:22" ht="22.5" customHeight="1">
      <c r="A88" s="87">
        <v>27</v>
      </c>
      <c r="B88" s="7" t="s">
        <v>12</v>
      </c>
      <c r="C88" s="26">
        <f>'ต.ค-มี.ค'!C88+'เม.ย-ก.ย'!C88</f>
        <v>10</v>
      </c>
      <c r="D88" s="26">
        <f>'ต.ค-มี.ค'!D88+'เม.ย-ก.ย'!D88</f>
        <v>12</v>
      </c>
      <c r="E88" s="4">
        <f t="shared" si="8"/>
        <v>6.75</v>
      </c>
      <c r="F88" s="3">
        <f>'ต.ค-มี.ค'!F88+'เม.ย-ก.ย'!F88</f>
        <v>6</v>
      </c>
      <c r="G88" s="3">
        <f>'ต.ค-มี.ค'!G88+'เม.ย-ก.ย'!G88</f>
        <v>0</v>
      </c>
      <c r="H88" s="3">
        <f>'ต.ค-มี.ค'!H88+'เม.ย-ก.ย'!H88</f>
        <v>0</v>
      </c>
      <c r="I88" s="3">
        <f>'ต.ค-มี.ค'!I88+'เม.ย-ก.ย'!I88</f>
        <v>0</v>
      </c>
      <c r="J88" s="3">
        <f>'ต.ค-มี.ค'!J88+'เม.ย-ก.ย'!J88</f>
        <v>0</v>
      </c>
      <c r="K88" s="3">
        <f>'ต.ค-มี.ค'!K88+'เม.ย-ก.ย'!K88</f>
        <v>0</v>
      </c>
      <c r="L88" s="3">
        <f>'ต.ค-มี.ค'!L88+'เม.ย-ก.ย'!L88</f>
        <v>0</v>
      </c>
      <c r="M88" s="5">
        <f t="shared" si="9"/>
        <v>-0.75</v>
      </c>
      <c r="N88" s="28">
        <f t="shared" si="10"/>
        <v>112.5</v>
      </c>
      <c r="O88" s="3">
        <f>'ต.ค-มี.ค'!O88+'เม.ย-ก.ย'!O88</f>
        <v>0</v>
      </c>
      <c r="P88" s="3">
        <f>'ต.ค-มี.ค'!P88+'เม.ย-ก.ย'!P88</f>
        <v>0</v>
      </c>
      <c r="Q88" s="3">
        <f>'ต.ค-มี.ค'!Q88+'เม.ย-ก.ย'!Q88</f>
        <v>12</v>
      </c>
      <c r="R88" s="3">
        <f>'ต.ค-มี.ค'!R88+'เม.ย-ก.ย'!R88</f>
        <v>2</v>
      </c>
      <c r="S88" s="3">
        <f>'ต.ค-มี.ค'!S88+'เม.ย-ก.ย'!S88</f>
        <v>8</v>
      </c>
      <c r="T88" s="37">
        <f t="shared" si="12"/>
        <v>22</v>
      </c>
      <c r="U88" s="28">
        <f t="shared" si="11"/>
        <v>140.47619047619045</v>
      </c>
      <c r="V88" s="59">
        <f t="shared" si="7"/>
        <v>0</v>
      </c>
    </row>
    <row r="89" spans="1:22" ht="22.5" customHeight="1">
      <c r="A89" s="87"/>
      <c r="B89" s="7" t="s">
        <v>13</v>
      </c>
      <c r="C89" s="26">
        <f>'ต.ค-มี.ค'!C89+'เม.ย-ก.ย'!C89</f>
        <v>11</v>
      </c>
      <c r="D89" s="26">
        <f>'ต.ค-มี.ค'!D89+'เม.ย-ก.ย'!D89</f>
        <v>10</v>
      </c>
      <c r="E89" s="4">
        <f t="shared" si="8"/>
        <v>6.0535714285714288</v>
      </c>
      <c r="F89" s="3">
        <f>'ต.ค-มี.ค'!F89+'เม.ย-ก.ย'!F89</f>
        <v>7</v>
      </c>
      <c r="G89" s="3">
        <f>'ต.ค-มี.ค'!G89+'เม.ย-ก.ย'!G89</f>
        <v>0</v>
      </c>
      <c r="H89" s="3">
        <f>'ต.ค-มี.ค'!H89+'เม.ย-ก.ย'!H89</f>
        <v>2</v>
      </c>
      <c r="I89" s="3">
        <f>'ต.ค-มี.ค'!I89+'เม.ย-ก.ย'!I89</f>
        <v>0</v>
      </c>
      <c r="J89" s="3">
        <f>'ต.ค-มี.ค'!J89+'เม.ย-ก.ย'!J89</f>
        <v>0</v>
      </c>
      <c r="K89" s="3">
        <f>'ต.ค-มี.ค'!K89+'เม.ย-ก.ย'!K89</f>
        <v>0</v>
      </c>
      <c r="L89" s="3">
        <f>'ต.ค-มี.ค'!L89+'เม.ย-ก.ย'!L89</f>
        <v>0</v>
      </c>
      <c r="M89" s="5">
        <f t="shared" si="9"/>
        <v>2.9464285714285712</v>
      </c>
      <c r="N89" s="28">
        <f t="shared" si="10"/>
        <v>67.261904761904773</v>
      </c>
      <c r="O89" s="3">
        <f>'ต.ค-มี.ค'!O89+'เม.ย-ก.ย'!O89</f>
        <v>0</v>
      </c>
      <c r="P89" s="3">
        <f>'ต.ค-มี.ค'!P89+'เม.ย-ก.ย'!P89</f>
        <v>1</v>
      </c>
      <c r="Q89" s="3">
        <f>'ต.ค-มี.ค'!Q89+'เม.ย-ก.ย'!Q89</f>
        <v>10</v>
      </c>
      <c r="R89" s="3">
        <f>'ต.ค-มี.ค'!R89+'เม.ย-ก.ย'!R89</f>
        <v>2</v>
      </c>
      <c r="S89" s="3">
        <f>'ต.ค-มี.ค'!S89+'เม.ย-ก.ย'!S89</f>
        <v>8</v>
      </c>
      <c r="T89" s="37">
        <f t="shared" si="12"/>
        <v>21</v>
      </c>
      <c r="U89" s="28">
        <f t="shared" si="11"/>
        <v>89.682539682539684</v>
      </c>
      <c r="V89" s="59">
        <f t="shared" si="7"/>
        <v>0</v>
      </c>
    </row>
    <row r="90" spans="1:22" ht="22.5" customHeight="1">
      <c r="A90" s="87"/>
      <c r="B90" s="7" t="s">
        <v>14</v>
      </c>
      <c r="C90" s="26">
        <f>'ต.ค-มี.ค'!C90+'เม.ย-ก.ย'!C90</f>
        <v>14</v>
      </c>
      <c r="D90" s="26">
        <f>'ต.ค-มี.ค'!D90+'เม.ย-ก.ย'!D90</f>
        <v>11</v>
      </c>
      <c r="E90" s="4">
        <f t="shared" si="8"/>
        <v>6.9642857142857144</v>
      </c>
      <c r="F90" s="3">
        <f>'ต.ค-มี.ค'!F90+'เม.ย-ก.ย'!F90</f>
        <v>7</v>
      </c>
      <c r="G90" s="3">
        <f>'ต.ค-มี.ค'!G90+'เม.ย-ก.ย'!G90</f>
        <v>0</v>
      </c>
      <c r="H90" s="3">
        <f>'ต.ค-มี.ค'!H90+'เม.ย-ก.ย'!H90</f>
        <v>1</v>
      </c>
      <c r="I90" s="3">
        <f>'ต.ค-มี.ค'!I90+'เม.ย-ก.ย'!I90</f>
        <v>0</v>
      </c>
      <c r="J90" s="3">
        <f>'ต.ค-มี.ค'!J90+'เม.ย-ก.ย'!J90</f>
        <v>0</v>
      </c>
      <c r="K90" s="3">
        <f>'ต.ค-มี.ค'!K90+'เม.ย-ก.ย'!K90</f>
        <v>0</v>
      </c>
      <c r="L90" s="3">
        <f>'ต.ค-มี.ค'!L90+'เม.ย-ก.ย'!L90</f>
        <v>0</v>
      </c>
      <c r="M90" s="5">
        <f t="shared" si="9"/>
        <v>1.0357142857142856</v>
      </c>
      <c r="N90" s="28">
        <f t="shared" si="10"/>
        <v>87.053571428571431</v>
      </c>
      <c r="O90" s="3">
        <f>'ต.ค-มี.ค'!O90+'เม.ย-ก.ย'!O90</f>
        <v>0</v>
      </c>
      <c r="P90" s="3">
        <f>'ต.ค-มี.ค'!P90+'เม.ย-ก.ย'!P90</f>
        <v>0</v>
      </c>
      <c r="Q90" s="3">
        <f>'ต.ค-มี.ค'!Q90+'เม.ย-ก.ย'!Q90</f>
        <v>16</v>
      </c>
      <c r="R90" s="3">
        <f>'ต.ค-มี.ค'!R90+'เม.ย-ก.ย'!R90</f>
        <v>2</v>
      </c>
      <c r="S90" s="3">
        <f>'ต.ค-มี.ค'!S90+'เม.ย-ก.ย'!S90</f>
        <v>7</v>
      </c>
      <c r="T90" s="37">
        <f t="shared" si="12"/>
        <v>25</v>
      </c>
      <c r="U90" s="28">
        <f t="shared" si="11"/>
        <v>111.30952380952381</v>
      </c>
      <c r="V90" s="59">
        <f t="shared" si="7"/>
        <v>0</v>
      </c>
    </row>
    <row r="91" spans="1:22" ht="22.5" customHeight="1">
      <c r="A91" s="87">
        <v>28</v>
      </c>
      <c r="B91" s="7" t="s">
        <v>12</v>
      </c>
      <c r="C91" s="26">
        <f>'ต.ค-มี.ค'!C91+'เม.ย-ก.ย'!C91</f>
        <v>14</v>
      </c>
      <c r="D91" s="26">
        <f>'ต.ค-มี.ค'!D91+'เม.ย-ก.ย'!D91</f>
        <v>12</v>
      </c>
      <c r="E91" s="4">
        <f t="shared" si="8"/>
        <v>7.3928571428571432</v>
      </c>
      <c r="F91" s="3">
        <f>'ต.ค-มี.ค'!F91+'เม.ย-ก.ย'!F91</f>
        <v>6</v>
      </c>
      <c r="G91" s="3">
        <f>'ต.ค-มี.ค'!G91+'เม.ย-ก.ย'!G91</f>
        <v>0</v>
      </c>
      <c r="H91" s="3">
        <f>'ต.ค-มี.ค'!H91+'เม.ย-ก.ย'!H91</f>
        <v>0</v>
      </c>
      <c r="I91" s="3">
        <f>'ต.ค-มี.ค'!I91+'เม.ย-ก.ย'!I91</f>
        <v>0</v>
      </c>
      <c r="J91" s="3">
        <f>'ต.ค-มี.ค'!J91+'เม.ย-ก.ย'!J91</f>
        <v>0</v>
      </c>
      <c r="K91" s="3">
        <f>'ต.ค-มี.ค'!K91+'เม.ย-ก.ย'!K91</f>
        <v>0</v>
      </c>
      <c r="L91" s="3">
        <f>'ต.ค-มี.ค'!L91+'เม.ย-ก.ย'!L91</f>
        <v>0</v>
      </c>
      <c r="M91" s="5">
        <f t="shared" si="9"/>
        <v>-1.3928571428571432</v>
      </c>
      <c r="N91" s="28">
        <f t="shared" si="10"/>
        <v>123.21428571428572</v>
      </c>
      <c r="O91" s="3">
        <f>'ต.ค-มี.ค'!O91+'เม.ย-ก.ย'!O91</f>
        <v>0</v>
      </c>
      <c r="P91" s="3">
        <f>'ต.ค-มี.ค'!P91+'เม.ย-ก.ย'!P91</f>
        <v>0</v>
      </c>
      <c r="Q91" s="3">
        <f>'ต.ค-มี.ค'!Q91+'เม.ย-ก.ย'!Q91</f>
        <v>16</v>
      </c>
      <c r="R91" s="3">
        <f>'ต.ค-มี.ค'!R91+'เม.ย-ก.ย'!R91</f>
        <v>2</v>
      </c>
      <c r="S91" s="3">
        <f>'ต.ค-มี.ค'!S91+'เม.ย-ก.ย'!S91</f>
        <v>8</v>
      </c>
      <c r="T91" s="37">
        <f t="shared" si="12"/>
        <v>26</v>
      </c>
      <c r="U91" s="28">
        <f t="shared" si="11"/>
        <v>157.93650793650792</v>
      </c>
      <c r="V91" s="59">
        <f t="shared" si="7"/>
        <v>0</v>
      </c>
    </row>
    <row r="92" spans="1:22" ht="22.5" customHeight="1">
      <c r="A92" s="87"/>
      <c r="B92" s="7" t="s">
        <v>13</v>
      </c>
      <c r="C92" s="26">
        <f>'ต.ค-มี.ค'!C92+'เม.ย-ก.ย'!C92</f>
        <v>16</v>
      </c>
      <c r="D92" s="26">
        <f>'ต.ค-มี.ค'!D92+'เม.ย-ก.ย'!D92</f>
        <v>11</v>
      </c>
      <c r="E92" s="4">
        <f t="shared" si="8"/>
        <v>7.2857142857142856</v>
      </c>
      <c r="F92" s="3">
        <f>'ต.ค-มี.ค'!F92+'เม.ย-ก.ย'!F92</f>
        <v>4</v>
      </c>
      <c r="G92" s="3">
        <f>'ต.ค-มี.ค'!G92+'เม.ย-ก.ย'!G92</f>
        <v>0</v>
      </c>
      <c r="H92" s="3">
        <f>'ต.ค-มี.ค'!H92+'เม.ย-ก.ย'!H92</f>
        <v>2</v>
      </c>
      <c r="I92" s="3">
        <f>'ต.ค-มี.ค'!I92+'เม.ย-ก.ย'!I92</f>
        <v>2</v>
      </c>
      <c r="J92" s="3">
        <f>'ต.ค-มี.ค'!J92+'เม.ย-ก.ย'!J92</f>
        <v>0</v>
      </c>
      <c r="K92" s="3">
        <f>'ต.ค-มี.ค'!K92+'เม.ย-ก.ย'!K92</f>
        <v>0</v>
      </c>
      <c r="L92" s="3">
        <f>'ต.ค-มี.ค'!L92+'เม.ย-ก.ย'!L92</f>
        <v>0</v>
      </c>
      <c r="M92" s="5">
        <f t="shared" si="9"/>
        <v>-1.2857142857142856</v>
      </c>
      <c r="N92" s="28">
        <f t="shared" si="10"/>
        <v>91.071428571428569</v>
      </c>
      <c r="O92" s="3">
        <f>'ต.ค-มี.ค'!O92+'เม.ย-ก.ย'!O92</f>
        <v>0</v>
      </c>
      <c r="P92" s="3">
        <f>'ต.ค-มี.ค'!P92+'เม.ย-ก.ย'!P92</f>
        <v>1</v>
      </c>
      <c r="Q92" s="3">
        <f>'ต.ค-มี.ค'!Q92+'เม.ย-ก.ย'!Q92</f>
        <v>18</v>
      </c>
      <c r="R92" s="3">
        <f>'ต.ค-มี.ค'!R92+'เม.ย-ก.ย'!R92</f>
        <v>1</v>
      </c>
      <c r="S92" s="3">
        <f>'ต.ค-มี.ค'!S92+'เม.ย-ก.ย'!S92</f>
        <v>8</v>
      </c>
      <c r="T92" s="37">
        <f t="shared" si="12"/>
        <v>28</v>
      </c>
      <c r="U92" s="28">
        <f t="shared" si="11"/>
        <v>122.61904761904762</v>
      </c>
      <c r="V92" s="59">
        <f t="shared" si="7"/>
        <v>-1</v>
      </c>
    </row>
    <row r="93" spans="1:22" ht="22.5" customHeight="1">
      <c r="A93" s="87"/>
      <c r="B93" s="7" t="s">
        <v>14</v>
      </c>
      <c r="C93" s="26">
        <f>'ต.ค-มี.ค'!C93+'เม.ย-ก.ย'!C93</f>
        <v>16</v>
      </c>
      <c r="D93" s="26">
        <f>'ต.ค-มี.ค'!D93+'เม.ย-ก.ย'!D93</f>
        <v>11</v>
      </c>
      <c r="E93" s="4">
        <f t="shared" si="8"/>
        <v>7.2857142857142856</v>
      </c>
      <c r="F93" s="3">
        <f>'ต.ค-มี.ค'!F93+'เม.ย-ก.ย'!F93</f>
        <v>6</v>
      </c>
      <c r="G93" s="3">
        <f>'ต.ค-มี.ค'!G93+'เม.ย-ก.ย'!G93</f>
        <v>0</v>
      </c>
      <c r="H93" s="3">
        <f>'ต.ค-มี.ค'!H93+'เม.ย-ก.ย'!H93</f>
        <v>0</v>
      </c>
      <c r="I93" s="3">
        <f>'ต.ค-มี.ค'!I93+'เม.ย-ก.ย'!I93</f>
        <v>0</v>
      </c>
      <c r="J93" s="3">
        <f>'ต.ค-มี.ค'!J93+'เม.ย-ก.ย'!J93</f>
        <v>0</v>
      </c>
      <c r="K93" s="3">
        <f>'ต.ค-มี.ค'!K93+'เม.ย-ก.ย'!K93</f>
        <v>0</v>
      </c>
      <c r="L93" s="3">
        <f>'ต.ค-มี.ค'!L93+'เม.ย-ก.ย'!L93</f>
        <v>0</v>
      </c>
      <c r="M93" s="5">
        <f t="shared" si="9"/>
        <v>-1.2857142857142856</v>
      </c>
      <c r="N93" s="28">
        <f t="shared" si="10"/>
        <v>121.42857142857142</v>
      </c>
      <c r="O93" s="3">
        <f>'ต.ค-มี.ค'!O93+'เม.ย-ก.ย'!O93</f>
        <v>0</v>
      </c>
      <c r="P93" s="3">
        <f>'ต.ค-มี.ค'!P93+'เม.ย-ก.ย'!P93</f>
        <v>0</v>
      </c>
      <c r="Q93" s="3">
        <f>'ต.ค-มี.ค'!Q93+'เม.ย-ก.ย'!Q93</f>
        <v>18</v>
      </c>
      <c r="R93" s="3">
        <f>'ต.ค-มี.ค'!R93+'เม.ย-ก.ย'!R93</f>
        <v>1</v>
      </c>
      <c r="S93" s="3">
        <f>'ต.ค-มี.ค'!S93+'เม.ย-ก.ย'!S93</f>
        <v>8</v>
      </c>
      <c r="T93" s="37">
        <f t="shared" si="12"/>
        <v>27</v>
      </c>
      <c r="U93" s="28">
        <f t="shared" si="11"/>
        <v>160.71428571428572</v>
      </c>
      <c r="V93" s="59">
        <f t="shared" si="7"/>
        <v>0</v>
      </c>
    </row>
    <row r="94" spans="1:22" ht="22.5" customHeight="1">
      <c r="A94" s="87">
        <v>29</v>
      </c>
      <c r="B94" s="7" t="s">
        <v>12</v>
      </c>
      <c r="C94" s="26">
        <f>'ต.ค-มี.ค'!C94+'เม.ย-ก.ย'!C94</f>
        <v>17</v>
      </c>
      <c r="D94" s="26">
        <f>'ต.ค-มี.ค'!D94+'เม.ย-ก.ย'!D94</f>
        <v>11</v>
      </c>
      <c r="E94" s="4">
        <f t="shared" si="8"/>
        <v>7.4464285714285712</v>
      </c>
      <c r="F94" s="3">
        <f>'ต.ค-มี.ค'!F94+'เม.ย-ก.ย'!F94</f>
        <v>6</v>
      </c>
      <c r="G94" s="3">
        <f>'ต.ค-มี.ค'!G94+'เม.ย-ก.ย'!G94</f>
        <v>0</v>
      </c>
      <c r="H94" s="3">
        <f>'ต.ค-มี.ค'!H94+'เม.ย-ก.ย'!H94</f>
        <v>0</v>
      </c>
      <c r="I94" s="3">
        <f>'ต.ค-มี.ค'!I94+'เม.ย-ก.ย'!I94</f>
        <v>0</v>
      </c>
      <c r="J94" s="3">
        <f>'ต.ค-มี.ค'!J94+'เม.ย-ก.ย'!J94</f>
        <v>0</v>
      </c>
      <c r="K94" s="3">
        <f>'ต.ค-มี.ค'!K94+'เม.ย-ก.ย'!K94</f>
        <v>0</v>
      </c>
      <c r="L94" s="3">
        <f>'ต.ค-มี.ค'!L94+'เม.ย-ก.ย'!L94</f>
        <v>0</v>
      </c>
      <c r="M94" s="5">
        <f t="shared" si="9"/>
        <v>-1.4464285714285712</v>
      </c>
      <c r="N94" s="28">
        <f t="shared" si="10"/>
        <v>124.10714285714286</v>
      </c>
      <c r="O94" s="3">
        <f>'ต.ค-มี.ค'!O94+'เม.ย-ก.ย'!O94</f>
        <v>0</v>
      </c>
      <c r="P94" s="3">
        <f>'ต.ค-มี.ค'!P94+'เม.ย-ก.ย'!P94</f>
        <v>0</v>
      </c>
      <c r="Q94" s="3">
        <f>'ต.ค-มี.ค'!Q94+'เม.ย-ก.ย'!Q94</f>
        <v>18</v>
      </c>
      <c r="R94" s="3">
        <f>'ต.ค-มี.ค'!R94+'เม.ย-ก.ย'!R94</f>
        <v>2</v>
      </c>
      <c r="S94" s="3">
        <f>'ต.ค-มี.ค'!S94+'เม.ย-ก.ย'!S94</f>
        <v>8</v>
      </c>
      <c r="T94" s="37">
        <f t="shared" si="12"/>
        <v>28</v>
      </c>
      <c r="U94" s="28">
        <f t="shared" si="11"/>
        <v>166.66666666666669</v>
      </c>
      <c r="V94" s="59">
        <f t="shared" si="7"/>
        <v>0</v>
      </c>
    </row>
    <row r="95" spans="1:22" ht="22.5" customHeight="1">
      <c r="A95" s="87"/>
      <c r="B95" s="7" t="s">
        <v>13</v>
      </c>
      <c r="C95" s="26">
        <f>'ต.ค-มี.ค'!C95+'เม.ย-ก.ย'!C95</f>
        <v>17</v>
      </c>
      <c r="D95" s="26">
        <f>'ต.ค-มี.ค'!D95+'เม.ย-ก.ย'!D95</f>
        <v>11</v>
      </c>
      <c r="E95" s="4">
        <f t="shared" si="8"/>
        <v>7.4464285714285712</v>
      </c>
      <c r="F95" s="3">
        <f>'ต.ค-มี.ค'!F95+'เม.ย-ก.ย'!F95</f>
        <v>4</v>
      </c>
      <c r="G95" s="3">
        <f>'ต.ค-มี.ค'!G95+'เม.ย-ก.ย'!G95</f>
        <v>0</v>
      </c>
      <c r="H95" s="3">
        <f>'ต.ค-มี.ค'!H95+'เม.ย-ก.ย'!H95</f>
        <v>1</v>
      </c>
      <c r="I95" s="3">
        <f>'ต.ค-มี.ค'!I95+'เม.ย-ก.ย'!I95</f>
        <v>2</v>
      </c>
      <c r="J95" s="3">
        <f>'ต.ค-มี.ค'!J95+'เม.ย-ก.ย'!J95</f>
        <v>0</v>
      </c>
      <c r="K95" s="3">
        <f>'ต.ค-มี.ค'!K95+'เม.ย-ก.ย'!K95</f>
        <v>0</v>
      </c>
      <c r="L95" s="3">
        <f>'ต.ค-มี.ค'!L95+'เม.ย-ก.ย'!L95</f>
        <v>0</v>
      </c>
      <c r="M95" s="5">
        <f t="shared" si="9"/>
        <v>-2.4464285714285712</v>
      </c>
      <c r="N95" s="28">
        <f t="shared" si="10"/>
        <v>106.37755102040816</v>
      </c>
      <c r="O95" s="3">
        <f>'ต.ค-มี.ค'!O95+'เม.ย-ก.ย'!O95</f>
        <v>0</v>
      </c>
      <c r="P95" s="3">
        <f>'ต.ค-มี.ค'!P95+'เม.ย-ก.ย'!P95</f>
        <v>0</v>
      </c>
      <c r="Q95" s="3">
        <f>'ต.ค-มี.ค'!Q95+'เม.ย-ก.ย'!Q95</f>
        <v>18</v>
      </c>
      <c r="R95" s="3">
        <f>'ต.ค-มี.ค'!R95+'เม.ย-ก.ย'!R95</f>
        <v>2</v>
      </c>
      <c r="S95" s="3">
        <f>'ต.ค-มี.ค'!S95+'เม.ย-ก.ย'!S95</f>
        <v>8</v>
      </c>
      <c r="T95" s="37">
        <f t="shared" si="12"/>
        <v>28</v>
      </c>
      <c r="U95" s="28">
        <f t="shared" si="11"/>
        <v>142.85714285714286</v>
      </c>
      <c r="V95" s="59">
        <f t="shared" si="7"/>
        <v>0</v>
      </c>
    </row>
    <row r="96" spans="1:22" ht="22.5" customHeight="1">
      <c r="A96" s="87"/>
      <c r="B96" s="7" t="s">
        <v>14</v>
      </c>
      <c r="C96" s="26">
        <f>'ต.ค-มี.ค'!C96+'เม.ย-ก.ย'!C96</f>
        <v>17</v>
      </c>
      <c r="D96" s="26">
        <f>'ต.ค-มี.ค'!D96+'เม.ย-ก.ย'!D96</f>
        <v>11</v>
      </c>
      <c r="E96" s="4">
        <f t="shared" si="8"/>
        <v>7.4464285714285712</v>
      </c>
      <c r="F96" s="3">
        <f>'ต.ค-มี.ค'!F96+'เม.ย-ก.ย'!F96</f>
        <v>5</v>
      </c>
      <c r="G96" s="3">
        <f>'ต.ค-มี.ค'!G96+'เม.ย-ก.ย'!G96</f>
        <v>0</v>
      </c>
      <c r="H96" s="3">
        <f>'ต.ค-มี.ค'!H96+'เม.ย-ก.ย'!H96</f>
        <v>1</v>
      </c>
      <c r="I96" s="3">
        <f>'ต.ค-มี.ค'!I96+'เม.ย-ก.ย'!I96</f>
        <v>1</v>
      </c>
      <c r="J96" s="3">
        <f>'ต.ค-มี.ค'!J96+'เม.ย-ก.ย'!J96</f>
        <v>0</v>
      </c>
      <c r="K96" s="3">
        <f>'ต.ค-มี.ค'!K96+'เม.ย-ก.ย'!K96</f>
        <v>0</v>
      </c>
      <c r="L96" s="3">
        <f>'ต.ค-มี.ค'!L96+'เม.ย-ก.ย'!L96</f>
        <v>0</v>
      </c>
      <c r="M96" s="5">
        <f t="shared" si="9"/>
        <v>-1.4464285714285712</v>
      </c>
      <c r="N96" s="28">
        <f t="shared" si="10"/>
        <v>106.37755102040816</v>
      </c>
      <c r="O96" s="3">
        <f>'ต.ค-มี.ค'!O96+'เม.ย-ก.ย'!O96</f>
        <v>0</v>
      </c>
      <c r="P96" s="3">
        <f>'ต.ค-มี.ค'!P96+'เม.ย-ก.ย'!P96</f>
        <v>0</v>
      </c>
      <c r="Q96" s="3">
        <f>'ต.ค-มี.ค'!Q96+'เม.ย-ก.ย'!Q96</f>
        <v>19</v>
      </c>
      <c r="R96" s="3">
        <f>'ต.ค-มี.ค'!R96+'เม.ย-ก.ย'!R96</f>
        <v>3</v>
      </c>
      <c r="S96" s="3">
        <f>'ต.ค-มี.ค'!S96+'เม.ย-ก.ย'!S96</f>
        <v>6</v>
      </c>
      <c r="T96" s="37">
        <f t="shared" si="12"/>
        <v>28</v>
      </c>
      <c r="U96" s="28">
        <f t="shared" si="11"/>
        <v>135.37414965986395</v>
      </c>
      <c r="V96" s="59">
        <f t="shared" si="7"/>
        <v>0</v>
      </c>
    </row>
    <row r="97" spans="1:22" ht="22.5" customHeight="1">
      <c r="A97" s="87">
        <v>30</v>
      </c>
      <c r="B97" s="7" t="s">
        <v>12</v>
      </c>
      <c r="C97" s="26">
        <f>'ต.ค-มี.ค'!C97+'เม.ย-ก.ย'!C97</f>
        <v>18</v>
      </c>
      <c r="D97" s="26">
        <f>'ต.ค-มี.ค'!D97+'เม.ย-ก.ย'!D97</f>
        <v>11</v>
      </c>
      <c r="E97" s="4">
        <f t="shared" si="8"/>
        <v>7.6071428571428568</v>
      </c>
      <c r="F97" s="3">
        <f>'ต.ค-มี.ค'!F97+'เม.ย-ก.ย'!F97</f>
        <v>5</v>
      </c>
      <c r="G97" s="3">
        <f>'ต.ค-มี.ค'!G97+'เม.ย-ก.ย'!G97</f>
        <v>0</v>
      </c>
      <c r="H97" s="3">
        <f>'ต.ค-มี.ค'!H97+'เม.ย-ก.ย'!H97</f>
        <v>0</v>
      </c>
      <c r="I97" s="3">
        <f>'ต.ค-มี.ค'!I97+'เม.ย-ก.ย'!I97</f>
        <v>1</v>
      </c>
      <c r="J97" s="3">
        <f>'ต.ค-มี.ค'!J97+'เม.ย-ก.ย'!J97</f>
        <v>0</v>
      </c>
      <c r="K97" s="3">
        <f>'ต.ค-มี.ค'!K97+'เม.ย-ก.ย'!K97</f>
        <v>0</v>
      </c>
      <c r="L97" s="3">
        <f>'ต.ค-มี.ค'!L97+'เม.ย-ก.ย'!L97</f>
        <v>0</v>
      </c>
      <c r="M97" s="5">
        <f t="shared" si="9"/>
        <v>-2.6071428571428568</v>
      </c>
      <c r="N97" s="28">
        <f t="shared" si="10"/>
        <v>126.78571428571428</v>
      </c>
      <c r="O97" s="3">
        <f>'ต.ค-มี.ค'!O97+'เม.ย-ก.ย'!O97</f>
        <v>0</v>
      </c>
      <c r="P97" s="3">
        <f>'ต.ค-มี.ค'!P97+'เม.ย-ก.ย'!P97</f>
        <v>0</v>
      </c>
      <c r="Q97" s="3">
        <f>'ต.ค-มี.ค'!Q97+'เม.ย-ก.ย'!Q97</f>
        <v>20</v>
      </c>
      <c r="R97" s="3">
        <f>'ต.ค-มี.ค'!R97+'เม.ย-ก.ย'!R97</f>
        <v>3</v>
      </c>
      <c r="S97" s="3">
        <f>'ต.ค-มี.ค'!S97+'เม.ย-ก.ย'!S97</f>
        <v>6</v>
      </c>
      <c r="T97" s="37">
        <f t="shared" si="12"/>
        <v>29</v>
      </c>
      <c r="U97" s="28">
        <f t="shared" si="11"/>
        <v>162.30158730158729</v>
      </c>
      <c r="V97" s="59">
        <f t="shared" si="7"/>
        <v>0</v>
      </c>
    </row>
    <row r="98" spans="1:22" ht="22.5" customHeight="1">
      <c r="A98" s="87"/>
      <c r="B98" s="7" t="s">
        <v>13</v>
      </c>
      <c r="C98" s="26">
        <f>'ต.ค-มี.ค'!C98+'เม.ย-ก.ย'!C98</f>
        <v>21</v>
      </c>
      <c r="D98" s="26">
        <f>'ต.ค-มี.ค'!D98+'เม.ย-ก.ย'!D98</f>
        <v>9</v>
      </c>
      <c r="E98" s="4">
        <f t="shared" si="8"/>
        <v>7.2321428571428568</v>
      </c>
      <c r="F98" s="3">
        <f>'ต.ค-มี.ค'!F98+'เม.ย-ก.ย'!F98</f>
        <v>6</v>
      </c>
      <c r="G98" s="3">
        <f>'ต.ค-มี.ค'!G98+'เม.ย-ก.ย'!G98</f>
        <v>0</v>
      </c>
      <c r="H98" s="3">
        <f>'ต.ค-มี.ค'!H98+'เม.ย-ก.ย'!H98</f>
        <v>1</v>
      </c>
      <c r="I98" s="3">
        <f>'ต.ค-มี.ค'!I98+'เม.ย-ก.ย'!I98</f>
        <v>0</v>
      </c>
      <c r="J98" s="3">
        <f>'ต.ค-มี.ค'!J98+'เม.ย-ก.ย'!J98</f>
        <v>0</v>
      </c>
      <c r="K98" s="3">
        <f>'ต.ค-มี.ค'!K98+'เม.ย-ก.ย'!K98</f>
        <v>0</v>
      </c>
      <c r="L98" s="3">
        <f>'ต.ค-มี.ค'!L98+'เม.ย-ก.ย'!L98</f>
        <v>0</v>
      </c>
      <c r="M98" s="5">
        <f t="shared" si="9"/>
        <v>-0.23214285714285676</v>
      </c>
      <c r="N98" s="28">
        <f t="shared" si="10"/>
        <v>103.31632653061224</v>
      </c>
      <c r="O98" s="3">
        <f>'ต.ค-มี.ค'!O98+'เม.ย-ก.ย'!O98</f>
        <v>0</v>
      </c>
      <c r="P98" s="3">
        <f>'ต.ค-มี.ค'!P98+'เม.ย-ก.ย'!P98</f>
        <v>7</v>
      </c>
      <c r="Q98" s="3">
        <f>'ต.ค-มี.ค'!Q98+'เม.ย-ก.ย'!Q98</f>
        <v>15</v>
      </c>
      <c r="R98" s="3">
        <f>'ต.ค-มี.ค'!R98+'เม.ย-ก.ย'!R98</f>
        <v>4</v>
      </c>
      <c r="S98" s="3">
        <f>'ต.ค-มี.ค'!S98+'เม.ย-ก.ย'!S98</f>
        <v>5</v>
      </c>
      <c r="T98" s="37">
        <f t="shared" si="12"/>
        <v>31</v>
      </c>
      <c r="U98" s="28">
        <f t="shared" si="11"/>
        <v>134.0136054421769</v>
      </c>
      <c r="V98" s="59">
        <f t="shared" si="7"/>
        <v>-1</v>
      </c>
    </row>
    <row r="99" spans="1:22" ht="22.5" customHeight="1">
      <c r="A99" s="87"/>
      <c r="B99" s="7" t="s">
        <v>14</v>
      </c>
      <c r="C99" s="26">
        <f>'ต.ค-มี.ค'!C99+'เม.ย-ก.ย'!C99</f>
        <v>16</v>
      </c>
      <c r="D99" s="26">
        <f>'ต.ค-มี.ค'!D99+'เม.ย-ก.ย'!D99</f>
        <v>9</v>
      </c>
      <c r="E99" s="4">
        <f t="shared" si="8"/>
        <v>6.4285714285714288</v>
      </c>
      <c r="F99" s="3">
        <f>'ต.ค-มี.ค'!F99+'เม.ย-ก.ย'!F99</f>
        <v>6</v>
      </c>
      <c r="G99" s="3">
        <f>'ต.ค-มี.ค'!G99+'เม.ย-ก.ย'!G99</f>
        <v>0</v>
      </c>
      <c r="H99" s="3">
        <f>'ต.ค-มี.ค'!H99+'เม.ย-ก.ย'!H99</f>
        <v>0</v>
      </c>
      <c r="I99" s="3">
        <f>'ต.ค-มี.ค'!I99+'เม.ย-ก.ย'!I99</f>
        <v>0</v>
      </c>
      <c r="J99" s="3">
        <f>'ต.ค-มี.ค'!J99+'เม.ย-ก.ย'!J99</f>
        <v>0</v>
      </c>
      <c r="K99" s="3">
        <f>'ต.ค-มี.ค'!K99+'เม.ย-ก.ย'!K99</f>
        <v>0</v>
      </c>
      <c r="L99" s="3">
        <f>'ต.ค-มี.ค'!L99+'เม.ย-ก.ย'!L99</f>
        <v>0</v>
      </c>
      <c r="M99" s="5">
        <f t="shared" si="9"/>
        <v>-0.42857142857142883</v>
      </c>
      <c r="N99" s="28">
        <f t="shared" si="10"/>
        <v>107.14285714285714</v>
      </c>
      <c r="O99" s="3">
        <f>'ต.ค-มี.ค'!O99+'เม.ย-ก.ย'!O99</f>
        <v>0</v>
      </c>
      <c r="P99" s="3">
        <f>'ต.ค-มี.ค'!P99+'เม.ย-ก.ย'!P99</f>
        <v>0</v>
      </c>
      <c r="Q99" s="3">
        <f>'ต.ค-มี.ค'!Q99+'เม.ย-ก.ย'!Q99</f>
        <v>18</v>
      </c>
      <c r="R99" s="3">
        <f>'ต.ค-มี.ค'!R99+'เม.ย-ก.ย'!R99</f>
        <v>3</v>
      </c>
      <c r="S99" s="3">
        <f>'ต.ค-มี.ค'!S99+'เม.ย-ก.ย'!S99</f>
        <v>4</v>
      </c>
      <c r="T99" s="37">
        <f t="shared" si="12"/>
        <v>25</v>
      </c>
      <c r="U99" s="28">
        <f t="shared" si="11"/>
        <v>134.52380952380955</v>
      </c>
      <c r="V99" s="59">
        <f t="shared" si="7"/>
        <v>0</v>
      </c>
    </row>
    <row r="100" spans="1:22" ht="22.5" customHeight="1">
      <c r="A100" s="87">
        <v>31</v>
      </c>
      <c r="B100" s="7" t="s">
        <v>12</v>
      </c>
      <c r="C100" s="26">
        <f>'ต.ค-มี.ค'!C100+'เม.ย-ก.ย'!C100</f>
        <v>6</v>
      </c>
      <c r="D100" s="26">
        <f>'ต.ค-มี.ค'!D100+'เม.ย-ก.ย'!D100</f>
        <v>5</v>
      </c>
      <c r="E100" s="4">
        <f t="shared" si="8"/>
        <v>3.1071428571428572</v>
      </c>
      <c r="F100" s="3">
        <f>'ต.ค-มี.ค'!F100+'เม.ย-ก.ย'!F100</f>
        <v>3</v>
      </c>
      <c r="G100" s="3">
        <f>'ต.ค-มี.ค'!G100+'เม.ย-ก.ย'!G100</f>
        <v>0</v>
      </c>
      <c r="H100" s="3">
        <f>'ต.ค-มี.ค'!H100+'เม.ย-ก.ย'!H100</f>
        <v>0</v>
      </c>
      <c r="I100" s="3">
        <f>'ต.ค-มี.ค'!I100+'เม.ย-ก.ย'!I100</f>
        <v>0</v>
      </c>
      <c r="J100" s="3">
        <f>'ต.ค-มี.ค'!J100+'เม.ย-ก.ย'!J100</f>
        <v>0</v>
      </c>
      <c r="K100" s="3">
        <f>'ต.ค-มี.ค'!K100+'เม.ย-ก.ย'!K100</f>
        <v>0</v>
      </c>
      <c r="L100" s="3">
        <f>'ต.ค-มี.ค'!L100+'เม.ย-ก.ย'!L100</f>
        <v>0</v>
      </c>
      <c r="M100" s="5">
        <f t="shared" si="9"/>
        <v>-0.10714285714285721</v>
      </c>
      <c r="N100" s="28">
        <f t="shared" si="10"/>
        <v>103.57142857142858</v>
      </c>
      <c r="O100" s="3">
        <f>'ต.ค-มี.ค'!O100+'เม.ย-ก.ย'!O100</f>
        <v>0</v>
      </c>
      <c r="P100" s="3">
        <f>'ต.ค-มี.ค'!P100+'เม.ย-ก.ย'!P100</f>
        <v>0</v>
      </c>
      <c r="Q100" s="3">
        <f>'ต.ค-มี.ค'!Q100+'เม.ย-ก.ย'!Q100</f>
        <v>9</v>
      </c>
      <c r="R100" s="3">
        <f>'ต.ค-มี.ค'!R100+'เม.ย-ก.ย'!R100</f>
        <v>1</v>
      </c>
      <c r="S100" s="3">
        <f>'ต.ค-มี.ค'!S100+'เม.ย-ก.ย'!S100</f>
        <v>1</v>
      </c>
      <c r="T100" s="37">
        <f t="shared" si="12"/>
        <v>11</v>
      </c>
      <c r="U100" s="28">
        <f t="shared" si="11"/>
        <v>109.52380952380953</v>
      </c>
      <c r="V100" s="59">
        <f t="shared" si="7"/>
        <v>0</v>
      </c>
    </row>
    <row r="101" spans="1:22" ht="22.5" customHeight="1">
      <c r="A101" s="87"/>
      <c r="B101" s="7" t="s">
        <v>13</v>
      </c>
      <c r="C101" s="26">
        <f>'ต.ค-มี.ค'!C101+'เม.ย-ก.ย'!C101</f>
        <v>6</v>
      </c>
      <c r="D101" s="26">
        <f>'ต.ค-มี.ค'!D101+'เม.ย-ก.ย'!D101</f>
        <v>5</v>
      </c>
      <c r="E101" s="4">
        <f t="shared" si="8"/>
        <v>3.1071428571428572</v>
      </c>
      <c r="F101" s="3">
        <f>'ต.ค-มี.ค'!F101+'เม.ย-ก.ย'!F101</f>
        <v>3</v>
      </c>
      <c r="G101" s="3">
        <f>'ต.ค-มี.ค'!G101+'เม.ย-ก.ย'!G101</f>
        <v>0</v>
      </c>
      <c r="H101" s="3">
        <f>'ต.ค-มี.ค'!H101+'เม.ย-ก.ย'!H101</f>
        <v>1</v>
      </c>
      <c r="I101" s="3">
        <f>'ต.ค-มี.ค'!I101+'เม.ย-ก.ย'!I101</f>
        <v>0</v>
      </c>
      <c r="J101" s="3">
        <f>'ต.ค-มี.ค'!J101+'เม.ย-ก.ย'!J101</f>
        <v>0</v>
      </c>
      <c r="K101" s="3">
        <f>'ต.ค-มี.ค'!K101+'เม.ย-ก.ย'!K101</f>
        <v>0</v>
      </c>
      <c r="L101" s="3">
        <f>'ต.ค-มี.ค'!L101+'เม.ย-ก.ย'!L101</f>
        <v>0</v>
      </c>
      <c r="M101" s="5">
        <f t="shared" si="9"/>
        <v>0.89285714285714279</v>
      </c>
      <c r="N101" s="28">
        <f t="shared" si="10"/>
        <v>77.678571428571431</v>
      </c>
      <c r="O101" s="3">
        <f>'ต.ค-มี.ค'!O101+'เม.ย-ก.ย'!O101</f>
        <v>0</v>
      </c>
      <c r="P101" s="3">
        <f>'ต.ค-มี.ค'!P101+'เม.ย-ก.ย'!P101</f>
        <v>2</v>
      </c>
      <c r="Q101" s="3">
        <f>'ต.ค-มี.ค'!Q101+'เม.ย-ก.ย'!Q101</f>
        <v>6</v>
      </c>
      <c r="R101" s="3">
        <f>'ต.ค-มี.ค'!R101+'เม.ย-ก.ย'!R101</f>
        <v>2</v>
      </c>
      <c r="S101" s="3">
        <f>'ต.ค-มี.ค'!S101+'เม.ย-ก.ย'!S101</f>
        <v>1</v>
      </c>
      <c r="T101" s="37">
        <f t="shared" si="12"/>
        <v>11</v>
      </c>
      <c r="U101" s="28">
        <f t="shared" si="11"/>
        <v>79.761904761904759</v>
      </c>
      <c r="V101" s="59">
        <f t="shared" si="7"/>
        <v>0</v>
      </c>
    </row>
    <row r="102" spans="1:22" ht="22.5" customHeight="1">
      <c r="A102" s="87"/>
      <c r="B102" s="7" t="s">
        <v>14</v>
      </c>
      <c r="C102" s="26">
        <f>'ต.ค-มี.ค'!C102+'เม.ย-ก.ย'!C102</f>
        <v>5</v>
      </c>
      <c r="D102" s="26">
        <f>'ต.ค-มี.ค'!D102+'เม.ย-ก.ย'!D102</f>
        <v>5</v>
      </c>
      <c r="E102" s="4">
        <f t="shared" si="8"/>
        <v>2.9464285714285716</v>
      </c>
      <c r="F102" s="3">
        <f>'ต.ค-มี.ค'!F102+'เม.ย-ก.ย'!F102</f>
        <v>3</v>
      </c>
      <c r="G102" s="3">
        <f>'ต.ค-มี.ค'!G102+'เม.ย-ก.ย'!G102</f>
        <v>0</v>
      </c>
      <c r="H102" s="3">
        <f>'ต.ค-มี.ค'!H102+'เม.ย-ก.ย'!H102</f>
        <v>1</v>
      </c>
      <c r="I102" s="3">
        <f>'ต.ค-มี.ค'!I102+'เม.ย-ก.ย'!I102</f>
        <v>0</v>
      </c>
      <c r="J102" s="3">
        <f>'ต.ค-มี.ค'!J102+'เม.ย-ก.ย'!J102</f>
        <v>0</v>
      </c>
      <c r="K102" s="3">
        <f>'ต.ค-มี.ค'!K102+'เม.ย-ก.ย'!K102</f>
        <v>0</v>
      </c>
      <c r="L102" s="3">
        <f>'ต.ค-มี.ค'!L102+'เม.ย-ก.ย'!L102</f>
        <v>0</v>
      </c>
      <c r="M102" s="5">
        <f t="shared" si="9"/>
        <v>1.0535714285714284</v>
      </c>
      <c r="N102" s="28">
        <f t="shared" si="10"/>
        <v>73.660714285714292</v>
      </c>
      <c r="O102" s="3">
        <f>'ต.ค-มี.ค'!O102+'เม.ย-ก.ย'!O102</f>
        <v>0</v>
      </c>
      <c r="P102" s="3">
        <f>'ต.ค-มี.ค'!P102+'เม.ย-ก.ย'!P102</f>
        <v>0</v>
      </c>
      <c r="Q102" s="3">
        <f>'ต.ค-มี.ค'!Q102+'เม.ย-ก.ย'!Q102</f>
        <v>7</v>
      </c>
      <c r="R102" s="3">
        <f>'ต.ค-มี.ค'!R102+'เม.ย-ก.ย'!R102</f>
        <v>2</v>
      </c>
      <c r="S102" s="3">
        <f>'ต.ค-มี.ค'!S102+'เม.ย-ก.ย'!S102</f>
        <v>1</v>
      </c>
      <c r="T102" s="37">
        <f t="shared" si="12"/>
        <v>10</v>
      </c>
      <c r="U102" s="28">
        <f t="shared" si="11"/>
        <v>77.976190476190482</v>
      </c>
      <c r="V102" s="59">
        <f t="shared" si="7"/>
        <v>0</v>
      </c>
    </row>
    <row r="103" spans="1:22" ht="22.5" customHeight="1">
      <c r="A103" s="87" t="s">
        <v>41</v>
      </c>
      <c r="B103" s="1" t="s">
        <v>12</v>
      </c>
      <c r="C103" s="26">
        <f>'ต.ค-มี.ค'!C103+'เม.ย-ก.ย'!C103</f>
        <v>413</v>
      </c>
      <c r="D103" s="26">
        <f>'ต.ค-มี.ค'!D103+'เม.ย-ก.ย'!D103</f>
        <v>331</v>
      </c>
      <c r="E103" s="4">
        <f>((($B$3*C103)+(12*D103))*$M$4)/7</f>
        <v>291.52499999999998</v>
      </c>
      <c r="F103" s="4">
        <f t="shared" ref="F103:L105" si="13">F10+F13+F16+F19+F22+F25+F28+F31+F34+F37+F40+F43+F46+F49+F52+F55+F58+F61+F64+F67+F70+F73+F76+F79+F82+F85+F88+F91+F94+F97+F100</f>
        <v>180</v>
      </c>
      <c r="G103" s="1">
        <f t="shared" si="13"/>
        <v>0</v>
      </c>
      <c r="H103" s="1">
        <f t="shared" si="13"/>
        <v>0</v>
      </c>
      <c r="I103" s="1">
        <f t="shared" si="13"/>
        <v>9</v>
      </c>
      <c r="J103" s="1">
        <f t="shared" si="13"/>
        <v>0</v>
      </c>
      <c r="K103" s="1">
        <f t="shared" si="13"/>
        <v>0</v>
      </c>
      <c r="L103" s="1">
        <f t="shared" si="13"/>
        <v>0</v>
      </c>
      <c r="M103" s="5">
        <f t="shared" si="9"/>
        <v>-111.52499999999998</v>
      </c>
      <c r="N103" s="28">
        <f t="shared" si="10"/>
        <v>110.17573696145124</v>
      </c>
      <c r="O103" s="1">
        <f t="shared" ref="O103:S105" si="14">O10+O13+O16+O19+O22+O25+O28+O31+O34+O37+O40+O43+O46+O49+O52+O55+O58+O61+O64+O67+O70+O73+O76+O79+O82+O85+O88+O91+O94+O97+O100</f>
        <v>0</v>
      </c>
      <c r="P103" s="1">
        <f t="shared" si="14"/>
        <v>0</v>
      </c>
      <c r="Q103" s="1">
        <f t="shared" si="14"/>
        <v>449</v>
      </c>
      <c r="R103" s="1">
        <f t="shared" si="14"/>
        <v>78</v>
      </c>
      <c r="S103" s="1">
        <f>S10+S13+S16+S19+S22+S25+S28+S31+S34+S37+S40+S43+S46+S49+S52+S55+S58+S61+S64+S67+S70+S73+S76+S79+S82+S85+S88+S91+S94+S97+S100</f>
        <v>218</v>
      </c>
      <c r="T103" s="37">
        <f t="shared" si="12"/>
        <v>745</v>
      </c>
      <c r="U103" s="28">
        <f t="shared" si="11"/>
        <v>142.86974048878812</v>
      </c>
      <c r="V103" s="59">
        <f t="shared" si="7"/>
        <v>-1</v>
      </c>
    </row>
    <row r="104" spans="1:22" ht="22.5" customHeight="1">
      <c r="A104" s="87"/>
      <c r="B104" s="1" t="s">
        <v>13</v>
      </c>
      <c r="C104" s="26">
        <f>'ต.ค-มี.ค'!C104+'เม.ย-ก.ย'!C104</f>
        <v>440</v>
      </c>
      <c r="D104" s="26">
        <f>'ต.ค-มี.ค'!D104+'เม.ย-ก.ย'!D104</f>
        <v>327</v>
      </c>
      <c r="E104" s="4">
        <f t="shared" ref="E104:E105" si="15">((($B$3*C104)+(12*D104))*$M$4)/7</f>
        <v>295.2</v>
      </c>
      <c r="F104" s="4">
        <f>F11+F14+F17+F20+F23+F26+F29+F32+F35+F38+F41+F44+F47+F50+F53+F56+F59+F62+F65+F68+F71+F74+F77+F80+F83+F86+F89+F92+F95+F98+F101</f>
        <v>173</v>
      </c>
      <c r="G104" s="1">
        <f t="shared" si="13"/>
        <v>0</v>
      </c>
      <c r="H104" s="1">
        <f t="shared" ref="H104" si="16">H11+H14+H17+H20+H23+H26+H29+H32+H35+H38+H41+H44+H47+H50+H53+H56+H59+H62+H65+H68+H71+H74+H77+H80+H83+H86+H89+H92+H95+H98+H101</f>
        <v>28</v>
      </c>
      <c r="I104" s="1">
        <f t="shared" si="13"/>
        <v>30</v>
      </c>
      <c r="J104" s="1">
        <f t="shared" si="13"/>
        <v>0</v>
      </c>
      <c r="K104" s="1">
        <f t="shared" ref="K104" si="17">K11+K14+K17+K20+K23+K26+K29+K32+K35+K38+K41+K44+K47+K50+K53+K56+K59+K62+K65+K68+K71+K74+K77+K80+K83+K86+K89+K92+K95+K98+K101</f>
        <v>16</v>
      </c>
      <c r="L104" s="1">
        <f t="shared" si="13"/>
        <v>0</v>
      </c>
      <c r="M104" s="5">
        <f t="shared" si="9"/>
        <v>-94.199999999999989</v>
      </c>
      <c r="N104" s="28">
        <f t="shared" si="10"/>
        <v>85.367264314632735</v>
      </c>
      <c r="O104" s="1">
        <f t="shared" si="14"/>
        <v>0</v>
      </c>
      <c r="P104" s="1">
        <f t="shared" si="14"/>
        <v>80</v>
      </c>
      <c r="Q104" s="1">
        <f t="shared" si="14"/>
        <v>399</v>
      </c>
      <c r="R104" s="1">
        <f t="shared" si="14"/>
        <v>69</v>
      </c>
      <c r="S104" s="1">
        <f t="shared" si="14"/>
        <v>221</v>
      </c>
      <c r="T104" s="37">
        <f t="shared" si="12"/>
        <v>769</v>
      </c>
      <c r="U104" s="28">
        <f t="shared" si="11"/>
        <v>108.81048775785618</v>
      </c>
      <c r="V104" s="59">
        <f t="shared" si="7"/>
        <v>-2</v>
      </c>
    </row>
    <row r="105" spans="1:22" ht="22.5" customHeight="1">
      <c r="A105" s="87"/>
      <c r="B105" s="1" t="s">
        <v>14</v>
      </c>
      <c r="C105" s="26">
        <f>'ต.ค-มี.ค'!C105+'เม.ย-ก.ย'!C105</f>
        <v>398</v>
      </c>
      <c r="D105" s="26">
        <f>'ต.ค-มี.ค'!D105+'เม.ย-ก.ย'!D105</f>
        <v>321</v>
      </c>
      <c r="E105" s="4">
        <f t="shared" si="15"/>
        <v>282.14999999999998</v>
      </c>
      <c r="F105" s="4" t="e">
        <f t="shared" si="13"/>
        <v>#REF!</v>
      </c>
      <c r="G105" s="1">
        <f t="shared" si="13"/>
        <v>0</v>
      </c>
      <c r="H105" s="1">
        <f t="shared" ref="H105" si="18">H12+H15+H18+H21+H24+H27+H30+H33+H36+H39+H42+H45+H48+H51+H54+H57+H60+H63+H66+H69+H72+H75+H78+H81+H84+H87+H90+H93+H96+H99+H102</f>
        <v>17</v>
      </c>
      <c r="I105" s="1">
        <f t="shared" si="13"/>
        <v>13</v>
      </c>
      <c r="J105" s="1">
        <f t="shared" si="13"/>
        <v>0</v>
      </c>
      <c r="K105" s="1">
        <f t="shared" ref="K105" si="19">K12+K15+K18+K21+K24+K27+K30+K33+K36+K39+K42+K45+K48+K51+K54+K57+K60+K63+K66+K69+K72+K75+K78+K81+K84+K87+K90+K93+K96+K99+K102</f>
        <v>4</v>
      </c>
      <c r="L105" s="1">
        <f t="shared" si="13"/>
        <v>0</v>
      </c>
      <c r="M105" s="5" t="e">
        <f t="shared" si="9"/>
        <v>#REF!</v>
      </c>
      <c r="N105" s="28" t="e">
        <f t="shared" si="10"/>
        <v>#REF!</v>
      </c>
      <c r="O105" s="1">
        <f t="shared" si="14"/>
        <v>0</v>
      </c>
      <c r="P105" s="1">
        <f t="shared" si="14"/>
        <v>0</v>
      </c>
      <c r="Q105" s="1">
        <f t="shared" si="14"/>
        <v>429</v>
      </c>
      <c r="R105" s="1">
        <f t="shared" si="14"/>
        <v>80</v>
      </c>
      <c r="S105" s="1">
        <f t="shared" si="14"/>
        <v>208</v>
      </c>
      <c r="T105" s="37">
        <f t="shared" si="12"/>
        <v>717</v>
      </c>
      <c r="U105" s="28" t="e">
        <f t="shared" si="11"/>
        <v>#REF!</v>
      </c>
      <c r="V105" s="59">
        <f t="shared" si="7"/>
        <v>2</v>
      </c>
    </row>
    <row r="106" spans="1:22" ht="22.5" customHeight="1">
      <c r="A106" s="7" t="s">
        <v>42</v>
      </c>
      <c r="B106" s="7"/>
      <c r="C106" s="25">
        <f>SUM(C103:C105)/3</f>
        <v>417</v>
      </c>
      <c r="D106" s="25">
        <f>SUM(D103:D105)/3</f>
        <v>326.33333333333331</v>
      </c>
      <c r="E106" s="25"/>
      <c r="F106" s="25" t="e">
        <f t="shared" ref="F106:L106" si="20">SUM(F103:F105)</f>
        <v>#REF!</v>
      </c>
      <c r="G106" s="25">
        <f t="shared" si="20"/>
        <v>0</v>
      </c>
      <c r="H106" s="25">
        <f t="shared" si="20"/>
        <v>45</v>
      </c>
      <c r="I106" s="25">
        <f t="shared" si="20"/>
        <v>52</v>
      </c>
      <c r="J106" s="25">
        <f t="shared" si="20"/>
        <v>0</v>
      </c>
      <c r="K106" s="25">
        <f t="shared" si="20"/>
        <v>20</v>
      </c>
      <c r="L106" s="25">
        <f t="shared" si="20"/>
        <v>0</v>
      </c>
      <c r="M106" s="5" t="e">
        <f t="shared" si="9"/>
        <v>#REF!</v>
      </c>
      <c r="N106" s="25"/>
      <c r="O106" s="25">
        <f>SUM(O103:O105)/3</f>
        <v>0</v>
      </c>
      <c r="P106" s="25">
        <f t="shared" ref="P106:S106" si="21">SUM(P103:P105)/3</f>
        <v>26.666666666666668</v>
      </c>
      <c r="Q106" s="25">
        <f t="shared" si="21"/>
        <v>425.66666666666669</v>
      </c>
      <c r="R106" s="25">
        <f t="shared" si="21"/>
        <v>75.666666666666671</v>
      </c>
      <c r="S106" s="25">
        <f t="shared" si="21"/>
        <v>215.66666666666666</v>
      </c>
      <c r="T106" s="37">
        <f t="shared" si="12"/>
        <v>743.66666666666663</v>
      </c>
      <c r="U106" s="28" t="e">
        <f t="shared" si="11"/>
        <v>#REF!</v>
      </c>
      <c r="V106" s="59">
        <f t="shared" si="7"/>
        <v>-0.33333333333337123</v>
      </c>
    </row>
  </sheetData>
  <mergeCells count="77">
    <mergeCell ref="A103:A105"/>
    <mergeCell ref="A76:A78"/>
    <mergeCell ref="A79:A81"/>
    <mergeCell ref="A82:A84"/>
    <mergeCell ref="A85:A87"/>
    <mergeCell ref="A88:A90"/>
    <mergeCell ref="A91:A93"/>
    <mergeCell ref="A94:A96"/>
    <mergeCell ref="A97:A99"/>
    <mergeCell ref="A100:A102"/>
    <mergeCell ref="A7:A9"/>
    <mergeCell ref="O8:O9"/>
    <mergeCell ref="P8:P9"/>
    <mergeCell ref="Q8:Q9"/>
    <mergeCell ref="B7:B9"/>
    <mergeCell ref="M7:M9"/>
    <mergeCell ref="N7:N9"/>
    <mergeCell ref="C7:C9"/>
    <mergeCell ref="E7:E9"/>
    <mergeCell ref="L7:L9"/>
    <mergeCell ref="D7:D9"/>
    <mergeCell ref="I8:K8"/>
    <mergeCell ref="F8:H8"/>
    <mergeCell ref="F7:K7"/>
    <mergeCell ref="A73:A75"/>
    <mergeCell ref="A40:A42"/>
    <mergeCell ref="A43:A45"/>
    <mergeCell ref="A46:A48"/>
    <mergeCell ref="A49:A51"/>
    <mergeCell ref="A67:A69"/>
    <mergeCell ref="A70:A72"/>
    <mergeCell ref="A52:A54"/>
    <mergeCell ref="A55:A57"/>
    <mergeCell ref="A58:A60"/>
    <mergeCell ref="A61:A63"/>
    <mergeCell ref="A64:A66"/>
    <mergeCell ref="A37:A3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5:B5"/>
    <mergeCell ref="A6:B6"/>
    <mergeCell ref="F5:L5"/>
    <mergeCell ref="C6:D6"/>
    <mergeCell ref="F6:H6"/>
    <mergeCell ref="I6:K6"/>
    <mergeCell ref="C5:D5"/>
    <mergeCell ref="A1:N1"/>
    <mergeCell ref="A2:N2"/>
    <mergeCell ref="A3:A4"/>
    <mergeCell ref="B3:B4"/>
    <mergeCell ref="C3:C4"/>
    <mergeCell ref="I3:L3"/>
    <mergeCell ref="I4:L4"/>
    <mergeCell ref="M3:N3"/>
    <mergeCell ref="M4:N4"/>
    <mergeCell ref="E3:H3"/>
    <mergeCell ref="E4:H4"/>
    <mergeCell ref="O3:P3"/>
    <mergeCell ref="Q3:R3"/>
    <mergeCell ref="O4:P4"/>
    <mergeCell ref="Q4:R4"/>
    <mergeCell ref="O5:P5"/>
    <mergeCell ref="Q5:R5"/>
    <mergeCell ref="T7:T9"/>
    <mergeCell ref="U7:U9"/>
    <mergeCell ref="O6:Q6"/>
    <mergeCell ref="R6:S6"/>
    <mergeCell ref="O7:S7"/>
    <mergeCell ref="R8:R9"/>
    <mergeCell ref="S8:S9"/>
  </mergeCell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FF"/>
  </sheetPr>
  <dimension ref="A1:L94"/>
  <sheetViews>
    <sheetView zoomScaleNormal="100" workbookViewId="0">
      <selection activeCell="I10" sqref="I10"/>
    </sheetView>
  </sheetViews>
  <sheetFormatPr defaultColWidth="9" defaultRowHeight="24"/>
  <cols>
    <col min="1" max="1" width="7.109375" style="49" customWidth="1"/>
    <col min="2" max="3" width="6.44140625" style="49" customWidth="1"/>
    <col min="4" max="4" width="7.77734375" style="49" customWidth="1"/>
    <col min="5" max="5" width="10.21875" style="49" customWidth="1"/>
    <col min="6" max="6" width="9.44140625" style="49" customWidth="1"/>
    <col min="7" max="7" width="8" style="49" customWidth="1"/>
    <col min="8" max="8" width="7.6640625" style="49" customWidth="1"/>
    <col min="9" max="9" width="6.88671875" style="49" customWidth="1"/>
    <col min="10" max="10" width="7" style="49" customWidth="1"/>
    <col min="11" max="11" width="9.44140625" style="49" customWidth="1"/>
    <col min="12" max="12" width="8.109375" style="49" customWidth="1"/>
    <col min="13" max="16384" width="9" style="49"/>
  </cols>
  <sheetData>
    <row r="1" spans="1:12">
      <c r="A1" s="138" t="s">
        <v>74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</row>
    <row r="2" spans="1:12" s="50" customFormat="1" ht="45" customHeight="1">
      <c r="A2" s="136" t="s">
        <v>43</v>
      </c>
      <c r="B2" s="141" t="s">
        <v>66</v>
      </c>
      <c r="C2" s="136" t="s">
        <v>62</v>
      </c>
      <c r="D2" s="136" t="s">
        <v>58</v>
      </c>
      <c r="E2" s="140" t="s">
        <v>56</v>
      </c>
      <c r="F2" s="140"/>
      <c r="G2" s="140" t="s">
        <v>59</v>
      </c>
      <c r="H2" s="140"/>
      <c r="I2" s="136" t="s">
        <v>15</v>
      </c>
      <c r="J2" s="136" t="s">
        <v>17</v>
      </c>
      <c r="K2" s="139" t="s">
        <v>64</v>
      </c>
      <c r="L2" s="137" t="s">
        <v>63</v>
      </c>
    </row>
    <row r="3" spans="1:12" s="50" customFormat="1" ht="72">
      <c r="A3" s="136"/>
      <c r="B3" s="142"/>
      <c r="C3" s="136"/>
      <c r="D3" s="136"/>
      <c r="E3" s="43" t="s">
        <v>29</v>
      </c>
      <c r="F3" s="44" t="s">
        <v>57</v>
      </c>
      <c r="G3" s="43" t="s">
        <v>60</v>
      </c>
      <c r="H3" s="43" t="s">
        <v>61</v>
      </c>
      <c r="I3" s="136"/>
      <c r="J3" s="136"/>
      <c r="K3" s="139"/>
      <c r="L3" s="137"/>
    </row>
    <row r="4" spans="1:12">
      <c r="A4" s="45" t="s">
        <v>45</v>
      </c>
      <c r="B4" s="45">
        <v>31</v>
      </c>
      <c r="C4" s="45"/>
      <c r="D4" s="45">
        <f>ต.ค!C5</f>
        <v>0</v>
      </c>
      <c r="E4" s="43">
        <f>ต.ค!C106</f>
        <v>0</v>
      </c>
      <c r="F4" s="44">
        <f>ต.ค!D106</f>
        <v>0</v>
      </c>
      <c r="G4" s="52" t="e">
        <f>ต.ค!N6</f>
        <v>#DIV/0!</v>
      </c>
      <c r="H4" s="52" t="e">
        <f>ต.ค!R6</f>
        <v>#DIV/0!</v>
      </c>
      <c r="I4" s="51">
        <f>ต.ค!Q3</f>
        <v>0</v>
      </c>
      <c r="J4" s="51">
        <f>ต.ค!Q4</f>
        <v>0</v>
      </c>
      <c r="K4" s="53">
        <f>(E4+F4)/B4</f>
        <v>0</v>
      </c>
      <c r="L4" s="54" t="e">
        <f>((E4+F4)/(C4*B4))*100</f>
        <v>#DIV/0!</v>
      </c>
    </row>
    <row r="5" spans="1:12" ht="48">
      <c r="A5" s="45" t="s">
        <v>44</v>
      </c>
      <c r="B5" s="45">
        <v>30</v>
      </c>
      <c r="C5" s="45"/>
      <c r="D5" s="45">
        <f>พย!C5</f>
        <v>15</v>
      </c>
      <c r="E5" s="43">
        <f>พย!C106</f>
        <v>218.33333333333334</v>
      </c>
      <c r="F5" s="44">
        <f>พย!D106</f>
        <v>143</v>
      </c>
      <c r="G5" s="52" t="e">
        <f>พย!N6</f>
        <v>#REF!</v>
      </c>
      <c r="H5" s="52" t="e">
        <f>พย!R6</f>
        <v>#REF!</v>
      </c>
      <c r="I5" s="51" t="e">
        <f>พย!Q3</f>
        <v>#REF!</v>
      </c>
      <c r="J5" s="51">
        <f>พย!Q4</f>
        <v>15180</v>
      </c>
      <c r="K5" s="53">
        <f>(E5+F5)/B5</f>
        <v>12.044444444444446</v>
      </c>
      <c r="L5" s="54" t="e">
        <f>((E5+F5)/(C5*B5))*100</f>
        <v>#DIV/0!</v>
      </c>
    </row>
    <row r="6" spans="1:12">
      <c r="A6" s="45" t="s">
        <v>46</v>
      </c>
      <c r="B6" s="45">
        <v>31</v>
      </c>
      <c r="C6" s="45"/>
      <c r="D6" s="45">
        <f>ธค!C5</f>
        <v>15</v>
      </c>
      <c r="E6" s="43">
        <f>ธค!C106</f>
        <v>187</v>
      </c>
      <c r="F6" s="44">
        <f>ธค!D106</f>
        <v>176</v>
      </c>
      <c r="G6" s="52">
        <f>ธค!N6</f>
        <v>131.85267857142858</v>
      </c>
      <c r="H6" s="52">
        <f>ธค!R6</f>
        <v>42.244543650793652</v>
      </c>
      <c r="I6" s="51">
        <f>ธค!Q3</f>
        <v>41040</v>
      </c>
      <c r="J6" s="51">
        <f>ธค!Q4</f>
        <v>18480</v>
      </c>
      <c r="K6" s="53">
        <f t="shared" ref="K6:K15" si="0">(E6+F6)/B6</f>
        <v>11.709677419354838</v>
      </c>
      <c r="L6" s="54" t="e">
        <f>((E6+F6)/(C6*B6))*100</f>
        <v>#DIV/0!</v>
      </c>
    </row>
    <row r="7" spans="1:12" ht="48">
      <c r="A7" s="45" t="s">
        <v>47</v>
      </c>
      <c r="B7" s="45">
        <v>31</v>
      </c>
      <c r="C7" s="45"/>
      <c r="D7" s="45">
        <f>กพ!C5</f>
        <v>0</v>
      </c>
      <c r="E7" s="43">
        <f>มค!C106</f>
        <v>11.666666666666666</v>
      </c>
      <c r="F7" s="44">
        <f>มค!D106</f>
        <v>7.333333333333333</v>
      </c>
      <c r="G7" s="52">
        <f>มค!N6</f>
        <v>118.0672268907563</v>
      </c>
      <c r="H7" s="52">
        <f>มค!R6</f>
        <v>33.986928104575163</v>
      </c>
      <c r="I7" s="51">
        <f>มค!Q3</f>
        <v>1920</v>
      </c>
      <c r="J7" s="51">
        <f>มค!Q4</f>
        <v>660</v>
      </c>
      <c r="K7" s="53">
        <f t="shared" si="0"/>
        <v>0.61290322580645162</v>
      </c>
      <c r="L7" s="54" t="e">
        <f t="shared" ref="L7:L15" si="1">((E7+F7)/(C7*B7))*100</f>
        <v>#DIV/0!</v>
      </c>
    </row>
    <row r="8" spans="1:12">
      <c r="A8" s="45" t="s">
        <v>48</v>
      </c>
      <c r="B8" s="45">
        <v>28</v>
      </c>
      <c r="C8" s="45"/>
      <c r="D8" s="45">
        <f>กพ!C5</f>
        <v>0</v>
      </c>
      <c r="E8" s="43">
        <f>กพ!C106</f>
        <v>0</v>
      </c>
      <c r="F8" s="44">
        <f>กพ!D106</f>
        <v>0</v>
      </c>
      <c r="G8" s="52" t="e">
        <f>กพ!N6</f>
        <v>#DIV/0!</v>
      </c>
      <c r="H8" s="52" t="e">
        <f>กพ!R6</f>
        <v>#DIV/0!</v>
      </c>
      <c r="I8" s="51">
        <f>กพ!Q3</f>
        <v>0</v>
      </c>
      <c r="J8" s="51">
        <f>กพ!Q4</f>
        <v>0</v>
      </c>
      <c r="K8" s="53">
        <f t="shared" si="0"/>
        <v>0</v>
      </c>
      <c r="L8" s="54" t="e">
        <f t="shared" si="1"/>
        <v>#DIV/0!</v>
      </c>
    </row>
    <row r="9" spans="1:12">
      <c r="A9" s="45" t="s">
        <v>49</v>
      </c>
      <c r="B9" s="45">
        <v>31</v>
      </c>
      <c r="C9" s="45"/>
      <c r="D9" s="45">
        <f>มีค!C5</f>
        <v>0</v>
      </c>
      <c r="E9" s="43">
        <f>มีค!C106</f>
        <v>0</v>
      </c>
      <c r="F9" s="44">
        <f>มีค!D106</f>
        <v>0</v>
      </c>
      <c r="G9" s="52" t="e">
        <f>มีค!N6</f>
        <v>#DIV/0!</v>
      </c>
      <c r="H9" s="52" t="e">
        <f>มีค!R6</f>
        <v>#DIV/0!</v>
      </c>
      <c r="I9" s="51">
        <f>มีค!Q3</f>
        <v>0</v>
      </c>
      <c r="J9" s="51">
        <f>มีค!Q4</f>
        <v>0</v>
      </c>
      <c r="K9" s="53">
        <f t="shared" si="0"/>
        <v>0</v>
      </c>
      <c r="L9" s="54" t="e">
        <f t="shared" si="1"/>
        <v>#DIV/0!</v>
      </c>
    </row>
    <row r="10" spans="1:12">
      <c r="A10" s="45" t="s">
        <v>50</v>
      </c>
      <c r="B10" s="45">
        <v>30</v>
      </c>
      <c r="C10" s="45"/>
      <c r="D10" s="45">
        <f>เมย!C5</f>
        <v>0</v>
      </c>
      <c r="E10" s="43">
        <f>เมย!C106</f>
        <v>0</v>
      </c>
      <c r="F10" s="44">
        <f>เมย!D106</f>
        <v>0</v>
      </c>
      <c r="G10" s="52" t="e">
        <f>เมย!N6</f>
        <v>#DIV/0!</v>
      </c>
      <c r="H10" s="52" t="e">
        <f>เมย!R6</f>
        <v>#DIV/0!</v>
      </c>
      <c r="I10" s="51">
        <f>เมย!Q3</f>
        <v>0</v>
      </c>
      <c r="J10" s="51">
        <f>เมย!Q4</f>
        <v>0</v>
      </c>
      <c r="K10" s="53">
        <f t="shared" si="0"/>
        <v>0</v>
      </c>
      <c r="L10" s="54" t="e">
        <f t="shared" si="1"/>
        <v>#DIV/0!</v>
      </c>
    </row>
    <row r="11" spans="1:12">
      <c r="A11" s="45" t="s">
        <v>51</v>
      </c>
      <c r="B11" s="45">
        <v>31</v>
      </c>
      <c r="C11" s="45"/>
      <c r="D11" s="45">
        <f>พค!C5</f>
        <v>0</v>
      </c>
      <c r="E11" s="43">
        <f>พค!C106</f>
        <v>0</v>
      </c>
      <c r="F11" s="44">
        <f>พค!D106</f>
        <v>0</v>
      </c>
      <c r="G11" s="52" t="e">
        <f>พค!N6</f>
        <v>#DIV/0!</v>
      </c>
      <c r="H11" s="52" t="e">
        <f>พค!R6</f>
        <v>#DIV/0!</v>
      </c>
      <c r="I11" s="51">
        <f>พค!Q3</f>
        <v>0</v>
      </c>
      <c r="J11" s="51">
        <f>พค!Q4</f>
        <v>0</v>
      </c>
      <c r="K11" s="53">
        <f t="shared" si="0"/>
        <v>0</v>
      </c>
      <c r="L11" s="54" t="e">
        <f t="shared" si="1"/>
        <v>#DIV/0!</v>
      </c>
    </row>
    <row r="12" spans="1:12">
      <c r="A12" s="45" t="s">
        <v>52</v>
      </c>
      <c r="B12" s="45">
        <v>30</v>
      </c>
      <c r="C12" s="45"/>
      <c r="D12" s="45">
        <f>มิย!C5</f>
        <v>0</v>
      </c>
      <c r="E12" s="43">
        <f>มิย!C106</f>
        <v>0</v>
      </c>
      <c r="F12" s="44">
        <f>มิย!D106</f>
        <v>0</v>
      </c>
      <c r="G12" s="52" t="e">
        <f>มิย!N6</f>
        <v>#DIV/0!</v>
      </c>
      <c r="H12" s="52" t="e">
        <f>มิย!R6</f>
        <v>#DIV/0!</v>
      </c>
      <c r="I12" s="51">
        <f>มิย!Q3</f>
        <v>0</v>
      </c>
      <c r="J12" s="51">
        <f>มิย!Q4</f>
        <v>0</v>
      </c>
      <c r="K12" s="53">
        <f t="shared" si="0"/>
        <v>0</v>
      </c>
      <c r="L12" s="54" t="e">
        <f t="shared" si="1"/>
        <v>#DIV/0!</v>
      </c>
    </row>
    <row r="13" spans="1:12">
      <c r="A13" s="45" t="s">
        <v>53</v>
      </c>
      <c r="B13" s="45">
        <v>31</v>
      </c>
      <c r="C13" s="45"/>
      <c r="D13" s="45">
        <f>กค!C5</f>
        <v>0</v>
      </c>
      <c r="E13" s="43">
        <f>กค!C106</f>
        <v>0</v>
      </c>
      <c r="F13" s="44">
        <f>กพ!D106</f>
        <v>0</v>
      </c>
      <c r="G13" s="52" t="e">
        <f>กค!N6</f>
        <v>#DIV/0!</v>
      </c>
      <c r="H13" s="52" t="e">
        <f>กค!R6</f>
        <v>#DIV/0!</v>
      </c>
      <c r="I13" s="51">
        <f>กค!Q3</f>
        <v>0</v>
      </c>
      <c r="J13" s="51">
        <f>กค!Q4</f>
        <v>0</v>
      </c>
      <c r="K13" s="53">
        <f t="shared" si="0"/>
        <v>0</v>
      </c>
      <c r="L13" s="54" t="e">
        <f t="shared" si="1"/>
        <v>#DIV/0!</v>
      </c>
    </row>
    <row r="14" spans="1:12">
      <c r="A14" s="45" t="s">
        <v>54</v>
      </c>
      <c r="B14" s="45">
        <v>31</v>
      </c>
      <c r="C14" s="45"/>
      <c r="D14" s="45">
        <f>สค!C5</f>
        <v>0</v>
      </c>
      <c r="E14" s="43">
        <f>สค!C106</f>
        <v>0</v>
      </c>
      <c r="F14" s="44">
        <f>สค!D106</f>
        <v>0</v>
      </c>
      <c r="G14" s="52" t="e">
        <f>สค!N6</f>
        <v>#DIV/0!</v>
      </c>
      <c r="H14" s="52" t="e">
        <f>สค!R6</f>
        <v>#DIV/0!</v>
      </c>
      <c r="I14" s="51">
        <f>สค!Q3</f>
        <v>0</v>
      </c>
      <c r="J14" s="51">
        <f>สค!Q4</f>
        <v>0</v>
      </c>
      <c r="K14" s="53">
        <f t="shared" si="0"/>
        <v>0</v>
      </c>
      <c r="L14" s="54" t="e">
        <f t="shared" si="1"/>
        <v>#DIV/0!</v>
      </c>
    </row>
    <row r="15" spans="1:12">
      <c r="A15" s="45" t="s">
        <v>55</v>
      </c>
      <c r="B15" s="45">
        <v>30</v>
      </c>
      <c r="C15" s="45"/>
      <c r="D15" s="45">
        <f>กย!C5</f>
        <v>0</v>
      </c>
      <c r="E15" s="43">
        <f>กย!C106</f>
        <v>0</v>
      </c>
      <c r="F15" s="44">
        <f>กย!D106</f>
        <v>0</v>
      </c>
      <c r="G15" s="52" t="e">
        <f>กย!N6</f>
        <v>#DIV/0!</v>
      </c>
      <c r="H15" s="52" t="e">
        <f>กย!R6</f>
        <v>#DIV/0!</v>
      </c>
      <c r="I15" s="51">
        <f>กย!Q3</f>
        <v>0</v>
      </c>
      <c r="J15" s="51">
        <f>กย!Q4</f>
        <v>0</v>
      </c>
      <c r="K15" s="53">
        <f t="shared" si="0"/>
        <v>0</v>
      </c>
      <c r="L15" s="54" t="e">
        <f t="shared" si="1"/>
        <v>#DIV/0!</v>
      </c>
    </row>
    <row r="16" spans="1:12">
      <c r="A16" s="46"/>
      <c r="B16" s="46"/>
      <c r="C16" s="46"/>
      <c r="D16" s="46"/>
      <c r="E16" s="47"/>
      <c r="F16" s="48"/>
      <c r="G16" s="47"/>
      <c r="H16" s="47"/>
    </row>
    <row r="17" spans="1:8">
      <c r="A17" s="46"/>
      <c r="B17" s="46"/>
      <c r="C17" s="46"/>
      <c r="D17" s="46"/>
      <c r="E17" s="47"/>
      <c r="F17" s="48"/>
      <c r="G17" s="47"/>
      <c r="H17" s="47"/>
    </row>
    <row r="18" spans="1:8">
      <c r="A18" s="46"/>
      <c r="B18" s="46"/>
      <c r="C18" s="46"/>
      <c r="D18" s="46"/>
      <c r="E18" s="47"/>
      <c r="F18" s="48"/>
      <c r="G18" s="47"/>
      <c r="H18" s="47"/>
    </row>
    <row r="19" spans="1:8">
      <c r="A19" s="46"/>
      <c r="B19" s="46"/>
      <c r="C19" s="46"/>
      <c r="D19" s="46"/>
      <c r="E19" s="47"/>
      <c r="F19" s="48"/>
      <c r="G19" s="47"/>
      <c r="H19" s="47"/>
    </row>
    <row r="20" spans="1:8">
      <c r="A20" s="46"/>
      <c r="B20" s="46"/>
      <c r="C20" s="46"/>
      <c r="D20" s="46"/>
      <c r="E20" s="47"/>
      <c r="F20" s="48"/>
      <c r="G20" s="47"/>
      <c r="H20" s="47"/>
    </row>
    <row r="21" spans="1:8">
      <c r="A21" s="46"/>
      <c r="B21" s="46"/>
      <c r="C21" s="46"/>
      <c r="D21" s="46"/>
      <c r="E21" s="47"/>
      <c r="F21" s="48"/>
      <c r="G21" s="47"/>
      <c r="H21" s="47"/>
    </row>
    <row r="22" spans="1:8">
      <c r="A22" s="46"/>
      <c r="B22" s="46"/>
      <c r="C22" s="46"/>
      <c r="D22" s="46"/>
      <c r="E22" s="47"/>
      <c r="F22" s="48"/>
      <c r="G22" s="47"/>
      <c r="H22" s="47"/>
    </row>
    <row r="23" spans="1:8">
      <c r="A23" s="46"/>
      <c r="B23" s="46"/>
      <c r="C23" s="46"/>
      <c r="D23" s="46"/>
      <c r="E23" s="47"/>
      <c r="F23" s="48"/>
      <c r="G23" s="47"/>
      <c r="H23" s="47"/>
    </row>
    <row r="24" spans="1:8">
      <c r="A24" s="46"/>
      <c r="B24" s="46"/>
      <c r="C24" s="46"/>
      <c r="D24" s="46"/>
      <c r="E24" s="47"/>
      <c r="F24" s="48"/>
      <c r="G24" s="47"/>
      <c r="H24" s="47"/>
    </row>
    <row r="25" spans="1:8">
      <c r="A25" s="46"/>
      <c r="B25" s="46"/>
      <c r="C25" s="46"/>
      <c r="D25" s="46"/>
      <c r="E25" s="47"/>
      <c r="F25" s="48"/>
      <c r="G25" s="47"/>
      <c r="H25" s="47"/>
    </row>
    <row r="26" spans="1:8">
      <c r="A26" s="46"/>
      <c r="B26" s="46"/>
      <c r="C26" s="46"/>
      <c r="D26" s="46"/>
      <c r="E26" s="47"/>
      <c r="F26" s="48"/>
      <c r="G26" s="47"/>
      <c r="H26" s="47"/>
    </row>
    <row r="27" spans="1:8">
      <c r="A27" s="46"/>
      <c r="B27" s="46"/>
      <c r="C27" s="46"/>
      <c r="D27" s="46"/>
      <c r="E27" s="47"/>
      <c r="F27" s="48"/>
      <c r="G27" s="47"/>
      <c r="H27" s="47"/>
    </row>
    <row r="28" spans="1:8">
      <c r="A28" s="46"/>
      <c r="B28" s="46"/>
      <c r="C28" s="46"/>
      <c r="D28" s="46"/>
      <c r="E28" s="47"/>
      <c r="F28" s="48"/>
      <c r="G28" s="47"/>
      <c r="H28" s="47"/>
    </row>
    <row r="29" spans="1:8">
      <c r="A29" s="46"/>
      <c r="B29" s="46"/>
      <c r="C29" s="46"/>
      <c r="D29" s="46"/>
      <c r="E29" s="47"/>
      <c r="F29" s="48"/>
      <c r="G29" s="47"/>
      <c r="H29" s="47"/>
    </row>
    <row r="30" spans="1:8">
      <c r="A30" s="46"/>
      <c r="B30" s="46"/>
      <c r="C30" s="46"/>
      <c r="D30" s="46"/>
      <c r="E30" s="47"/>
      <c r="F30" s="48"/>
      <c r="G30" s="47"/>
      <c r="H30" s="47"/>
    </row>
    <row r="31" spans="1:8">
      <c r="A31" s="46"/>
      <c r="B31" s="46"/>
      <c r="C31" s="46"/>
      <c r="D31" s="46"/>
      <c r="E31" s="47"/>
      <c r="F31" s="48"/>
      <c r="G31" s="47"/>
      <c r="H31" s="47"/>
    </row>
    <row r="32" spans="1:8">
      <c r="A32" s="46"/>
      <c r="B32" s="46"/>
      <c r="C32" s="46"/>
      <c r="D32" s="46"/>
      <c r="E32" s="47"/>
      <c r="F32" s="48"/>
      <c r="G32" s="47"/>
      <c r="H32" s="47"/>
    </row>
    <row r="33" spans="1:8">
      <c r="A33" s="46"/>
      <c r="B33" s="46"/>
      <c r="C33" s="46"/>
      <c r="D33" s="46"/>
      <c r="E33" s="47"/>
      <c r="F33" s="48"/>
      <c r="G33" s="47"/>
      <c r="H33" s="47"/>
    </row>
    <row r="34" spans="1:8">
      <c r="A34" s="46"/>
      <c r="B34" s="46"/>
      <c r="C34" s="46"/>
      <c r="D34" s="46"/>
      <c r="E34" s="47"/>
      <c r="F34" s="48"/>
      <c r="G34" s="47"/>
      <c r="H34" s="47"/>
    </row>
    <row r="35" spans="1:8">
      <c r="A35" s="46"/>
      <c r="B35" s="46"/>
      <c r="C35" s="46"/>
      <c r="D35" s="46"/>
      <c r="E35" s="47"/>
      <c r="F35" s="48"/>
      <c r="G35" s="47"/>
      <c r="H35" s="47"/>
    </row>
    <row r="36" spans="1:8">
      <c r="A36" s="46"/>
      <c r="B36" s="46"/>
      <c r="C36" s="46"/>
      <c r="D36" s="46"/>
      <c r="E36" s="47"/>
      <c r="F36" s="48"/>
      <c r="G36" s="47"/>
      <c r="H36" s="47"/>
    </row>
    <row r="37" spans="1:8">
      <c r="A37" s="46"/>
      <c r="B37" s="46"/>
      <c r="C37" s="46"/>
      <c r="D37" s="46"/>
      <c r="E37" s="47"/>
      <c r="F37" s="48"/>
      <c r="G37" s="47"/>
      <c r="H37" s="47"/>
    </row>
    <row r="38" spans="1:8">
      <c r="A38" s="46"/>
      <c r="B38" s="46"/>
      <c r="C38" s="46"/>
      <c r="D38" s="46"/>
      <c r="E38" s="47"/>
      <c r="F38" s="48"/>
      <c r="G38" s="47"/>
      <c r="H38" s="47"/>
    </row>
    <row r="39" spans="1:8">
      <c r="A39" s="46"/>
      <c r="B39" s="46"/>
      <c r="C39" s="46"/>
      <c r="D39" s="46"/>
      <c r="E39" s="47"/>
      <c r="F39" s="48"/>
      <c r="G39" s="47"/>
      <c r="H39" s="47"/>
    </row>
    <row r="40" spans="1:8">
      <c r="A40" s="46"/>
      <c r="B40" s="46"/>
      <c r="C40" s="46"/>
      <c r="D40" s="46"/>
      <c r="E40" s="47"/>
      <c r="F40" s="48"/>
      <c r="G40" s="47"/>
      <c r="H40" s="47"/>
    </row>
    <row r="41" spans="1:8">
      <c r="A41" s="46"/>
      <c r="B41" s="46"/>
      <c r="C41" s="46"/>
      <c r="D41" s="46"/>
      <c r="E41" s="47"/>
      <c r="F41" s="48"/>
      <c r="G41" s="47"/>
      <c r="H41" s="47"/>
    </row>
    <row r="42" spans="1:8">
      <c r="A42" s="46"/>
      <c r="B42" s="46"/>
      <c r="C42" s="46"/>
      <c r="D42" s="46"/>
      <c r="E42" s="47"/>
      <c r="F42" s="48"/>
      <c r="G42" s="47"/>
      <c r="H42" s="47"/>
    </row>
    <row r="43" spans="1:8">
      <c r="A43" s="46"/>
      <c r="B43" s="46"/>
      <c r="C43" s="46"/>
      <c r="D43" s="46"/>
      <c r="E43" s="47"/>
      <c r="F43" s="48"/>
      <c r="G43" s="47"/>
      <c r="H43" s="47"/>
    </row>
    <row r="44" spans="1:8">
      <c r="A44" s="46"/>
      <c r="B44" s="46"/>
      <c r="C44" s="46"/>
      <c r="D44" s="46"/>
      <c r="E44" s="47"/>
      <c r="F44" s="48"/>
      <c r="G44" s="47"/>
      <c r="H44" s="47"/>
    </row>
    <row r="45" spans="1:8">
      <c r="A45" s="46"/>
      <c r="B45" s="46"/>
      <c r="C45" s="46"/>
      <c r="D45" s="46"/>
      <c r="E45" s="47"/>
      <c r="F45" s="48"/>
      <c r="G45" s="47"/>
      <c r="H45" s="47"/>
    </row>
    <row r="46" spans="1:8">
      <c r="A46" s="46"/>
      <c r="B46" s="46"/>
      <c r="C46" s="46"/>
      <c r="D46" s="46"/>
      <c r="E46" s="47"/>
      <c r="F46" s="48"/>
      <c r="G46" s="47"/>
      <c r="H46" s="47"/>
    </row>
    <row r="47" spans="1:8">
      <c r="A47" s="46"/>
      <c r="B47" s="46"/>
      <c r="C47" s="46"/>
      <c r="D47" s="46"/>
      <c r="E47" s="47"/>
      <c r="F47" s="48"/>
      <c r="G47" s="47"/>
      <c r="H47" s="47"/>
    </row>
    <row r="48" spans="1:8">
      <c r="A48" s="46"/>
      <c r="B48" s="46"/>
      <c r="C48" s="46"/>
      <c r="D48" s="46"/>
      <c r="E48" s="47"/>
      <c r="F48" s="48"/>
      <c r="G48" s="47"/>
      <c r="H48" s="47"/>
    </row>
    <row r="49" spans="1:8">
      <c r="A49" s="46"/>
      <c r="B49" s="46"/>
      <c r="C49" s="46"/>
      <c r="D49" s="46"/>
      <c r="E49" s="47"/>
      <c r="F49" s="48"/>
      <c r="G49" s="47"/>
      <c r="H49" s="47"/>
    </row>
    <row r="50" spans="1:8">
      <c r="A50" s="46"/>
      <c r="B50" s="46"/>
      <c r="C50" s="46"/>
      <c r="D50" s="46"/>
      <c r="E50" s="47"/>
      <c r="F50" s="48"/>
      <c r="G50" s="47"/>
      <c r="H50" s="47"/>
    </row>
    <row r="51" spans="1:8">
      <c r="A51" s="46"/>
      <c r="B51" s="46"/>
      <c r="C51" s="46"/>
      <c r="D51" s="46"/>
      <c r="E51" s="47"/>
      <c r="F51" s="48"/>
      <c r="G51" s="47"/>
      <c r="H51" s="47"/>
    </row>
    <row r="52" spans="1:8">
      <c r="A52" s="46"/>
      <c r="B52" s="46"/>
      <c r="C52" s="46"/>
      <c r="D52" s="46"/>
      <c r="E52" s="47"/>
      <c r="F52" s="48"/>
      <c r="G52" s="47"/>
      <c r="H52" s="47"/>
    </row>
    <row r="53" spans="1:8">
      <c r="A53" s="46"/>
      <c r="B53" s="46"/>
      <c r="C53" s="46"/>
      <c r="D53" s="46"/>
      <c r="E53" s="47"/>
      <c r="F53" s="48"/>
      <c r="G53" s="47"/>
      <c r="H53" s="47"/>
    </row>
    <row r="54" spans="1:8">
      <c r="A54" s="46"/>
      <c r="B54" s="46"/>
      <c r="C54" s="46"/>
      <c r="D54" s="46"/>
      <c r="E54" s="47"/>
      <c r="F54" s="48"/>
      <c r="G54" s="47"/>
      <c r="H54" s="47"/>
    </row>
    <row r="55" spans="1:8">
      <c r="A55" s="46"/>
      <c r="B55" s="46"/>
      <c r="C55" s="46"/>
      <c r="D55" s="46"/>
      <c r="E55" s="47"/>
      <c r="F55" s="48"/>
      <c r="G55" s="47"/>
      <c r="H55" s="47"/>
    </row>
    <row r="56" spans="1:8">
      <c r="A56" s="46"/>
      <c r="B56" s="46"/>
      <c r="C56" s="46"/>
      <c r="D56" s="46"/>
      <c r="E56" s="47"/>
      <c r="F56" s="48"/>
      <c r="G56" s="47"/>
      <c r="H56" s="47"/>
    </row>
    <row r="57" spans="1:8">
      <c r="A57" s="46"/>
      <c r="B57" s="46"/>
      <c r="C57" s="46"/>
      <c r="D57" s="46"/>
      <c r="E57" s="47"/>
      <c r="F57" s="48"/>
      <c r="G57" s="47"/>
      <c r="H57" s="47"/>
    </row>
    <row r="58" spans="1:8">
      <c r="A58" s="46"/>
      <c r="B58" s="46"/>
      <c r="C58" s="46"/>
      <c r="D58" s="46"/>
      <c r="E58" s="47"/>
      <c r="F58" s="48"/>
      <c r="G58" s="47"/>
      <c r="H58" s="47"/>
    </row>
    <row r="59" spans="1:8">
      <c r="A59" s="46"/>
      <c r="B59" s="46"/>
      <c r="C59" s="46"/>
      <c r="D59" s="46"/>
      <c r="E59" s="47"/>
      <c r="F59" s="48"/>
      <c r="G59" s="47"/>
      <c r="H59" s="47"/>
    </row>
    <row r="60" spans="1:8">
      <c r="A60" s="46"/>
      <c r="B60" s="46"/>
      <c r="C60" s="46"/>
      <c r="D60" s="46"/>
      <c r="E60" s="47"/>
      <c r="F60" s="48"/>
      <c r="G60" s="47"/>
      <c r="H60" s="47"/>
    </row>
    <row r="61" spans="1:8">
      <c r="A61" s="46"/>
      <c r="B61" s="46"/>
      <c r="C61" s="46"/>
      <c r="D61" s="46"/>
      <c r="E61" s="47"/>
      <c r="F61" s="48"/>
      <c r="G61" s="47"/>
      <c r="H61" s="47"/>
    </row>
    <row r="62" spans="1:8">
      <c r="A62" s="46"/>
      <c r="B62" s="46"/>
      <c r="C62" s="46"/>
      <c r="D62" s="46"/>
      <c r="E62" s="47"/>
      <c r="F62" s="48"/>
      <c r="G62" s="47"/>
      <c r="H62" s="47"/>
    </row>
    <row r="63" spans="1:8">
      <c r="A63" s="46"/>
      <c r="B63" s="46"/>
      <c r="C63" s="46"/>
      <c r="D63" s="46"/>
      <c r="E63" s="47"/>
      <c r="F63" s="48"/>
      <c r="G63" s="47"/>
      <c r="H63" s="47"/>
    </row>
    <row r="64" spans="1:8">
      <c r="A64" s="46"/>
      <c r="B64" s="46"/>
      <c r="C64" s="46"/>
      <c r="D64" s="46"/>
      <c r="E64" s="47"/>
      <c r="F64" s="48"/>
      <c r="G64" s="47"/>
      <c r="H64" s="47"/>
    </row>
    <row r="65" spans="1:8">
      <c r="A65" s="46"/>
      <c r="B65" s="46"/>
      <c r="C65" s="46"/>
      <c r="D65" s="46"/>
      <c r="E65" s="47"/>
      <c r="F65" s="48"/>
      <c r="G65" s="47"/>
      <c r="H65" s="47"/>
    </row>
    <row r="66" spans="1:8">
      <c r="A66" s="46"/>
      <c r="B66" s="46"/>
      <c r="C66" s="46"/>
      <c r="D66" s="46"/>
      <c r="E66" s="47"/>
      <c r="F66" s="48"/>
      <c r="G66" s="47"/>
      <c r="H66" s="47"/>
    </row>
    <row r="67" spans="1:8">
      <c r="A67" s="46"/>
      <c r="B67" s="46"/>
      <c r="C67" s="46"/>
      <c r="D67" s="46"/>
      <c r="E67" s="47"/>
      <c r="F67" s="48"/>
      <c r="G67" s="47"/>
      <c r="H67" s="47"/>
    </row>
    <row r="68" spans="1:8">
      <c r="A68" s="46"/>
      <c r="B68" s="46"/>
      <c r="C68" s="46"/>
      <c r="D68" s="46"/>
      <c r="E68" s="47"/>
      <c r="F68" s="48"/>
      <c r="G68" s="47"/>
      <c r="H68" s="47"/>
    </row>
    <row r="69" spans="1:8">
      <c r="A69" s="46"/>
      <c r="B69" s="46"/>
      <c r="C69" s="46"/>
      <c r="D69" s="46"/>
      <c r="E69" s="47"/>
      <c r="F69" s="48"/>
      <c r="G69" s="47"/>
      <c r="H69" s="47"/>
    </row>
    <row r="70" spans="1:8">
      <c r="A70" s="46"/>
      <c r="B70" s="46"/>
      <c r="C70" s="46"/>
      <c r="D70" s="46"/>
      <c r="E70" s="47"/>
      <c r="F70" s="48"/>
      <c r="G70" s="47"/>
      <c r="H70" s="47"/>
    </row>
    <row r="71" spans="1:8">
      <c r="A71" s="46"/>
      <c r="B71" s="46"/>
      <c r="C71" s="46"/>
      <c r="D71" s="46"/>
      <c r="E71" s="47"/>
      <c r="F71" s="48"/>
      <c r="G71" s="47"/>
      <c r="H71" s="47"/>
    </row>
    <row r="72" spans="1:8">
      <c r="A72" s="46"/>
      <c r="B72" s="46"/>
      <c r="C72" s="46"/>
      <c r="D72" s="46"/>
      <c r="E72" s="47"/>
      <c r="F72" s="48"/>
      <c r="G72" s="47"/>
      <c r="H72" s="47"/>
    </row>
    <row r="73" spans="1:8">
      <c r="A73" s="46"/>
      <c r="B73" s="46"/>
      <c r="C73" s="46"/>
      <c r="D73" s="46"/>
      <c r="E73" s="47"/>
      <c r="F73" s="48"/>
      <c r="G73" s="47"/>
      <c r="H73" s="47"/>
    </row>
    <row r="74" spans="1:8">
      <c r="A74" s="46"/>
      <c r="B74" s="46"/>
      <c r="C74" s="46"/>
      <c r="D74" s="46"/>
      <c r="E74" s="47"/>
      <c r="F74" s="48"/>
      <c r="G74" s="47"/>
      <c r="H74" s="47"/>
    </row>
    <row r="75" spans="1:8">
      <c r="A75" s="46"/>
      <c r="B75" s="46"/>
      <c r="C75" s="46"/>
      <c r="D75" s="46"/>
      <c r="E75" s="47"/>
      <c r="F75" s="48"/>
      <c r="G75" s="47"/>
      <c r="H75" s="47"/>
    </row>
    <row r="76" spans="1:8">
      <c r="A76" s="46"/>
      <c r="B76" s="46"/>
      <c r="C76" s="46"/>
      <c r="D76" s="46"/>
      <c r="E76" s="47"/>
      <c r="F76" s="48"/>
      <c r="G76" s="47"/>
      <c r="H76" s="47"/>
    </row>
    <row r="77" spans="1:8">
      <c r="A77" s="46"/>
      <c r="B77" s="46"/>
      <c r="C77" s="46"/>
      <c r="D77" s="46"/>
      <c r="E77" s="47"/>
      <c r="F77" s="48"/>
      <c r="G77" s="47"/>
      <c r="H77" s="47"/>
    </row>
    <row r="78" spans="1:8">
      <c r="A78" s="46"/>
      <c r="B78" s="46"/>
      <c r="C78" s="46"/>
      <c r="D78" s="46"/>
      <c r="E78" s="47"/>
      <c r="F78" s="48"/>
      <c r="G78" s="47"/>
      <c r="H78" s="47"/>
    </row>
    <row r="79" spans="1:8">
      <c r="A79" s="46"/>
      <c r="B79" s="46"/>
      <c r="C79" s="46"/>
      <c r="D79" s="46"/>
      <c r="E79" s="47"/>
      <c r="F79" s="48"/>
      <c r="G79" s="47"/>
      <c r="H79" s="47"/>
    </row>
    <row r="80" spans="1:8">
      <c r="A80" s="46"/>
      <c r="B80" s="46"/>
      <c r="C80" s="46"/>
      <c r="D80" s="46"/>
      <c r="E80" s="47"/>
      <c r="F80" s="48"/>
      <c r="G80" s="47"/>
      <c r="H80" s="47"/>
    </row>
    <row r="81" spans="1:8">
      <c r="A81" s="46"/>
      <c r="B81" s="46"/>
      <c r="C81" s="46"/>
      <c r="D81" s="46"/>
      <c r="E81" s="47"/>
      <c r="F81" s="48"/>
      <c r="G81" s="47"/>
      <c r="H81" s="47"/>
    </row>
    <row r="82" spans="1:8">
      <c r="A82" s="46"/>
      <c r="B82" s="46"/>
      <c r="C82" s="46"/>
      <c r="D82" s="46"/>
      <c r="E82" s="47"/>
      <c r="F82" s="48"/>
      <c r="G82" s="47"/>
      <c r="H82" s="47"/>
    </row>
    <row r="83" spans="1:8">
      <c r="A83" s="46"/>
      <c r="B83" s="46"/>
      <c r="C83" s="46"/>
      <c r="D83" s="46"/>
      <c r="E83" s="47"/>
      <c r="F83" s="48"/>
      <c r="G83" s="47"/>
      <c r="H83" s="47"/>
    </row>
    <row r="84" spans="1:8">
      <c r="A84" s="46"/>
      <c r="B84" s="46"/>
      <c r="C84" s="46"/>
      <c r="D84" s="46"/>
      <c r="E84" s="47"/>
      <c r="F84" s="48"/>
      <c r="G84" s="47"/>
      <c r="H84" s="47"/>
    </row>
    <row r="85" spans="1:8">
      <c r="A85" s="46"/>
      <c r="B85" s="46"/>
      <c r="C85" s="46"/>
      <c r="D85" s="46"/>
      <c r="E85" s="47"/>
      <c r="F85" s="48"/>
      <c r="G85" s="47"/>
      <c r="H85" s="47"/>
    </row>
    <row r="86" spans="1:8">
      <c r="A86" s="46"/>
      <c r="B86" s="46"/>
      <c r="C86" s="46"/>
      <c r="D86" s="46"/>
      <c r="E86" s="47"/>
      <c r="F86" s="48"/>
      <c r="G86" s="47"/>
      <c r="H86" s="47"/>
    </row>
    <row r="87" spans="1:8">
      <c r="A87" s="46"/>
      <c r="B87" s="46"/>
      <c r="C87" s="46"/>
      <c r="D87" s="46"/>
      <c r="E87" s="47"/>
      <c r="F87" s="48"/>
      <c r="G87" s="47"/>
      <c r="H87" s="47"/>
    </row>
    <row r="88" spans="1:8">
      <c r="A88" s="46"/>
      <c r="B88" s="46"/>
      <c r="C88" s="46"/>
      <c r="D88" s="46"/>
      <c r="E88" s="47"/>
      <c r="F88" s="48"/>
      <c r="G88" s="47"/>
      <c r="H88" s="47"/>
    </row>
    <row r="89" spans="1:8">
      <c r="A89" s="46"/>
      <c r="B89" s="46"/>
      <c r="C89" s="46"/>
      <c r="D89" s="46"/>
      <c r="E89" s="47"/>
      <c r="F89" s="48"/>
      <c r="G89" s="47"/>
      <c r="H89" s="47"/>
    </row>
    <row r="90" spans="1:8">
      <c r="A90" s="46"/>
      <c r="B90" s="46"/>
      <c r="C90" s="46"/>
      <c r="D90" s="46"/>
      <c r="E90" s="47"/>
      <c r="F90" s="48"/>
      <c r="G90" s="47"/>
      <c r="H90" s="47"/>
    </row>
    <row r="91" spans="1:8">
      <c r="A91" s="46"/>
      <c r="B91" s="46"/>
      <c r="C91" s="46"/>
      <c r="D91" s="46"/>
      <c r="E91" s="47"/>
      <c r="F91" s="48"/>
      <c r="G91" s="47"/>
      <c r="H91" s="47"/>
    </row>
    <row r="92" spans="1:8">
      <c r="A92" s="46"/>
      <c r="B92" s="46"/>
      <c r="C92" s="46"/>
      <c r="D92" s="46"/>
      <c r="E92" s="47"/>
      <c r="F92" s="48"/>
      <c r="G92" s="47"/>
      <c r="H92" s="47"/>
    </row>
    <row r="93" spans="1:8">
      <c r="A93" s="46"/>
      <c r="B93" s="46"/>
      <c r="C93" s="46"/>
      <c r="D93" s="46"/>
      <c r="E93" s="47"/>
      <c r="F93" s="48"/>
      <c r="G93" s="47"/>
      <c r="H93" s="47"/>
    </row>
    <row r="94" spans="1:8">
      <c r="A94" s="46"/>
      <c r="B94" s="46"/>
      <c r="C94" s="46"/>
      <c r="D94" s="46"/>
      <c r="E94" s="47"/>
      <c r="F94" s="48"/>
      <c r="G94" s="47"/>
      <c r="H94" s="47"/>
    </row>
  </sheetData>
  <mergeCells count="11">
    <mergeCell ref="A2:A3"/>
    <mergeCell ref="L2:L3"/>
    <mergeCell ref="A1:L1"/>
    <mergeCell ref="K2:K3"/>
    <mergeCell ref="E2:F2"/>
    <mergeCell ref="D2:D3"/>
    <mergeCell ref="G2:H2"/>
    <mergeCell ref="C2:C3"/>
    <mergeCell ref="I2:I3"/>
    <mergeCell ref="J2:J3"/>
    <mergeCell ref="B2:B3"/>
  </mergeCells>
  <pageMargins left="0" right="0" top="0.74803149606299213" bottom="0.74803149606299213" header="0.31496062992125984" footer="0.31496062992125984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AF13"/>
  <sheetViews>
    <sheetView workbookViewId="0">
      <selection activeCell="L13" sqref="L13"/>
    </sheetView>
  </sheetViews>
  <sheetFormatPr defaultColWidth="3.6640625" defaultRowHeight="14.4"/>
  <sheetData>
    <row r="1" spans="2:32" ht="20.399999999999999"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</row>
    <row r="2" spans="2:32" ht="20.399999999999999">
      <c r="B2" s="32"/>
      <c r="C2" s="32"/>
      <c r="D2" s="31"/>
      <c r="E2" s="31"/>
      <c r="F2" s="31"/>
      <c r="G2" s="31"/>
      <c r="H2" s="31"/>
      <c r="I2" s="32"/>
      <c r="J2" s="32"/>
      <c r="K2" s="32"/>
      <c r="L2" s="31"/>
      <c r="M2" s="31"/>
      <c r="N2" s="31"/>
      <c r="O2" s="31"/>
      <c r="P2" s="32"/>
      <c r="Q2" s="32"/>
      <c r="R2" s="31"/>
      <c r="S2" s="31"/>
      <c r="T2" s="31"/>
      <c r="U2" s="31"/>
      <c r="V2" s="31"/>
      <c r="W2" s="32"/>
      <c r="X2" s="32"/>
      <c r="Y2" s="31"/>
      <c r="Z2" s="31"/>
      <c r="AA2" s="31"/>
      <c r="AB2" s="31"/>
      <c r="AC2" s="32"/>
      <c r="AD2" s="32"/>
      <c r="AE2" s="32"/>
      <c r="AF2" s="31"/>
    </row>
    <row r="3" spans="2:32" ht="21"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</row>
    <row r="4" spans="2:32" ht="21"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</row>
    <row r="5" spans="2:32" ht="21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</row>
    <row r="6" spans="2:32" ht="21"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</row>
    <row r="7" spans="2:32" ht="21"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</row>
    <row r="8" spans="2:32" ht="21"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</row>
    <row r="9" spans="2:32" ht="21"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</row>
    <row r="10" spans="2:32" ht="21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</row>
    <row r="11" spans="2:32" ht="21"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</row>
    <row r="12" spans="2:32" ht="22.5" customHeight="1"/>
    <row r="13" spans="2:32" ht="21.75" customHeight="1"/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E11"/>
  <sheetViews>
    <sheetView workbookViewId="0">
      <selection sqref="A1:AH1048576"/>
    </sheetView>
  </sheetViews>
  <sheetFormatPr defaultColWidth="3.6640625" defaultRowHeight="14.4"/>
  <sheetData>
    <row r="1" spans="1:31" ht="20.399999999999999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</row>
    <row r="2" spans="1:31" ht="20.399999999999999">
      <c r="A2" s="32"/>
      <c r="B2" s="32"/>
      <c r="C2" s="31"/>
      <c r="D2" s="31"/>
      <c r="E2" s="31"/>
      <c r="F2" s="31"/>
      <c r="G2" s="31"/>
      <c r="H2" s="32"/>
      <c r="I2" s="32"/>
      <c r="J2" s="32"/>
      <c r="K2" s="31"/>
      <c r="L2" s="31"/>
      <c r="M2" s="31"/>
      <c r="N2" s="31"/>
      <c r="O2" s="32"/>
      <c r="P2" s="32"/>
      <c r="Q2" s="31"/>
      <c r="R2" s="31"/>
      <c r="S2" s="31"/>
      <c r="T2" s="31"/>
      <c r="U2" s="31"/>
      <c r="V2" s="32"/>
      <c r="W2" s="32"/>
      <c r="X2" s="31"/>
      <c r="Y2" s="31"/>
      <c r="Z2" s="31"/>
      <c r="AA2" s="31"/>
      <c r="AB2" s="32"/>
      <c r="AC2" s="32"/>
      <c r="AD2" s="32"/>
      <c r="AE2" s="31"/>
    </row>
    <row r="3" spans="1:31" ht="21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</row>
    <row r="4" spans="1:31" ht="21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</row>
    <row r="5" spans="1:31" ht="2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</row>
    <row r="6" spans="1:31" ht="21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</row>
    <row r="7" spans="1:31" ht="21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</row>
    <row r="8" spans="1:31" ht="21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</row>
    <row r="9" spans="1:31" ht="21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</row>
    <row r="10" spans="1:31" ht="21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</row>
    <row r="11" spans="1:31" ht="21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20</vt:i4>
      </vt:variant>
    </vt:vector>
  </HeadingPairs>
  <TitlesOfParts>
    <vt:vector size="20" baseType="lpstr">
      <vt:lpstr>คู่มือการใช้งาน</vt:lpstr>
      <vt:lpstr>ต้นฉบับ</vt:lpstr>
      <vt:lpstr>ต.ค</vt:lpstr>
      <vt:lpstr>พย</vt:lpstr>
      <vt:lpstr>ธค</vt:lpstr>
      <vt:lpstr>มค</vt:lpstr>
      <vt:lpstr>กพ</vt:lpstr>
      <vt:lpstr>มีค</vt:lpstr>
      <vt:lpstr>ต.ค-มี.ค</vt:lpstr>
      <vt:lpstr>เมย</vt:lpstr>
      <vt:lpstr>พค</vt:lpstr>
      <vt:lpstr>มิย</vt:lpstr>
      <vt:lpstr>กค</vt:lpstr>
      <vt:lpstr>สค</vt:lpstr>
      <vt:lpstr>กย</vt:lpstr>
      <vt:lpstr>เม.ย-ก.ย</vt:lpstr>
      <vt:lpstr>ต.ค-ก.ย</vt:lpstr>
      <vt:lpstr>อัตราครองเตียง</vt:lpstr>
      <vt:lpstr>Sheet3</vt:lpstr>
      <vt:lpstr>Sheet3 (2)</vt:lpstr>
    </vt:vector>
  </TitlesOfParts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napa 5255</cp:lastModifiedBy>
  <cp:revision/>
  <cp:lastPrinted>2022-05-02T13:07:55Z</cp:lastPrinted>
  <dcterms:created xsi:type="dcterms:W3CDTF">2016-03-30T08:07:33Z</dcterms:created>
  <dcterms:modified xsi:type="dcterms:W3CDTF">2025-02-06T09:48:08Z</dcterms:modified>
</cp:coreProperties>
</file>